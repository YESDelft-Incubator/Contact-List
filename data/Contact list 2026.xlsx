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total list" sheetId="1" r:id="rId5"/>
    <sheet state="visible" name="removed contacts" sheetId="2" r:id="rId6"/>
    <sheet state="visible" name="MTS 2026 registrations" sheetId="3" r:id="rId7"/>
    <sheet state="visible" name="invite july" sheetId="4" r:id="rId8"/>
    <sheet state="visible" name="Sheet21" sheetId="5" r:id="rId9"/>
    <sheet state="visible" name="20 yrs" sheetId="6" r:id="rId10"/>
    <sheet state="visible" name="Sheet13" sheetId="7" r:id="rId11"/>
    <sheet state="visible" name="Sheet12" sheetId="8" r:id="rId12"/>
  </sheets>
  <definedNames>
    <definedName hidden="1" localSheetId="0" name="_xlnm._FilterDatabase">'new total list'!$A$1:$AE$1845</definedName>
    <definedName hidden="1" localSheetId="2" name="_xlnm._FilterDatabase">'MTS 2026 registrations'!$A$2:$AB$1001</definedName>
    <definedName hidden="1" localSheetId="0" name="Z_F677E6A6_4574_4ECC_B302_DD2F058C8176_.wvu.FilterData">'new total list'!$A$1:$M$1845</definedName>
    <definedName hidden="1" localSheetId="0" name="Z_854B9BB4_CF44_4CA5_A47D_50143EFBFCB1_.wvu.FilterData">'new total list'!$A$1:$L$1568</definedName>
    <definedName hidden="1" localSheetId="0" name="Z_7F6A76DB_79AC_45A9_8DEF_0CFB66936CA5_.wvu.FilterData">'new total list'!$A$1:$M$1845</definedName>
    <definedName hidden="1" localSheetId="0" name="Z_94972F89_9C6F_4B2C_9869_FD71C5BBB7B3_.wvu.FilterData">'new total list'!$A$1:$AE$1845</definedName>
    <definedName hidden="1" localSheetId="0" name="Z_F0EAA1DD_DD84_4E1E_82B5_302307E63DF9_.wvu.FilterData">'new total list'!$A$1:$AE$1845</definedName>
  </definedNames>
  <calcPr/>
  <customWorkbookViews>
    <customWorkbookView activeSheetId="0" maximized="1" windowHeight="0" windowWidth="0" guid="{F677E6A6-4574-4ECC-B302-DD2F058C8176}" name="Pablo"/>
    <customWorkbookView activeSheetId="0" maximized="1" windowHeight="0" windowWidth="0" guid="{854B9BB4-CF44-4CA5-A47D-50143EFBFCB1}" name="freek"/>
    <customWorkbookView activeSheetId="0" maximized="1" windowHeight="0" windowWidth="0" guid="{7F6A76DB-79AC-45A9-8DEF-0CFB66936CA5}" name="Moshe"/>
    <customWorkbookView activeSheetId="0" maximized="1" windowHeight="0" windowWidth="0" guid="{94972F89-9C6F-4B2C-9869-FD71C5BBB7B3}" name="Last unknowns"/>
    <customWorkbookView activeSheetId="0" maximized="1" windowHeight="0" windowWidth="0" guid="{F0EAA1DD-DD84-4E1E-82B5-302307E63DF9}" name="Radena last check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tc={4a626fd8-8a25-4645-a089-282e0d91bb58}</author>
    <author>tc={acee1d73-525e-4c6a-b354-2e6e7a9d935c}</author>
    <author>tc={c45bc6d0-de25-480d-8c70-3dd4b1bfe045}</author>
    <author>tc={c5069e47-0f8f-4e66-9451-d5df656d4e8b}</author>
    <author>tc={d1c15daa-586d-4dd5-ab89-0e886bcebe43}</author>
  </authors>
  <commentList>
    <comment authorId="0" xr:uid="{4a626fd8-8a25-4645-a089-282e0d91bb58}" ref="B15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@radena@yesdelft.nl , these are mentor who were active in the past. Can I move them to you on the "Connection" column?
Reply:
	yes
</t>
      </text>
    </comment>
    <comment authorId="1" xr:uid="{acee1d73-525e-4c6a-b354-2e6e7a9d93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Sophie is weg daar
</t>
      </text>
    </comment>
    <comment authorId="2" xr:uid="{c45bc6d0-de25-480d-8c70-3dd4b1bfe045}" ref="K10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@moshe@yesdelft.nl moeten deze uit de lijst of moet er iets veranderd?
</t>
      </text>
    </comment>
    <comment authorId="3" xr:uid="{c5069e47-0f8f-4e66-9451-d5df656d4e8b}" ref="E14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@freek@yesdelft.nl ken je hem?
Assigned to freek@yesdelft.nl
</t>
      </text>
    </comment>
    <comment authorId="4" xr:uid="{d1c15daa-586d-4dd5-ab89-0e886bcebe43}" ref="H4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with @radena@yesdelft.nl what he wants to do with him, as he is a mentor.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tc={a3973540-d56c-4096-9ed9-41230f3f3f8a}</author>
  </authors>
  <commentList>
    <comment authorId="0" xr:uid="{a3973540-d56c-4096-9ed9-41230f3f3f8a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@amber@yesdelft.nl can we delete leads from this list? if so, this would be one.
Reply:
	yes
Reply:
	I hope there is a backup :-)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tc={60616a44-5643-475d-8c05-f021be43c1fe}</author>
    <author>tc={8adbd251-02a9-47df-b932-9819809ee581}</author>
    <author>tc={aaf71fef-4f00-40ac-a931-0d5d4abc1d23}</author>
    <author>tc={daec4fcf-bcde-4f7e-afad-cf271fd37417}</author>
    <author>tc={ea7bdf58-8306-4bb3-942c-3e2fea0971fa}</author>
  </authors>
  <commentList>
    <comment authorId="0" xr:uid="{60616a44-5643-475d-8c05-f021be43c1fe}" ref="M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@freek@yesdelft.nl
Assigned to freek@yesdelft.nl
Reply:
	is dit oke? @freek@yesdelft.nl
Reply:
	Zie app, is oud startup scout.. Ja, is goed
</t>
      </text>
    </comment>
    <comment authorId="1" xr:uid="{8adbd251-02a9-47df-b932-9819809ee581}" ref="L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@freek@yesdelft.nl IS UITGENODIGD
Assigned to freek@yesdelft.nl
</t>
      </text>
    </comment>
    <comment authorId="2" xr:uid="{aaf71fef-4f00-40ac-a931-0d5d4abc1d23}" ref="M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@freek@yesdelft.nl
Assigned to freek@yesdelft.nl
</t>
      </text>
    </comment>
    <comment authorId="3" xr:uid="{daec4fcf-bcde-4f7e-afad-cf271fd37417}" ref="M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@moshe@yesdelft.nl is het ok dat deze komt?
Assigned to moshe@yesdelft.nl
Reply:
	Actie!?!? @moshe@yesdelft.nl
</t>
      </text>
    </comment>
    <comment authorId="4" xr:uid="{ea7bdf58-8306-4bb3-942c-3e2fea0971fa}" ref="M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@ras@yesdelft.nl  is dit ok?
Assigned to ras@yesdelft.nl
</t>
      </text>
    </comment>
  </commentList>
</comments>
</file>

<file path=xl/sharedStrings.xml><?xml version="1.0" encoding="utf-8"?>
<sst xmlns="http://schemas.openxmlformats.org/spreadsheetml/2006/main" count="17383" uniqueCount="9768">
  <si>
    <t>!Data from this sheet is loaded from Project Master Sheet - MTS 2026! Registrations, DON'T EDIT THIS SHEET!</t>
  </si>
  <si>
    <t>Name+ company</t>
  </si>
  <si>
    <t>/ --- HTML met CID-logo ---
const htmlMessage = `&lt;!doctype html&gt;
&lt;html&gt;
 &lt;div style="display:none; max-height:0; overflow:hidden; opacity:0; color:transparent;"&gt;
  Join us from 14:00 for startup pitches, live demos, and networking at YES!Delft.
&lt;/div&gt;
&lt;head&gt;
  &lt;meta http-equiv="Content-Type" content="text/html; charset=UTF-8"&gt;
&lt;/head&gt;
&lt;body style="margin:0;padding:0;font-family:Arial,Helvetica,sans-serif;line-height:1.5;color:#051B3F;"&gt;
  &lt;table role="presentation" border="0" cellpadding="0" cellspacing="0" width="100%"&gt;
    &lt;tr&gt;
      &lt;td style="padding:24px;"&gt;
        &lt;table role="presentation" border="0" cellpadding="0" cellspacing="0" width="100%" style="max-width:640px;"&gt;
          &lt;tr&gt;
            &lt;td style="font-family:Arial,Helvetica,sans-serif;line-height:1.5;color:#051B3F;"&gt;
              &lt;p&gt;Dear ${row[2]},&lt;/p&gt;
              &lt;p&gt;I am happy to invite you to our annual flagship event, Meet the Startups, the demo day of YES!Delft,&lt;br&gt;
              taking place on &lt;strong&gt;Thursday, October 8th, starting at 14:00&lt;/strong&gt; at YES!Delft.&lt;/p&gt;
              &lt;p&gt;During this event, the latest startups from YES!Delft will showcase their innovations through inspiring pitches and live demonstrations. ​Alongside the pitch sessions, guests can meet the startups directly at their stands, exchange ideas, explore collaboration opportunities, and connect with the wider YES!Delft ecosystem.&lt;/p&gt;
  ${inviteExtraHtml}
                &lt;p&gt;
  &lt;a href="${ticketUrl}"
     style="
       display:inline-block;
       background-color:#1CBBED;
       color:#051B3F;
       padding:11px 22px;
       border-radius:4px;
       text-decoration:none;
       font-weight:bold;
     "&gt;
    Get your tickets
  &lt;/a&gt;
              &lt;p&gt;Your presence and insights can make a real difference as these entrepreneurs scale their ideas into impactful businesses.&lt;/p
              &lt;p&gt;I look forward to seeing you at Meet the Startups on October 8!&lt;/p&gt;</t>
  </si>
  <si>
    <t>Name</t>
  </si>
  <si>
    <t>Name1</t>
  </si>
  <si>
    <t>Name 2</t>
  </si>
  <si>
    <t>mail</t>
  </si>
  <si>
    <t>company</t>
  </si>
  <si>
    <t>type</t>
  </si>
  <si>
    <t>connection</t>
  </si>
  <si>
    <t>Registered</t>
  </si>
  <si>
    <t>Invite</t>
  </si>
  <si>
    <t>Email 4 sent?</t>
  </si>
  <si>
    <t>Script check?</t>
  </si>
  <si>
    <t>Things changed in the registration sheet in MTS document so this is all fucked up now.</t>
  </si>
  <si>
    <t>Notes:</t>
  </si>
  <si>
    <t>Used Code</t>
  </si>
  <si>
    <t>lookup email</t>
  </si>
  <si>
    <t>Dieuwke</t>
  </si>
  <si>
    <t>lookupmail</t>
  </si>
  <si>
    <t>Lookup used code</t>
  </si>
  <si>
    <t>Hoogland</t>
  </si>
  <si>
    <t>not on our list</t>
  </si>
  <si>
    <t>remark</t>
  </si>
  <si>
    <t>dieuwke@femaleventures.nl</t>
  </si>
  <si>
    <t>2nd</t>
  </si>
  <si>
    <t>Code</t>
  </si>
  <si>
    <t>Female Ventures</t>
  </si>
  <si>
    <t>Save the date MTS 26</t>
  </si>
  <si>
    <t>Startup Ecosystem</t>
  </si>
  <si>
    <t>Registered check: ARRAYFORMULA(IF(ISNUMBER(MATCH(LOWER(TRIM(E455:E1201)),LOWER(TRIM(#REF!)), 0)), TRUE, FALSE))</t>
  </si>
  <si>
    <t>Pablo Benéitez (YES!Delft)</t>
  </si>
  <si>
    <t>NO</t>
  </si>
  <si>
    <t>x</t>
  </si>
  <si>
    <t>NIET</t>
  </si>
  <si>
    <t>Vera</t>
  </si>
  <si>
    <t>Aabharan Hemanth</t>
  </si>
  <si>
    <t>Hunter</t>
  </si>
  <si>
    <t>vera.hunter@eur.nl</t>
  </si>
  <si>
    <t>Aabharan</t>
  </si>
  <si>
    <t>Hemanth</t>
  </si>
  <si>
    <t>eur</t>
  </si>
  <si>
    <t>aabharan@myst.works</t>
  </si>
  <si>
    <t>Education/research</t>
  </si>
  <si>
    <t>Myst Works</t>
  </si>
  <si>
    <t>Moshe Sijben (YES!Delft)</t>
  </si>
  <si>
    <t>Startup/founder</t>
  </si>
  <si>
    <t>Radena Tsoneva (YES!Delft)</t>
  </si>
  <si>
    <t>other job</t>
  </si>
  <si>
    <t>HNX9C7</t>
  </si>
  <si>
    <t>Free</t>
  </si>
  <si>
    <t>Bounce</t>
  </si>
  <si>
    <t>Adrie</t>
  </si>
  <si>
    <t>Huesman</t>
  </si>
  <si>
    <t>adrie.huesman@shell.com</t>
  </si>
  <si>
    <t>shell</t>
  </si>
  <si>
    <t>Corporate</t>
  </si>
  <si>
    <t>Nannila Zevenhuizen (YES!Delft)</t>
  </si>
  <si>
    <t>Contact Ras - potential mentor</t>
  </si>
  <si>
    <t>Alkis</t>
  </si>
  <si>
    <t>Romeos</t>
  </si>
  <si>
    <t>alkis.romeos@shell.com</t>
  </si>
  <si>
    <t>Carola</t>
  </si>
  <si>
    <t>Berkouwer</t>
  </si>
  <si>
    <t>container for  ápple'</t>
  </si>
  <si>
    <t>Carola.Berkouwer@rabobank.nl</t>
  </si>
  <si>
    <t>Rabobank</t>
  </si>
  <si>
    <t>&lt;body style="margin:0;padding:0;font-family:Arial,Helvetica,sans-serif;line-height:1.5;color:#051B3F;"&gt;
  &lt;table role="presentation" border="0" cellpadding="0" cellspacing="0" width="100%"&gt;
    &lt;tr&gt;
      &lt;td style="padding:24px;"&gt;
        &lt;table role="presentation" border="0" cellpadding="0" cellspacing="0" width="100%" style="max-width:720px;"&gt;
          &lt;tr&gt;
            &lt;td style="font-family:Arial,Helvetica,sans-serif;line-height:1.5;color:#051B3F;"&gt;</t>
  </si>
  <si>
    <t>Adnan Tunovic</t>
  </si>
  <si>
    <t>Partner</t>
  </si>
  <si>
    <t>Adnan</t>
  </si>
  <si>
    <t>Sent to Carola.Berkouwer@rabobank.nl on 2025-09-01</t>
  </si>
  <si>
    <t>Tunovic</t>
  </si>
  <si>
    <t>adnan@mungosworks.nl</t>
  </si>
  <si>
    <t>Mungosworks</t>
  </si>
  <si>
    <t>XGFIJJ</t>
  </si>
  <si>
    <t>Claire</t>
  </si>
  <si>
    <t>Rutteman</t>
  </si>
  <si>
    <r>
      <rPr>
        <color rgb="FF1155CC"/>
        <sz val="11.0"/>
        <u/>
      </rPr>
      <t>Claire.Rutteman@shell.com</t>
    </r>
  </si>
  <si>
    <t>Ahmed Mohamedali</t>
  </si>
  <si>
    <t>Ahmed</t>
  </si>
  <si>
    <t>Mohamedali</t>
  </si>
  <si>
    <t>ahmed@conical.ai</t>
  </si>
  <si>
    <t>conical</t>
  </si>
  <si>
    <t>IQNFNA</t>
  </si>
  <si>
    <t>Shell</t>
  </si>
  <si>
    <t>Geert</t>
  </si>
  <si>
    <t>van de Wouw</t>
  </si>
  <si>
    <t>geert.vandewouw@shell.com</t>
  </si>
  <si>
    <t>Ahmed Faramawy</t>
  </si>
  <si>
    <t>Faramawy</t>
  </si>
  <si>
    <t>ahmed@infinipipe.com</t>
  </si>
  <si>
    <t>Infinipipe</t>
  </si>
  <si>
    <t>PW4TW4</t>
  </si>
  <si>
    <t>Jaap</t>
  </si>
  <si>
    <t>Hulshoff</t>
  </si>
  <si>
    <t>j.hulshoff@duravermeer.nl</t>
  </si>
  <si>
    <t>duravermeer</t>
  </si>
  <si>
    <t>Sent to j.hulshoff@duravermeer.nl on 2025-09-01</t>
  </si>
  <si>
    <t>Akarsh Gopal</t>
  </si>
  <si>
    <t>Akarsh</t>
  </si>
  <si>
    <t>Gopal</t>
  </si>
  <si>
    <t>akarsh@myst.works</t>
  </si>
  <si>
    <t>H9N5CZ</t>
  </si>
  <si>
    <t xml:space="preserve">Kiki </t>
  </si>
  <si>
    <t>de Vries</t>
  </si>
  <si>
    <t>kiki@yesdelftstudents.nl</t>
  </si>
  <si>
    <t>yesdelftstudents</t>
  </si>
  <si>
    <t>Marcin</t>
  </si>
  <si>
    <t>Dukalski</t>
  </si>
  <si>
    <t>marcin.dukalski@aramcooverseas.com</t>
  </si>
  <si>
    <t>aramcooverseas</t>
  </si>
  <si>
    <t>Akash Parmesar</t>
  </si>
  <si>
    <t>Akash</t>
  </si>
  <si>
    <t>Parmesar</t>
  </si>
  <si>
    <t>akash@olympian.ai</t>
  </si>
  <si>
    <t>Sayee</t>
  </si>
  <si>
    <t>Balaji</t>
  </si>
  <si>
    <t>olympian</t>
  </si>
  <si>
    <t>sayee-prasaad.balaji@shell.com</t>
  </si>
  <si>
    <t>L362K9</t>
  </si>
  <si>
    <t>Sylvia</t>
  </si>
  <si>
    <t>Coenen</t>
  </si>
  <si>
    <t>scoenen@delft.nl</t>
  </si>
  <si>
    <t>Gemeente Delft</t>
  </si>
  <si>
    <t>Unsal</t>
  </si>
  <si>
    <t>Evren</t>
  </si>
  <si>
    <t>Amir Piltan</t>
  </si>
  <si>
    <t>evren.unsal@shell.com</t>
  </si>
  <si>
    <t>Amir</t>
  </si>
  <si>
    <t>Piltan</t>
  </si>
  <si>
    <t>amir@sporebi.com</t>
  </si>
  <si>
    <t>sporebi</t>
  </si>
  <si>
    <t>18ZZQ3</t>
  </si>
  <si>
    <t>Wim</t>
  </si>
  <si>
    <t>Nobel</t>
  </si>
  <si>
    <t>wim.nobel@rabobank.nl</t>
  </si>
  <si>
    <t>rabobank</t>
  </si>
  <si>
    <t>function sendEmails() {</t>
  </si>
  <si>
    <t>Ras Lalmy (YES!Delft)</t>
  </si>
  <si>
    <t>yes</t>
  </si>
  <si>
    <t>Logger.log("sendEmails started");</t>
  </si>
  <si>
    <t>var sheet = SpreadsheetApp.getActiveSpreadsheet().getSheetByName('new total list');</t>
  </si>
  <si>
    <t>var startRow = 3; // Start at third row because the first rows contains the data headers</t>
  </si>
  <si>
    <t>var lastRow = sheet.getLastRow();</t>
  </si>
  <si>
    <t>var numRows = lastRow - startRow + 1;</t>
  </si>
  <si>
    <t>Utilities.sleep(1000); // Sleep 1 second between each email</t>
  </si>
  <si>
    <t>if (numRows &lt;= 0) {</t>
  </si>
  <si>
    <t>Raf</t>
  </si>
  <si>
    <t>Logger.log("No data to process.");</t>
  </si>
  <si>
    <t>return; // Exit the function</t>
  </si>
  <si>
    <t>Andre Cossee</t>
  </si>
  <si>
    <t>}</t>
  </si>
  <si>
    <t>Koene</t>
  </si>
  <si>
    <t>Andre</t>
  </si>
  <si>
    <t>Cossee</t>
  </si>
  <si>
    <t>var dataRange = sheet.getRange(startRow, 1, numRows, 12);</t>
  </si>
  <si>
    <t>andre@anything-connected.com</t>
  </si>
  <si>
    <t>var data = dataRange.getValues();</t>
  </si>
  <si>
    <t>for (var i = 0; i &lt; data.length; ++i) {</t>
  </si>
  <si>
    <t>Anything Connected</t>
  </si>
  <si>
    <t>innovationquarter</t>
  </si>
  <si>
    <t>var Error = "";</t>
  </si>
  <si>
    <t>Investor</t>
  </si>
  <si>
    <t>Jan Geert van Hall (YES!Delft)</t>
  </si>
  <si>
    <t>var row = data[i];</t>
  </si>
  <si>
    <t>Does not work at IQ anymore</t>
  </si>
  <si>
    <t>// Skip row if already sent (Column L) or no email (optional check)</t>
  </si>
  <si>
    <t>YAHJSA</t>
  </si>
  <si>
    <t>if (row[11]) {</t>
  </si>
  <si>
    <t>continue;</t>
  </si>
  <si>
    <t>var senderName = "The YES!Delft Team"; // or row[7] if you want personalization</t>
  </si>
  <si>
    <t>var replyTo = "anniversary@yesdelft.com"; // or another monitored address</t>
  </si>
  <si>
    <t>?</t>
  </si>
  <si>
    <t>var name = row[0]; // Column A</t>
  </si>
  <si>
    <t>var emailAddress = row[4]; // Column E</t>
  </si>
  <si>
    <t>moshe</t>
  </si>
  <si>
    <t>Jenny</t>
  </si>
  <si>
    <t>var subject = "You're invited: Celebrate 20 Years of innovation with YES!Delft";</t>
  </si>
  <si>
    <t>Konings</t>
  </si>
  <si>
    <t>var htmlMessage = `</t>
  </si>
  <si>
    <t>j.j.m.konings@tudelft.nl</t>
  </si>
  <si>
    <t>&lt;body&gt;</t>
  </si>
  <si>
    <t>&lt;p&gt;Dear ${row[2]},&lt;/p&gt;</t>
  </si>
  <si>
    <t>tudelft</t>
  </si>
  <si>
    <t>&lt;p&gt; YES!Delft is turning 20 and we want you to be part of the celebration!&lt;/p&gt;</t>
  </si>
  <si>
    <t>&lt;p&gt;Join us on &lt;strong&gt;Thursday, October 2nd, 2025,&lt;/strong&gt; at &lt;strong&gt;YES!Delft&lt;/strong&gt; for a special anniversary event honoring two decades of empowering tech startups and shaping the future together. &lt;/p&gt;</t>
  </si>
  <si>
    <t>&lt;ul&gt;</t>
  </si>
  <si>
    <t>Radena</t>
  </si>
  <si>
    <t>&lt;li&gt;🗓 Date: October 2, 2025&lt;/li&gt;</t>
  </si>
  <si>
    <t>Sent to j.j.m.konings@tudelft.nl on 2025-09-01</t>
  </si>
  <si>
    <t>&lt;li&gt;🕒 Time: 15:30 – 23:00&lt;/li&gt;</t>
  </si>
  <si>
    <t>&lt;li&gt;📍 Location: YES!Delft&lt;/li&gt;</t>
  </si>
  <si>
    <t>Andreas Schmidt-Ott</t>
  </si>
  <si>
    <t>Andreas</t>
  </si>
  <si>
    <t>&lt;li&gt;👉 &lt;strong&gt;&lt;a href="https://yes-delft.typeform.com/to/yCthRB6h?typeform-source=yesdelft.com" target="_blank" style="color: #1CBBED; text-decoration: none;"&gt;</t>
  </si>
  <si>
    <t>Schmidt-Ott</t>
  </si>
  <si>
    <t>SIGN UP: HERE&lt;/a&gt;&lt;/strong&gt;&lt;/li&gt;</t>
  </si>
  <si>
    <t>a.schmidt-ott@tudelft.nl</t>
  </si>
  <si>
    <t>&lt;/ul&gt;</t>
  </si>
  <si>
    <t>&lt;p&gt;We have an exciting program lined up for you, featuring:&lt;/p&gt;</t>
  </si>
  <si>
    <t>Zwanet</t>
  </si>
  <si>
    <t>&lt;ul style="list-style-type: disc; padding-left: 20px; margin: 0;"&gt;</t>
  </si>
  <si>
    <t>van Lubek</t>
  </si>
  <si>
    <t>352ASR</t>
  </si>
  <si>
    <t>&lt;li style="margin-bottom: 10px;"&gt;</t>
  </si>
  <si>
    <t>&lt;strong&gt;Over 65 startups&lt;/strong&gt; showcasing their innovations throughout our building and pitching live on stage</t>
  </si>
  <si>
    <t>&lt;/li&gt;</t>
  </si>
  <si>
    <t>&lt;li&gt;Inspiring keynotes and panels on the main stage with Startup founders and:</t>
  </si>
  <si>
    <t>AMS Institute</t>
  </si>
  <si>
    <t>&lt;ul style="list-style-type: circle; padding-left: 20px; margin-top: 5px;"&gt;</t>
  </si>
  <si>
    <t>&lt;li&gt;&lt;strong&gt;Constantijn van Oranje&lt;/strong&gt; from Techleap&lt;/li&gt;</t>
  </si>
  <si>
    <t>&lt;li&gt;&lt;strong&gt;Rinke Zonneveld&lt;/strong&gt; from Invest-NL&lt;/li&gt;</t>
  </si>
  <si>
    <t xml:space="preserve">Freek Smoes (YES!Delft) </t>
  </si>
  <si>
    <t>&lt;li&gt;&lt;strong&gt;Lisa Ericsson&lt;/strong&gt; from KTH Innovation, Stockholm&lt;/li&gt;</t>
  </si>
  <si>
    <t>&lt;li&gt;&lt;strong&gt;Stefan Drüssler&lt;/strong&gt; from UnternehmerTUM, Münich&lt;/li&gt;</t>
  </si>
  <si>
    <t>&lt;li&gt;…and many more.&lt;/li&gt;</t>
  </si>
  <si>
    <t>&lt;p&gt;Plus, enjoy hands-on tech, startup success stories, and plenty of opportunities to connect with our vibrant community, all while enjoying great food and drinks.&lt;/p&gt;</t>
  </si>
  <si>
    <t>&lt;p&gt;For more information check &lt;a href="https://yesdelft.com/events/yesdelft-20-year-anniversary-celebration-demoday/" target="_blank" style="color: #1CBBED; text-decoration: none;"&gt;</t>
  </si>
  <si>
    <t>the eventpage&lt;/a&gt;, the full program details are coming soon!&lt;/p&gt;</t>
  </si>
  <si>
    <t>Hanna</t>
  </si>
  <si>
    <t>Lucas</t>
  </si>
  <si>
    <t>&lt;/p&gt;</t>
  </si>
  <si>
    <t>hanna.lucas@innovationquarter.nl</t>
  </si>
  <si>
    <t>&lt;a href="https://yes-delft.typeform.com/to/yCthRB6h?typeform-source=yesdelft.com"</t>
  </si>
  <si>
    <t>Mentor/Expert</t>
  </si>
  <si>
    <t>style="display:inline-block;padding:10px 20px;background-color:#1CBBED;color:#051B3F;text-decoration:none;border-radius:5px;font-weight:bold;"&gt;</t>
  </si>
  <si>
    <t>Sign up now!</t>
  </si>
  <si>
    <t>&lt;/a&gt;</t>
  </si>
  <si>
    <t>&lt;p&gt;Warm Regards,&lt;/p&gt;</t>
  </si>
  <si>
    <t>&lt;p&gt;&lt;b&gt;&lt;p style="color:#051B3F;"&gt; The YES!Delft Team&lt;/b&gt;&lt;/p&gt;</t>
  </si>
  <si>
    <t>&lt;p&gt;&lt;b&gt;YES!Delft&lt;/b&gt;&lt;br&gt;Molengraaffsingel 12&lt;br&gt;2629JD Delft&lt;/p&gt;</t>
  </si>
  <si>
    <t>&lt;p&gt;Subscribe to our</t>
  </si>
  <si>
    <t>Angelique Nederlof</t>
  </si>
  <si>
    <t>&lt;a href="http://eepurl.com/ifyY4b" target="_blank" style="color: #1CBBED; text-decoration: none;"&gt;</t>
  </si>
  <si>
    <t>Angelique</t>
  </si>
  <si>
    <t>Nederlof</t>
  </si>
  <si>
    <t>newsletter</t>
  </si>
  <si>
    <t>angelique.nederlof@rdgg.nl</t>
  </si>
  <si>
    <t>&lt;/a&gt; to follow what YES!Delft is up to.&lt;/p&gt;</t>
  </si>
  <si>
    <t>rdgg</t>
  </si>
  <si>
    <t>&lt;/body&gt;</t>
  </si>
  <si>
    <t>&lt;/html&gt;</t>
  </si>
  <si>
    <t>XBDDWW</t>
  </si>
  <si>
    <t>`;</t>
  </si>
  <si>
    <t>// Send mail with the full name as the sender's name</t>
  </si>
  <si>
    <t>MailApp.sendEmail({</t>
  </si>
  <si>
    <t>to: emailAddress,</t>
  </si>
  <si>
    <t>subject: subject,</t>
  </si>
  <si>
    <t>Nathal</t>
  </si>
  <si>
    <t>htmlBody: htmlMessage,</t>
  </si>
  <si>
    <t>van Rijn</t>
  </si>
  <si>
    <t>name: senderName, // This sets the full name as the display name</t>
  </si>
  <si>
    <t>replyTo: "anniversary@yesdelft.com"</t>
  </si>
  <si>
    <t>});</t>
  </si>
  <si>
    <t>// Write the current date to column L after successfully sending the email</t>
  </si>
  <si>
    <t>if (Error == "") {</t>
  </si>
  <si>
    <t>var sentDate = "Sent to " + emailAddress + " on " + Utilities.formatDate(new Date(), "GMT", "yyyy-MM-dd");</t>
  </si>
  <si>
    <t>sheet.getRange(startRow + i, 12).setValue(sentDate);</t>
  </si>
  <si>
    <t>Logger.log("Row " + (i + 2) + " Email sent: " + row[1] + "\nTo: " + emailAddress);</t>
  </si>
  <si>
    <t>// ✅ Sleep 1 second before sending the next email</t>
  </si>
  <si>
    <t>Maarten</t>
  </si>
  <si>
    <t>Utilities.sleep(1000);</t>
  </si>
  <si>
    <t>Cleeren</t>
  </si>
  <si>
    <t>Anthony Thirkettle</t>
  </si>
  <si>
    <t>Anthony</t>
  </si>
  <si>
    <t>Thirkettle</t>
  </si>
  <si>
    <t>anthony@giaura.com</t>
  </si>
  <si>
    <t>giaura</t>
  </si>
  <si>
    <t>Sophie</t>
  </si>
  <si>
    <t>Heijenberg</t>
  </si>
  <si>
    <t>nosuchventures</t>
  </si>
  <si>
    <t>BBGHLD</t>
  </si>
  <si>
    <t>YES</t>
  </si>
  <si>
    <t>Fabian</t>
  </si>
  <si>
    <t>van der Horst</t>
  </si>
  <si>
    <t>fabian.van.der.horst@rabobank.nl</t>
  </si>
  <si>
    <t>Sent to fabian.van.der.horst@rabobank.nl on 2026-06-08</t>
  </si>
  <si>
    <t>No longer Rabo</t>
  </si>
  <si>
    <t>Arjan Oudshoorn</t>
  </si>
  <si>
    <t>Arjan</t>
  </si>
  <si>
    <t>Oudshoorn</t>
  </si>
  <si>
    <t>oudshoorn@delftab.com</t>
  </si>
  <si>
    <t>delftab</t>
  </si>
  <si>
    <t>Pascal van de Poll</t>
  </si>
  <si>
    <t>Pascal</t>
  </si>
  <si>
    <t>van de Poll</t>
  </si>
  <si>
    <t>5QSHU1</t>
  </si>
  <si>
    <t>pascal.vandepoll@strategiemakers.nl</t>
  </si>
  <si>
    <t>strategiemakers</t>
  </si>
  <si>
    <t>mentor</t>
  </si>
  <si>
    <t>no</t>
  </si>
  <si>
    <t>Serge Santoo</t>
  </si>
  <si>
    <t>Serge</t>
  </si>
  <si>
    <t>Santoo</t>
  </si>
  <si>
    <t>serge.santoo@thegreenvillage.org</t>
  </si>
  <si>
    <t>thegreenvillage</t>
  </si>
  <si>
    <t>expert</t>
  </si>
  <si>
    <t>Arnoud de Vroomen</t>
  </si>
  <si>
    <t>Arnoud</t>
  </si>
  <si>
    <t>de Vroomen</t>
  </si>
  <si>
    <t>a.devroomen@solar-works.nl</t>
  </si>
  <si>
    <t>solar-works</t>
  </si>
  <si>
    <t>MF31MI</t>
  </si>
  <si>
    <t>Ward</t>
  </si>
  <si>
    <t>Bingley</t>
  </si>
  <si>
    <t>ward.bingley@boers.nl</t>
  </si>
  <si>
    <t>boers</t>
  </si>
  <si>
    <t>Dilis Biesheuvel</t>
  </si>
  <si>
    <t>Aron Boere</t>
  </si>
  <si>
    <t>Dilis</t>
  </si>
  <si>
    <t>Biesheuvel</t>
  </si>
  <si>
    <t>dbiesheuvel@designsolutions.nl</t>
  </si>
  <si>
    <t>designsolutions</t>
  </si>
  <si>
    <t>Aron</t>
  </si>
  <si>
    <t>Old partner</t>
  </si>
  <si>
    <t>Boere</t>
  </si>
  <si>
    <t>A.boere@delft.nl</t>
  </si>
  <si>
    <t>Merel Haverhals</t>
  </si>
  <si>
    <t>Merel</t>
  </si>
  <si>
    <t>Haverhals</t>
  </si>
  <si>
    <t>merel.haverhals@nen.nl</t>
  </si>
  <si>
    <t>nen</t>
  </si>
  <si>
    <t>Government</t>
  </si>
  <si>
    <t>11NXBW</t>
  </si>
  <si>
    <t>Chynna Falandt</t>
  </si>
  <si>
    <t>Chynna</t>
  </si>
  <si>
    <t>Falandt</t>
  </si>
  <si>
    <t>Chynna.Falandt@rabobank.nl</t>
  </si>
  <si>
    <t/>
  </si>
  <si>
    <t>Aya Hariri</t>
  </si>
  <si>
    <t>const sheet = SpreadsheetApp.getActiveSpreadsheet().getSheetByName('new total list');</t>
  </si>
  <si>
    <t>Aya</t>
  </si>
  <si>
    <t>Hariri</t>
  </si>
  <si>
    <t>const startRow = 3;</t>
  </si>
  <si>
    <t>ayahariri@diwama.com</t>
  </si>
  <si>
    <t>diwama</t>
  </si>
  <si>
    <t>const LOGO_DRIVE_ID = '1dmyeWaKsmjky2ccewuwU0ZF22GNf6XC8'; // bestand-ID van je logo</t>
  </si>
  <si>
    <t>VD4800</t>
  </si>
  <si>
    <t>const logoBlob = DriveApp.getFileById(LOGO_DRIVE_ID).getBlob();</t>
  </si>
  <si>
    <t>const lastRow = sheet.getLastRow();</t>
  </si>
  <si>
    <t>const numRows = lastRow - startRow + 1;</t>
  </si>
  <si>
    <t>return;</t>
  </si>
  <si>
    <t>const dataRange = sheet.getRange(startRow, 1, numRows, 12);</t>
  </si>
  <si>
    <t>const data = dataRange.getValues();</t>
  </si>
  <si>
    <t>for (let i = 0; i &lt; data.length; ++i) {</t>
  </si>
  <si>
    <t>let Error = "";</t>
  </si>
  <si>
    <t>const row = data[i];</t>
  </si>
  <si>
    <t>// Kolom L (index 11) = al verstuurd?</t>
  </si>
  <si>
    <t>if (row[11]) continue;</t>
  </si>
  <si>
    <t>const senderName = "Ras Lalmy (YES!Delft)";</t>
  </si>
  <si>
    <t>const replyTo = "anniversary@yesdelft.com";</t>
  </si>
  <si>
    <t>const emailAddress = row[4];</t>
  </si>
  <si>
    <t>if (!emailAddress) continue;</t>
  </si>
  <si>
    <t>const subject = "You're invited: YES!Delft 20-year celebration (Oct 2)";</t>
  </si>
  <si>
    <t>Alessandro Bozzon</t>
  </si>
  <si>
    <t>Babak Heydari</t>
  </si>
  <si>
    <t>Alessandro</t>
  </si>
  <si>
    <t>Babak</t>
  </si>
  <si>
    <t>// --- Plain-text fallback (belangrijk voor deliverability) ---</t>
  </si>
  <si>
    <t>Bozzon</t>
  </si>
  <si>
    <t>Heydari</t>
  </si>
  <si>
    <t>const textMessage =</t>
  </si>
  <si>
    <t>a.bozzon@tudelft.nl</t>
  </si>
  <si>
    <t>babak@shake-on.com</t>
  </si>
  <si>
    <t>`Dear ${row[2] || ''},</t>
  </si>
  <si>
    <t>shake-on</t>
  </si>
  <si>
    <t>Ailixr?</t>
  </si>
  <si>
    <t>2C0E7D</t>
  </si>
  <si>
    <t>YES!Delft is turning 20 and we want you to be part of the celebration!</t>
  </si>
  <si>
    <t>Date: October 2, 2025</t>
  </si>
  <si>
    <t>Time: 15:30 – 23:00</t>
  </si>
  <si>
    <t>Location: YES!Delft</t>
  </si>
  <si>
    <t>Sign up: https://yes-delft.typeform.com/to/yCthRB6h?typeform-source=yesdelft.com</t>
  </si>
  <si>
    <t>More info: https://yesdelft.com/events/yesdelft-20-year-anniversary-celebration-demoday/</t>
  </si>
  <si>
    <t>Warm regards,</t>
  </si>
  <si>
    <t>The YES!Delft Team</t>
  </si>
  <si>
    <t>Molengraaffsingel 12</t>
  </si>
  <si>
    <t>2629JD Delft`;</t>
  </si>
  <si>
    <t>Ellen van Andel</t>
  </si>
  <si>
    <t>Ellen</t>
  </si>
  <si>
    <t>// --- HTML met CID-logo ---</t>
  </si>
  <si>
    <t>van Andel</t>
  </si>
  <si>
    <t>const htmlMessage = `&lt;!doctype html&gt;</t>
  </si>
  <si>
    <t>e.vanandel@tudelft.nl</t>
  </si>
  <si>
    <t>&lt;html&gt;</t>
  </si>
  <si>
    <t>&lt;body style="margin:0;padding:0;font-family:Arial,Helvetica,sans-serif;line-height:1.5;color:#051B3F;"&gt;</t>
  </si>
  <si>
    <t>Bart Kolling</t>
  </si>
  <si>
    <t>&lt;div style="max-width:640px;margin:0 auto;padding:16px;"&gt;</t>
  </si>
  <si>
    <t>Bart</t>
  </si>
  <si>
    <t>&lt;p style="margin:0 0 16px;"&gt;</t>
  </si>
  <si>
    <t>&lt;img src="cid:logo" alt="YES!Delft" width="160" style="display:block;border:0;outline:0;"&gt;</t>
  </si>
  <si>
    <t>Kolling</t>
  </si>
  <si>
    <t>&lt;p&gt;Dear ${row[2] || ''},&lt;/p&gt;</t>
  </si>
  <si>
    <t>&lt;p&gt;YES!Delft is turning 20 and we want you to be part of the celebration!&lt;/p&gt;</t>
  </si>
  <si>
    <t>kolling@slamortho.com</t>
  </si>
  <si>
    <t>&lt;p&gt;Join us on &lt;strong&gt;Thursday, October 2nd, 2025&lt;/strong&gt; at &lt;strong&gt;YES!Delft&lt;/strong&gt; for a special anniversary event honoring two decades of empowering tech startups and shaping the future together.&lt;/p&gt;</t>
  </si>
  <si>
    <t>SLAM Orthopedic</t>
  </si>
  <si>
    <t>&lt;ul style="padding-left:20px;margin:0 0 16px;"&gt;</t>
  </si>
  <si>
    <t>&lt;li&gt;&lt;strong&gt;Date:&lt;/strong&gt; October 2, 2025&lt;/li&gt;</t>
  </si>
  <si>
    <t>&lt;li&gt;&lt;strong&gt;Time:&lt;/strong&gt; 15:30 – 23:00&lt;/li&gt;</t>
  </si>
  <si>
    <t>TEC9SK</t>
  </si>
  <si>
    <t>Hanieh Khodaei</t>
  </si>
  <si>
    <t>&lt;li&gt;&lt;strong&gt;Location:&lt;/strong&gt; YES!Delft&lt;/li&gt;</t>
  </si>
  <si>
    <t>Hanieh</t>
  </si>
  <si>
    <t>&lt;li&gt;&lt;strong&gt;&lt;a href="https://yes-delft.typeform.com/to/yCthRB6h?typeform-source=yesdelft.com"&gt;SIGN UP: HERE&lt;/a&gt;&lt;/strong&gt;&lt;/li&gt;</t>
  </si>
  <si>
    <t>Khodaei</t>
  </si>
  <si>
    <t>h.khodaei@tudelft.nl</t>
  </si>
  <si>
    <t>&lt;p&gt;&lt;strong&gt;Over 65 startups&lt;/strong&gt; will be showcasing their innovations throughout our building and pitching live on stage.&lt;/p&gt;</t>
  </si>
  <si>
    <t>&lt;p&gt;For more information check the &lt;a href="https://yesdelft.com/events/yesdelft-20-year-anniversary-celebration-demoday/"&gt;event page&lt;/a&gt;.&lt;/p&gt;</t>
  </si>
  <si>
    <t>&lt;p style="margin-top:24px;"&gt;</t>
  </si>
  <si>
    <t>Warm regards,&lt;br&gt;</t>
  </si>
  <si>
    <t>&lt;strong&gt;The YES!Delft Team&lt;/strong&gt;&lt;br&gt;</t>
  </si>
  <si>
    <t>YES!Delft&lt;br&gt;Molengraaffsingel 12&lt;br&gt;2629JD Delft</t>
  </si>
  <si>
    <t>&lt;/div&gt;</t>
  </si>
  <si>
    <t>&lt;/html&gt;`;</t>
  </si>
  <si>
    <t>// Optioneel: zie grootte (clipping bij hele grote HTML's)</t>
  </si>
  <si>
    <t>Jens Kok</t>
  </si>
  <si>
    <t>Logger.log("HTML length: " + htmlMessage.length);</t>
  </si>
  <si>
    <t>Jens</t>
  </si>
  <si>
    <t>// --- Versturen via GmailApp met inline CID-afbeelding ---</t>
  </si>
  <si>
    <t>Kok</t>
  </si>
  <si>
    <t>GmailApp.sendEmail(emailAddress, subject, textMessage, {</t>
  </si>
  <si>
    <t>j.kok@tudelft.nl</t>
  </si>
  <si>
    <t>name: senderName,</t>
  </si>
  <si>
    <t>replyTo: replyTo,</t>
  </si>
  <si>
    <t>inlineImages: { logo: logoBlob } // &lt;img src="cid:logo"&gt;</t>
  </si>
  <si>
    <t>Benno Tieke</t>
  </si>
  <si>
    <t>Benno</t>
  </si>
  <si>
    <t>// --- Markeren in kolom L ---</t>
  </si>
  <si>
    <t>Tieke</t>
  </si>
  <si>
    <t>if (Error === "") {</t>
  </si>
  <si>
    <t>Daniel de Raadt</t>
  </si>
  <si>
    <t>const sentDate = "Sent to " + emailAddress + " on " + Utilities.formatDate(new Date(), "GMT", "yyyy-MM-dd");</t>
  </si>
  <si>
    <t>benno.tieke@gmail.com</t>
  </si>
  <si>
    <t>Daniel</t>
  </si>
  <si>
    <t>de Raadt</t>
  </si>
  <si>
    <t>d.deraat@vlst.com</t>
  </si>
  <si>
    <t>Logger.log("Row " + (startRow + i) + " Email sent: " + emailAddress);</t>
  </si>
  <si>
    <t>vlst</t>
  </si>
  <si>
    <t>// --- Throttle ---</t>
  </si>
  <si>
    <t>if (i % 50 === 0 &amp;&amp; i !== 0) {</t>
  </si>
  <si>
    <t>philips</t>
  </si>
  <si>
    <t>Utilities.sleep(20000);</t>
  </si>
  <si>
    <t>} else {</t>
  </si>
  <si>
    <t>Utilities.sleep(2000);</t>
  </si>
  <si>
    <t>Q229P7</t>
  </si>
  <si>
    <t>Anastasia Bhadai</t>
  </si>
  <si>
    <t>Anastasia</t>
  </si>
  <si>
    <t>Bhadai</t>
  </si>
  <si>
    <r>
      <rPr>
        <sz val="11.0"/>
        <u/>
      </rPr>
      <t>anastasia.bhadai@rabobank.nl</t>
    </r>
  </si>
  <si>
    <t>Benno Groossman</t>
  </si>
  <si>
    <t>Groossman</t>
  </si>
  <si>
    <t>Benno@groosman.info</t>
  </si>
  <si>
    <t>Salusion</t>
  </si>
  <si>
    <t>KKGO76</t>
  </si>
  <si>
    <t>Sent to anastasia.bhadai@rabobank.nl on 2026-06-08</t>
  </si>
  <si>
    <t>Bhagya Goonewardene</t>
  </si>
  <si>
    <t>Bhagya</t>
  </si>
  <si>
    <t>Goonewardene</t>
  </si>
  <si>
    <t>bhagya@letsenvision.com</t>
  </si>
  <si>
    <t>Danny Winkel</t>
  </si>
  <si>
    <t>Urbandine</t>
  </si>
  <si>
    <t>Danny</t>
  </si>
  <si>
    <t>Winkel</t>
  </si>
  <si>
    <t>AT3FJX</t>
  </si>
  <si>
    <r>
      <rPr>
        <sz val="11.0"/>
        <u/>
      </rPr>
      <t>danny.winkel@rabobank.nl</t>
    </r>
  </si>
  <si>
    <t>Sent to danny.winkel@rabobank.nl on 2026-06-08</t>
  </si>
  <si>
    <t>Bo Wiesman</t>
  </si>
  <si>
    <t>Bo</t>
  </si>
  <si>
    <t>Wiesman</t>
  </si>
  <si>
    <r>
      <rPr>
        <sz val="11.0"/>
        <u/>
      </rPr>
      <t>bo@bluesparrows.nl</t>
    </r>
  </si>
  <si>
    <t>Evelien De Kort</t>
  </si>
  <si>
    <t>Evelien</t>
  </si>
  <si>
    <t>De Kort</t>
  </si>
  <si>
    <r>
      <rPr>
        <sz val="11.0"/>
        <u/>
      </rPr>
      <t>Evelien.de.kort@rabobank.nl</t>
    </r>
  </si>
  <si>
    <t>NewCompliance</t>
  </si>
  <si>
    <t>BPLE8N</t>
  </si>
  <si>
    <t>Sent to Evelien.de.kort@rabobank.nl on 2026-06-08</t>
  </si>
  <si>
    <t>Boris Langendoen</t>
  </si>
  <si>
    <t>Boris</t>
  </si>
  <si>
    <t>Langendoen</t>
  </si>
  <si>
    <t>j.k.langendoen@delftdynamics.nl</t>
  </si>
  <si>
    <t>delftdynamics</t>
  </si>
  <si>
    <t>XRWC5U</t>
  </si>
  <si>
    <t>const LOGO_DRIVE_ID = '1Lk8PFYTknNiibBZ_hBibtYDMyfJcASs9'</t>
  </si>
  <si>
    <t>Marius Hovius</t>
  </si>
  <si>
    <t>Marius</t>
  </si>
  <si>
    <t>Hovius</t>
  </si>
  <si>
    <t>// Haal logo-blob op voor inline CID</t>
  </si>
  <si>
    <r>
      <rPr>
        <sz val="11.0"/>
        <u/>
      </rPr>
      <t>marius.hovius@rabobank.nl</t>
    </r>
  </si>
  <si>
    <t>Chandler hatton</t>
  </si>
  <si>
    <t>Chandler</t>
  </si>
  <si>
    <t>hatton</t>
  </si>
  <si>
    <t>chandlerhatton@simgas.org</t>
  </si>
  <si>
    <t>SimGas</t>
  </si>
  <si>
    <t>YA76QZ</t>
  </si>
  <si>
    <t>var senderName = "Ras Lalmy (YES!Delft)"; // or row[7] if you want personalization</t>
  </si>
  <si>
    <t>Sent to marius.hovius@rabobank.nl on 2026-06-08</t>
  </si>
  <si>
    <t>var subject = "You're invited: YES!Delft 20-year celebration (Oct 2)";</t>
  </si>
  <si>
    <t>Patrick Van Der Toorn</t>
  </si>
  <si>
    <t>Patrick</t>
  </si>
  <si>
    <t>Van Der Toorn</t>
  </si>
  <si>
    <t>Chris van Voorden</t>
  </si>
  <si>
    <t>Chris</t>
  </si>
  <si>
    <r>
      <rPr>
        <sz val="11.0"/>
        <u/>
      </rPr>
      <t>patrick.van.der.toorn@</t>
    </r>
    <r>
      <rPr>
        <sz val="11.0"/>
        <u/>
      </rPr>
      <t>rabobank.nl</t>
    </r>
  </si>
  <si>
    <t>&lt;li&gt;Date: October 2, 2025&lt;/li&gt;</t>
  </si>
  <si>
    <t>van Voorden</t>
  </si>
  <si>
    <t>&lt;li&gt;Time: 15:30 – 23:00&lt;/li&gt;</t>
  </si>
  <si>
    <t>chris.vanvoorden@innovationquarter.nl</t>
  </si>
  <si>
    <t>&lt;li&gt;Location: YES!Delft&lt;/li&gt;</t>
  </si>
  <si>
    <t>&lt;li&gt;&lt;strong&gt;&lt;a href="https://yes-delft.typeform.com/to/yCthRB6h?typeform-source=yesdelft.com"&gt;</t>
  </si>
  <si>
    <t>&lt;strong&gt;Over 65 startups&lt;/strong&gt; will be showcasing their innovations throughout our building and pitching live on stage.</t>
  </si>
  <si>
    <t>&lt;p&gt;Check &lt;a href="https://yesdelft.com/events/yesdelft-20-year-anniversary-celebration-demoday/"&gt;</t>
  </si>
  <si>
    <t>the eventpage&lt;/a&gt;, for all the startups that will be there!&lt;/p&gt;</t>
  </si>
  <si>
    <t>Horizon Flevoland</t>
  </si>
  <si>
    <t>&lt;li&gt;Inspiring keynotes and panels on the main stage with startup founders and:</t>
  </si>
  <si>
    <t>&lt;li&gt;&lt;strong&gt;Vincent Karremans&lt;/strong&gt; from Ministry of Economic Affairs&lt;/li&gt;</t>
  </si>
  <si>
    <t>Sent to patrick.van.der.toorn@rabobank.nl on 2026-06-08</t>
  </si>
  <si>
    <t>Peter Smid</t>
  </si>
  <si>
    <t>Peter</t>
  </si>
  <si>
    <t>Smit</t>
  </si>
  <si>
    <t>peter.smit@rabobank.com</t>
  </si>
  <si>
    <t>Sent to peter.smit@rabobank.com on 2026-06-08</t>
  </si>
  <si>
    <t>Christiaan van Nispen</t>
  </si>
  <si>
    <t>Christiaan</t>
  </si>
  <si>
    <t>van Nispen</t>
  </si>
  <si>
    <t>christiaan@tilercharge.com</t>
  </si>
  <si>
    <t>tilercharge</t>
  </si>
  <si>
    <t>Rodney Goijer</t>
  </si>
  <si>
    <t>Rodney</t>
  </si>
  <si>
    <t>U9XMLU</t>
  </si>
  <si>
    <t>Goijer</t>
  </si>
  <si>
    <t>replyTo: "anniversary@yesdelft.com",</t>
  </si>
  <si>
    <r>
      <rPr>
        <sz val="11.0"/>
        <u/>
      </rPr>
      <t>rodney.goijer@rabobank.nl</t>
    </r>
  </si>
  <si>
    <t>inlineImages: { logo: logoBlob } // &lt;-- `cid:logo` verwijst hiernaar</t>
  </si>
  <si>
    <t>Utilities.sleep(20000); // na elke 20 mails: 10 seconden pauze</t>
  </si>
  <si>
    <t>Sent to rodney.goijer@rabobank.nl on 2026-06-08</t>
  </si>
  <si>
    <t>Utilities.sleep(2000); // standaard 1 seconden tussen mails</t>
  </si>
  <si>
    <t>}}</t>
  </si>
  <si>
    <t>Christopher Arida</t>
  </si>
  <si>
    <t>Christopher</t>
  </si>
  <si>
    <t>Arida</t>
  </si>
  <si>
    <t>christopherarida@diwama.com</t>
  </si>
  <si>
    <t>ZCFNB9</t>
  </si>
  <si>
    <t>Erik Heer</t>
  </si>
  <si>
    <t>Erik</t>
  </si>
  <si>
    <t>Heer</t>
  </si>
  <si>
    <t>erik.de.heer@nl.ey.com</t>
  </si>
  <si>
    <t>nl</t>
  </si>
  <si>
    <t>Don't send</t>
  </si>
  <si>
    <t>new job</t>
  </si>
  <si>
    <t>Maaike terwindt</t>
  </si>
  <si>
    <t>Maaike</t>
  </si>
  <si>
    <t>terwindt</t>
  </si>
  <si>
    <t>terwindt@google.com</t>
  </si>
  <si>
    <t>google</t>
  </si>
  <si>
    <t>new role</t>
  </si>
  <si>
    <t>Claire Bénard</t>
  </si>
  <si>
    <t xml:space="preserve">Claire </t>
  </si>
  <si>
    <t>Bénard</t>
  </si>
  <si>
    <t>Dirk van Lammeren</t>
  </si>
  <si>
    <t>Dirk</t>
  </si>
  <si>
    <t>van Lammeren</t>
  </si>
  <si>
    <t>claire@merqato.eu</t>
  </si>
  <si>
    <t>primevision</t>
  </si>
  <si>
    <t>merqato</t>
  </si>
  <si>
    <t>P4ZPMZ</t>
  </si>
  <si>
    <t>no primevision</t>
  </si>
  <si>
    <t>Michael</t>
  </si>
  <si>
    <t>Daan</t>
  </si>
  <si>
    <t>minbuza</t>
  </si>
  <si>
    <t>daan@protension.nl</t>
  </si>
  <si>
    <t>Protension Composites</t>
  </si>
  <si>
    <t>Discount</t>
  </si>
  <si>
    <t>5Z7I83</t>
  </si>
  <si>
    <t>Marisa Schneider</t>
  </si>
  <si>
    <t>Marisa</t>
  </si>
  <si>
    <t>Schneider</t>
  </si>
  <si>
    <t>Daniël van den Bosch</t>
  </si>
  <si>
    <t>Daniël</t>
  </si>
  <si>
    <t>van den Bosch</t>
  </si>
  <si>
    <t>daniel@vibestechnology.com</t>
  </si>
  <si>
    <t>vibestechnology</t>
  </si>
  <si>
    <t xml:space="preserve">Jolanda van Schaick pzh	Jolanda van Schaick	Jolanda	van Schaick	jm.van.schaick@pzh.nl	pzh	Government	Freek Smoes (YES!Delft) 		J9J6AO	Free	Bounce July	#N/A																		</t>
  </si>
  <si>
    <t>1137HG</t>
  </si>
  <si>
    <t>Dennis Saaltink</t>
  </si>
  <si>
    <t>Dennis</t>
  </si>
  <si>
    <t>Saaltink</t>
  </si>
  <si>
    <t>dennis@checkzis.com</t>
  </si>
  <si>
    <t>CheckZis</t>
  </si>
  <si>
    <t>WSBHKJ</t>
  </si>
  <si>
    <t>FOUTJE</t>
  </si>
  <si>
    <t>Dirk Dokter</t>
  </si>
  <si>
    <t>Dokter</t>
  </si>
  <si>
    <t>dirk.dokter@atmosuav.com</t>
  </si>
  <si>
    <t>atmosuav</t>
  </si>
  <si>
    <t>C8IZUC</t>
  </si>
  <si>
    <t>E. Geertsema</t>
  </si>
  <si>
    <t>E.</t>
  </si>
  <si>
    <t>Geertsema</t>
  </si>
  <si>
    <t>e.geertsema@antoniusziekenhuis.nl</t>
  </si>
  <si>
    <t>antoniusziekenhuis</t>
  </si>
  <si>
    <t>Eduard Ijsselmuiden</t>
  </si>
  <si>
    <t>Eduard</t>
  </si>
  <si>
    <t>Ijsselmuiden</t>
  </si>
  <si>
    <t>e.g.ijsselmuiden@delftdynamics.nl</t>
  </si>
  <si>
    <t>B3KMTG</t>
  </si>
  <si>
    <t>Eldert Besseling</t>
  </si>
  <si>
    <t>Eldert</t>
  </si>
  <si>
    <t>Besseling</t>
  </si>
  <si>
    <t>eldert.besseling@campusatsea.nl</t>
  </si>
  <si>
    <t>campusatsea</t>
  </si>
  <si>
    <t>Emil Hernandez</t>
  </si>
  <si>
    <t>Emil</t>
  </si>
  <si>
    <t>Hernandez</t>
  </si>
  <si>
    <t>emil@renset.nl</t>
  </si>
  <si>
    <t>Renset bv</t>
  </si>
  <si>
    <t>QWCAL0</t>
  </si>
  <si>
    <t>Ernesto</t>
  </si>
  <si>
    <t>ernesto@mobbr.com</t>
  </si>
  <si>
    <t>Mobbr Crowd Payment</t>
  </si>
  <si>
    <t>K4CQ7T</t>
  </si>
  <si>
    <t>Esther Zandvliet</t>
  </si>
  <si>
    <t xml:space="preserve">Esther </t>
  </si>
  <si>
    <t>Zandvliet</t>
  </si>
  <si>
    <t>ezandvliet@arnold-siedsma.nl</t>
  </si>
  <si>
    <t>arnold-siedsma</t>
  </si>
  <si>
    <t>XCK3K7</t>
  </si>
  <si>
    <t>Evgeny</t>
  </si>
  <si>
    <t xml:space="preserve">Evgeny </t>
  </si>
  <si>
    <t>eshavlyugin@evist.ai</t>
  </si>
  <si>
    <t>EVI Safety Technology</t>
  </si>
  <si>
    <t>O85TDB</t>
  </si>
  <si>
    <t>Finn Boonman</t>
  </si>
  <si>
    <t>Finn</t>
  </si>
  <si>
    <t>Boonman</t>
  </si>
  <si>
    <t>finn@olympian.ai</t>
  </si>
  <si>
    <t>U8YT8B</t>
  </si>
  <si>
    <t>Florent Gatin</t>
  </si>
  <si>
    <t>Florent</t>
  </si>
  <si>
    <t>Gatin</t>
  </si>
  <si>
    <t>florent@kien.io</t>
  </si>
  <si>
    <t>kien</t>
  </si>
  <si>
    <t>PBKKDX</t>
  </si>
  <si>
    <t>Frank van der Ent</t>
  </si>
  <si>
    <t>Frank</t>
  </si>
  <si>
    <t>van der Ent</t>
  </si>
  <si>
    <t>frank.vanderent@tribess.com</t>
  </si>
  <si>
    <t>tribess</t>
  </si>
  <si>
    <t>47QEXY</t>
  </si>
  <si>
    <t>Gerrit Jan Van 't Veen</t>
  </si>
  <si>
    <t>Gerrit Jan</t>
  </si>
  <si>
    <t>Van 't Veen</t>
  </si>
  <si>
    <r>
      <rPr>
        <sz val="11.0"/>
        <u/>
      </rPr>
      <t>gj@dutchcoastsoftware.com</t>
    </r>
  </si>
  <si>
    <t>Mills, Clay and Carpenter</t>
  </si>
  <si>
    <t>R9NC86</t>
  </si>
  <si>
    <t>Gunawan Kusuma</t>
  </si>
  <si>
    <t>Gunawan</t>
  </si>
  <si>
    <t>Kusuma</t>
  </si>
  <si>
    <t>g.kusuma@hcinnovations.nl</t>
  </si>
  <si>
    <t>4FOLD (Holland Container Innovations)</t>
  </si>
  <si>
    <t>IPM4WY</t>
  </si>
  <si>
    <t>Hans Cool</t>
  </si>
  <si>
    <t>Hans</t>
  </si>
  <si>
    <t>Cool</t>
  </si>
  <si>
    <t>hans.cool@alucha.com</t>
  </si>
  <si>
    <t>alucha</t>
  </si>
  <si>
    <t>Hein Willems</t>
  </si>
  <si>
    <t>Hein</t>
  </si>
  <si>
    <t>Willems</t>
  </si>
  <si>
    <t>hein@medvice.io</t>
  </si>
  <si>
    <t>Medvice Digital Health</t>
  </si>
  <si>
    <t>388QUR</t>
  </si>
  <si>
    <t>Helen Nofrina</t>
  </si>
  <si>
    <t>Helen</t>
  </si>
  <si>
    <t>Nofrina</t>
  </si>
  <si>
    <t>helen.nofrina@focalyse.com</t>
  </si>
  <si>
    <t>focalyse</t>
  </si>
  <si>
    <t>Henk Smith</t>
  </si>
  <si>
    <t>Henk</t>
  </si>
  <si>
    <t>Smith</t>
  </si>
  <si>
    <t>hjsmith@smithoverseas.com</t>
  </si>
  <si>
    <t>OCRS smithoverseas</t>
  </si>
  <si>
    <t>GSL7EN</t>
  </si>
  <si>
    <t>Iris Schut</t>
  </si>
  <si>
    <t>Iris</t>
  </si>
  <si>
    <t>Schut</t>
  </si>
  <si>
    <t>iris.schut@rvo.nl</t>
  </si>
  <si>
    <t>rvo</t>
  </si>
  <si>
    <t>GDKWUU</t>
  </si>
  <si>
    <t>Isaac Kargar</t>
  </si>
  <si>
    <t>Isaac</t>
  </si>
  <si>
    <t>Kargar</t>
  </si>
  <si>
    <t>isaac.kargar@supplyz.eu</t>
  </si>
  <si>
    <t>supplyz</t>
  </si>
  <si>
    <t>T903PS</t>
  </si>
  <si>
    <t>Jaap Roggeveen</t>
  </si>
  <si>
    <t>Roggeveen</t>
  </si>
  <si>
    <t>jaap.roggeveen@gyromotics.com</t>
  </si>
  <si>
    <t>Gyromotics</t>
  </si>
  <si>
    <t>C6BO4F</t>
  </si>
  <si>
    <t>Jacky Ferdinand Henriette Wetzels</t>
  </si>
  <si>
    <t>Jacky Ferdinand Henriette</t>
  </si>
  <si>
    <t>Wetzels</t>
  </si>
  <si>
    <t>jack@protension.eu</t>
  </si>
  <si>
    <t>N180P9</t>
  </si>
  <si>
    <t>OK FS</t>
  </si>
  <si>
    <t>Jan Van Kranendonk</t>
  </si>
  <si>
    <t>Jan</t>
  </si>
  <si>
    <t>Van Kranendonk</t>
  </si>
  <si>
    <t>jan@sunuru.net</t>
  </si>
  <si>
    <t>Sunuru</t>
  </si>
  <si>
    <t>333JDA</t>
  </si>
  <si>
    <t>Jasper Hartong</t>
  </si>
  <si>
    <t>Jasper</t>
  </si>
  <si>
    <t>Hartong</t>
  </si>
  <si>
    <t>jasper@calendar42.com</t>
  </si>
  <si>
    <t>calendar42</t>
  </si>
  <si>
    <t>6D66LE</t>
  </si>
  <si>
    <t>OK, jg</t>
  </si>
  <si>
    <t>Jenny Inchbald</t>
  </si>
  <si>
    <t>Inchbald</t>
  </si>
  <si>
    <t>jenny@meshlingerie.nl</t>
  </si>
  <si>
    <t>meshlingerie</t>
  </si>
  <si>
    <t>CJL2IH</t>
  </si>
  <si>
    <t>Jens Bal</t>
  </si>
  <si>
    <t>Bal</t>
  </si>
  <si>
    <t>jens.bal@ephicas.eu</t>
  </si>
  <si>
    <t>Ephicas</t>
  </si>
  <si>
    <t>WBSAM3</t>
  </si>
  <si>
    <t>Jeroen</t>
  </si>
  <si>
    <t>jeroen@checkzis.com</t>
  </si>
  <si>
    <t>Checkzis</t>
  </si>
  <si>
    <t>7FVLSQ</t>
  </si>
  <si>
    <t>Jeroen Schipper</t>
  </si>
  <si>
    <t>Schipper</t>
  </si>
  <si>
    <t>jeroen.schipper@denhaag.nl</t>
  </si>
  <si>
    <t>denhaag</t>
  </si>
  <si>
    <t>NAX3IS</t>
  </si>
  <si>
    <t>Jeroen Cevaal</t>
  </si>
  <si>
    <t>Cevaal</t>
  </si>
  <si>
    <t>jeroen@polytential.eu</t>
  </si>
  <si>
    <t>Polytential</t>
  </si>
  <si>
    <t>SNTERE</t>
  </si>
  <si>
    <t>Joep van Heesch</t>
  </si>
  <si>
    <t>Joep</t>
  </si>
  <si>
    <t>van Heesch</t>
  </si>
  <si>
    <t>info@in-duc.com</t>
  </si>
  <si>
    <t>IN-DUC</t>
  </si>
  <si>
    <t>Startup/Founder</t>
  </si>
  <si>
    <t>IJAMYA</t>
  </si>
  <si>
    <t>Joeri</t>
  </si>
  <si>
    <t>jouri@shake-on.com</t>
  </si>
  <si>
    <t>Shake-on</t>
  </si>
  <si>
    <t>IUFY8G</t>
  </si>
  <si>
    <t>Johannes Luijten</t>
  </si>
  <si>
    <t>Johannes</t>
  </si>
  <si>
    <t>Luijten</t>
  </si>
  <si>
    <t>j.luijten@adjuvomotion.com</t>
  </si>
  <si>
    <t>adjuvomotion</t>
  </si>
  <si>
    <t>W4LWRG</t>
  </si>
  <si>
    <t>John Harinck</t>
  </si>
  <si>
    <t>John</t>
  </si>
  <si>
    <t>Harinck</t>
  </si>
  <si>
    <t>j.harinck@gensos.nl</t>
  </si>
  <si>
    <t>Gensos</t>
  </si>
  <si>
    <t>JTXI4R</t>
  </si>
  <si>
    <t>John Beckett</t>
  </si>
  <si>
    <t>Beckett</t>
  </si>
  <si>
    <t>john@vemble.com</t>
  </si>
  <si>
    <t>vemble</t>
  </si>
  <si>
    <t>AZ3WHM</t>
  </si>
  <si>
    <t>Joost Bouman</t>
  </si>
  <si>
    <t>Joost</t>
  </si>
  <si>
    <t>Bouman</t>
  </si>
  <si>
    <t>joost.bouman@atmosuav.com</t>
  </si>
  <si>
    <t>7QT78C</t>
  </si>
  <si>
    <t>Joost Dekker</t>
  </si>
  <si>
    <t>Dekker</t>
  </si>
  <si>
    <t>Joost.dekker@chemsix.com</t>
  </si>
  <si>
    <t>ChemSIX</t>
  </si>
  <si>
    <t>8NH091</t>
  </si>
  <si>
    <t>Joost Dieben</t>
  </si>
  <si>
    <t>Dieben</t>
  </si>
  <si>
    <t>jdieben@maeve.aero</t>
  </si>
  <si>
    <t>maeve</t>
  </si>
  <si>
    <t>0CPCB0</t>
  </si>
  <si>
    <t>Joost van Oorschot</t>
  </si>
  <si>
    <t>van Oorschot</t>
  </si>
  <si>
    <t>vanoorschot@synkick.com</t>
  </si>
  <si>
    <t>Synkick</t>
  </si>
  <si>
    <t>1GIR9L</t>
  </si>
  <si>
    <t>Jorrit Lucas</t>
  </si>
  <si>
    <t>Jorrit</t>
  </si>
  <si>
    <t>jorrit.lucas@peeekspower.com</t>
  </si>
  <si>
    <t>Peeeks</t>
  </si>
  <si>
    <t>IZKWJV</t>
  </si>
  <si>
    <t>ok, jg</t>
  </si>
  <si>
    <t>K G Smit</t>
  </si>
  <si>
    <t>K G</t>
  </si>
  <si>
    <t>k.g.smit@gensos.nl</t>
  </si>
  <si>
    <t>C1VOQK</t>
  </si>
  <si>
    <t>Koen Bertels</t>
  </si>
  <si>
    <t>Koen</t>
  </si>
  <si>
    <t>Bertels</t>
  </si>
  <si>
    <t>k.l.m.bertels@tudelft.nl</t>
  </si>
  <si>
    <t>Bluebee</t>
  </si>
  <si>
    <t>0MVJVS</t>
  </si>
  <si>
    <t>koen@flexsolsolutions.com</t>
  </si>
  <si>
    <t>FlexSol Solutions</t>
  </si>
  <si>
    <t>SAWYNX</t>
  </si>
  <si>
    <t>Koen van der Maaden</t>
  </si>
  <si>
    <t>van der Maaden</t>
  </si>
  <si>
    <t>koen.van.der.maaden@uprax.nl</t>
  </si>
  <si>
    <t>uprax</t>
  </si>
  <si>
    <t>7XGA5N</t>
  </si>
  <si>
    <t>Leander Ross</t>
  </si>
  <si>
    <t>Leander</t>
  </si>
  <si>
    <t>Ross</t>
  </si>
  <si>
    <t>leander@quintech.nl</t>
  </si>
  <si>
    <t>Type22 (QuinTech)</t>
  </si>
  <si>
    <t>BG2L4P</t>
  </si>
  <si>
    <t>Lidewij van Twillert</t>
  </si>
  <si>
    <t>Lidewij</t>
  </si>
  <si>
    <t>van Twillert</t>
  </si>
  <si>
    <t>lidewij@meshlingerie.nl</t>
  </si>
  <si>
    <t>2NEX7G</t>
  </si>
  <si>
    <t>Lisanne van Dijk</t>
  </si>
  <si>
    <t>Lisanne</t>
  </si>
  <si>
    <t>van Dijk</t>
  </si>
  <si>
    <t>lisanne@crscnt.tech</t>
  </si>
  <si>
    <t>Crescent Technologies</t>
  </si>
  <si>
    <t>WCS8NF</t>
  </si>
  <si>
    <t>M Wisse</t>
  </si>
  <si>
    <t>M</t>
  </si>
  <si>
    <t>Wisse</t>
  </si>
  <si>
    <t>m.wisse@lacquey.nl</t>
  </si>
  <si>
    <t>Lacquey Robot Grasping Solutions</t>
  </si>
  <si>
    <t>9J1HMM</t>
  </si>
  <si>
    <t>M de meijer</t>
  </si>
  <si>
    <t>de meijer</t>
  </si>
  <si>
    <t>m.demeijer@nerdalize.com</t>
  </si>
  <si>
    <t>Nerdalize</t>
  </si>
  <si>
    <t>WLW13H</t>
  </si>
  <si>
    <t>Maarten Kuijper</t>
  </si>
  <si>
    <t>Kuijper</t>
  </si>
  <si>
    <t>maarten@deltasync.nl</t>
  </si>
  <si>
    <t>deltasync</t>
  </si>
  <si>
    <t>JRUP5I</t>
  </si>
  <si>
    <t>Maayke Aimee Damen</t>
  </si>
  <si>
    <t>Maayke Aimee</t>
  </si>
  <si>
    <t>Damen</t>
  </si>
  <si>
    <t>maaykedamen@excessmaterialsexchange.com</t>
  </si>
  <si>
    <t>Excess Materials Exchange</t>
  </si>
  <si>
    <t>D7MEN3</t>
  </si>
  <si>
    <t>Marcel Kroezen</t>
  </si>
  <si>
    <t>Marcel</t>
  </si>
  <si>
    <t>Kroezen</t>
  </si>
  <si>
    <t>marcel@mungosworks.nl</t>
  </si>
  <si>
    <t>H2HSBI</t>
  </si>
  <si>
    <t>Marie-jose</t>
  </si>
  <si>
    <t>Tekkoo</t>
  </si>
  <si>
    <t>Marije Wassenaar</t>
  </si>
  <si>
    <t>Marije</t>
  </si>
  <si>
    <t>Wassenaar</t>
  </si>
  <si>
    <t>marije.wassenaar@ams-institute.org</t>
  </si>
  <si>
    <t>ams-institute.org</t>
  </si>
  <si>
    <t>27MP3A</t>
  </si>
  <si>
    <t>Marijn Flipse</t>
  </si>
  <si>
    <t>Marijn</t>
  </si>
  <si>
    <t>Flipse</t>
  </si>
  <si>
    <t>marijnflipse@boltmobility.nl</t>
  </si>
  <si>
    <t>Boltmobility</t>
  </si>
  <si>
    <t>3YPGHZ</t>
  </si>
  <si>
    <t>Mark Appels</t>
  </si>
  <si>
    <t>Mark</t>
  </si>
  <si>
    <t>Appels</t>
  </si>
  <si>
    <t>mark.appels@abu-es.com</t>
  </si>
  <si>
    <t>ABU Engineered Solutions</t>
  </si>
  <si>
    <t>FS5SRB</t>
  </si>
  <si>
    <t>Martijn Vogten</t>
  </si>
  <si>
    <t>Martijn</t>
  </si>
  <si>
    <t>Vogten</t>
  </si>
  <si>
    <t>martijn@steljevraag.nl</t>
  </si>
  <si>
    <t>steljevraag</t>
  </si>
  <si>
    <t>K5DERX</t>
  </si>
  <si>
    <t>Martin van Hemert</t>
  </si>
  <si>
    <t>Martin</t>
  </si>
  <si>
    <t>van Hemert</t>
  </si>
  <si>
    <t>martin@lexiq.nl</t>
  </si>
  <si>
    <t>lexiq</t>
  </si>
  <si>
    <t>R6AAO1</t>
  </si>
  <si>
    <t>Martin prins</t>
  </si>
  <si>
    <t>prins</t>
  </si>
  <si>
    <t>martin.prins@tdcg.nl</t>
  </si>
  <si>
    <t>The Datacenter Group</t>
  </si>
  <si>
    <t>FDC3KN</t>
  </si>
  <si>
    <t>Mels van Hoolwerff</t>
  </si>
  <si>
    <t>Mels</t>
  </si>
  <si>
    <t>van Hoolwerff</t>
  </si>
  <si>
    <t>mels@solarmonkey.nl</t>
  </si>
  <si>
    <t>solarmonkey</t>
  </si>
  <si>
    <t>DZR8SY</t>
  </si>
  <si>
    <t>Michael van der Cammen</t>
  </si>
  <si>
    <t>van der Cammen</t>
  </si>
  <si>
    <t>michael.vandercammen@lexiq.nl</t>
  </si>
  <si>
    <t>LexIQ</t>
  </si>
  <si>
    <t>OEUT4V</t>
  </si>
  <si>
    <t>Michael van Schie</t>
  </si>
  <si>
    <t>van Schie</t>
  </si>
  <si>
    <t>mike@newcompliance.nl</t>
  </si>
  <si>
    <t>newcompliance</t>
  </si>
  <si>
    <t>X908SC</t>
  </si>
  <si>
    <t>Michael Fritschi</t>
  </si>
  <si>
    <t>Fritschi</t>
  </si>
  <si>
    <t>m.fritschi@springscan.com</t>
  </si>
  <si>
    <t>SpringScan</t>
  </si>
  <si>
    <t>2K6X23</t>
  </si>
  <si>
    <t>Michael Jenkins - JP motorcycles</t>
  </si>
  <si>
    <t>Michael Jenkins - JP</t>
  </si>
  <si>
    <t>motorcycles</t>
  </si>
  <si>
    <t>michael.jenkins@jpmotorcycles.nl</t>
  </si>
  <si>
    <t>JP Motorcycles</t>
  </si>
  <si>
    <t>GNGXMH</t>
  </si>
  <si>
    <t>ok</t>
  </si>
  <si>
    <t xml:space="preserve">marjans code </t>
  </si>
  <si>
    <t>Murat Tarakci</t>
  </si>
  <si>
    <t>Murat</t>
  </si>
  <si>
    <t>Tarakci</t>
  </si>
  <si>
    <t>tarakci@rsm.nl</t>
  </si>
  <si>
    <t>rsm</t>
  </si>
  <si>
    <t>Nazli Cila</t>
  </si>
  <si>
    <t>Nazli</t>
  </si>
  <si>
    <t>Cila</t>
  </si>
  <si>
    <r>
      <rPr>
        <sz val="11.0"/>
        <u/>
      </rPr>
      <t>n.cila@tudelft.com</t>
    </r>
  </si>
  <si>
    <t>Tebesir</t>
  </si>
  <si>
    <t>RMPB67</t>
  </si>
  <si>
    <t>Nebras Ozzo</t>
  </si>
  <si>
    <t>Nebras</t>
  </si>
  <si>
    <t>Ozzo</t>
  </si>
  <si>
    <t>nebras@conical.ai</t>
  </si>
  <si>
    <t>DZZWDX</t>
  </si>
  <si>
    <t>Niko van Meurs</t>
  </si>
  <si>
    <t>Niko</t>
  </si>
  <si>
    <t>van Meurs</t>
  </si>
  <si>
    <t>niko@olympian.ai</t>
  </si>
  <si>
    <t>W3KVV7</t>
  </si>
  <si>
    <t>Patrick Savalle</t>
  </si>
  <si>
    <t>Savalle</t>
  </si>
  <si>
    <t>patrick@mobbr.com</t>
  </si>
  <si>
    <t>98WUUL</t>
  </si>
  <si>
    <t>Paul Breur</t>
  </si>
  <si>
    <t>Paul</t>
  </si>
  <si>
    <t>Breur</t>
  </si>
  <si>
    <t>Paul@mungosworks.nl</t>
  </si>
  <si>
    <t>IPRK8U</t>
  </si>
  <si>
    <t>Peter Brouwer</t>
  </si>
  <si>
    <t>Brouwer</t>
  </si>
  <si>
    <t>p.brouwer@hcinnovations.nl</t>
  </si>
  <si>
    <t>OTYPOK</t>
  </si>
  <si>
    <t>Peter Hulshof</t>
  </si>
  <si>
    <t>Hulshof</t>
  </si>
  <si>
    <t>peter@gradyent.ai</t>
  </si>
  <si>
    <t>gradyent</t>
  </si>
  <si>
    <t>Niet meer bij Gradyent</t>
  </si>
  <si>
    <t>Phuc Vuong</t>
  </si>
  <si>
    <t>Phuc</t>
  </si>
  <si>
    <t>Vuong</t>
  </si>
  <si>
    <t>phuc.vuong@abu-es.com</t>
  </si>
  <si>
    <t>ander mailadres</t>
  </si>
  <si>
    <t>J3HIW4</t>
  </si>
  <si>
    <t>Pietro Faggiani</t>
  </si>
  <si>
    <t>Pietro</t>
  </si>
  <si>
    <t>Faggiani</t>
  </si>
  <si>
    <t>p.faggiani@kitepower.nl</t>
  </si>
  <si>
    <t>kitepower</t>
  </si>
  <si>
    <t>KWURHT</t>
  </si>
  <si>
    <t>Pinhas Reich</t>
  </si>
  <si>
    <t>Pinhas</t>
  </si>
  <si>
    <t>Reich</t>
  </si>
  <si>
    <t>pinhas@voicesense.com</t>
  </si>
  <si>
    <t>ForceSense (Medishield)</t>
  </si>
  <si>
    <t>JWSSKX</t>
  </si>
  <si>
    <t>Pradeep Pandurangi</t>
  </si>
  <si>
    <t>Pradeep</t>
  </si>
  <si>
    <t>Pandurangi</t>
  </si>
  <si>
    <t>pradeep@levitascomposites.com</t>
  </si>
  <si>
    <t>Levitas Composite Structures</t>
  </si>
  <si>
    <t>D051DR</t>
  </si>
  <si>
    <t>R Blokker</t>
  </si>
  <si>
    <t>R</t>
  </si>
  <si>
    <t>Blokker</t>
  </si>
  <si>
    <t>r.blokker@bluerise.nl</t>
  </si>
  <si>
    <t>Bluerise</t>
  </si>
  <si>
    <t>54YUHJ</t>
  </si>
  <si>
    <t>Rafael Carvalho</t>
  </si>
  <si>
    <t>Rafael</t>
  </si>
  <si>
    <t>Carvalho</t>
  </si>
  <si>
    <t>rafael@riskapp.com</t>
  </si>
  <si>
    <t>RiskApp</t>
  </si>
  <si>
    <t>YVYMXD</t>
  </si>
  <si>
    <t>Raimond Haan</t>
  </si>
  <si>
    <t xml:space="preserve">Raimond </t>
  </si>
  <si>
    <t>Haan</t>
  </si>
  <si>
    <t>rhaan@arnold-siedsma.nl</t>
  </si>
  <si>
    <t>0M5VJL</t>
  </si>
  <si>
    <t>Ranjeet Sengar</t>
  </si>
  <si>
    <t>Ranjeet</t>
  </si>
  <si>
    <t>Sengar</t>
  </si>
  <si>
    <t>ranjeet@yokai.network</t>
  </si>
  <si>
    <t>Yokai</t>
  </si>
  <si>
    <t>ESXFJC</t>
  </si>
  <si>
    <t>Rik van den Reijen</t>
  </si>
  <si>
    <t>Rik</t>
  </si>
  <si>
    <t>van den Reijen</t>
  </si>
  <si>
    <t>Rik@CO2Zero.online</t>
  </si>
  <si>
    <t>CO2Zero</t>
  </si>
  <si>
    <t>ZGQGT2</t>
  </si>
  <si>
    <t>Sally Jibrail</t>
  </si>
  <si>
    <t>Sally</t>
  </si>
  <si>
    <t>Jibrail</t>
  </si>
  <si>
    <t>sjibrail@maeve.aero</t>
  </si>
  <si>
    <t>ZDVLCR</t>
  </si>
  <si>
    <t>Samy Andary</t>
  </si>
  <si>
    <t>Samy</t>
  </si>
  <si>
    <t>Andary</t>
  </si>
  <si>
    <t>samy@crscnt.tech</t>
  </si>
  <si>
    <t>2MFT2Q</t>
  </si>
  <si>
    <t>Sanne castro</t>
  </si>
  <si>
    <t>Sanne</t>
  </si>
  <si>
    <t>castro</t>
  </si>
  <si>
    <t>sannecastro@simgas.org</t>
  </si>
  <si>
    <t>5VKTXN</t>
  </si>
  <si>
    <t>Siem Kok</t>
  </si>
  <si>
    <t>Siem</t>
  </si>
  <si>
    <t>siem@feedbackfruits.com</t>
  </si>
  <si>
    <t>feedbackfruits</t>
  </si>
  <si>
    <t>RVDMXS</t>
  </si>
  <si>
    <t>Simone Amicabile</t>
  </si>
  <si>
    <t>Simone</t>
  </si>
  <si>
    <t>Amicabile</t>
  </si>
  <si>
    <t>samicabile@solho.eu</t>
  </si>
  <si>
    <t>solho</t>
  </si>
  <si>
    <t>L0E5M1</t>
  </si>
  <si>
    <t>Sina Dezfuli</t>
  </si>
  <si>
    <t>Sina</t>
  </si>
  <si>
    <t>Dezfuli</t>
  </si>
  <si>
    <t>sina@phoenixtechlabs.com</t>
  </si>
  <si>
    <t>Phoenix bone tech</t>
  </si>
  <si>
    <t>HQA813</t>
  </si>
  <si>
    <t>Sjoerd Lageweg</t>
  </si>
  <si>
    <t>Sjoerd</t>
  </si>
  <si>
    <t>Lageweg</t>
  </si>
  <si>
    <t>F8N5QL</t>
  </si>
  <si>
    <t>Stefan van der Elst</t>
  </si>
  <si>
    <t>Stefan</t>
  </si>
  <si>
    <t>van der Elst</t>
  </si>
  <si>
    <t>stefan.vanderelst@ke-works.com</t>
  </si>
  <si>
    <t>KE-works</t>
  </si>
  <si>
    <t>G81966</t>
  </si>
  <si>
    <t>afgemeld</t>
  </si>
  <si>
    <t>Stefan Van Cleef</t>
  </si>
  <si>
    <t>Van Cleef</t>
  </si>
  <si>
    <t>stefan@ysvogel.com</t>
  </si>
  <si>
    <t>YSVOGEL</t>
  </si>
  <si>
    <t>W6SZEE</t>
  </si>
  <si>
    <t>Sylvain van der Meer</t>
  </si>
  <si>
    <t>Sylvain</t>
  </si>
  <si>
    <t>van der Meer</t>
  </si>
  <si>
    <t>sylvain.vd.meer@choppi-aviation.com</t>
  </si>
  <si>
    <t>VIKTOR (MOCS)</t>
  </si>
  <si>
    <t>y</t>
  </si>
  <si>
    <t>Tarek Gobar</t>
  </si>
  <si>
    <t>Tarek</t>
  </si>
  <si>
    <t>Gobar</t>
  </si>
  <si>
    <t>ghobar@icysolutions.nl</t>
  </si>
  <si>
    <t>Icysolutions</t>
  </si>
  <si>
    <t>Z6UM8L</t>
  </si>
  <si>
    <t>ok AM</t>
  </si>
  <si>
    <t>Tetyana Bilyachenko</t>
  </si>
  <si>
    <t>Tetyana</t>
  </si>
  <si>
    <t>Bilyachenko</t>
  </si>
  <si>
    <t>tetyana@vemble.com</t>
  </si>
  <si>
    <t>HBT3CE</t>
  </si>
  <si>
    <t>Thijs Veldhuis</t>
  </si>
  <si>
    <t>Thijs</t>
  </si>
  <si>
    <t>Veldhuis</t>
  </si>
  <si>
    <t>t.veldhuis@lanefyld.com</t>
  </si>
  <si>
    <t>lanefyld</t>
  </si>
  <si>
    <t>R3XDI3</t>
  </si>
  <si>
    <t>Thijs Bieling</t>
  </si>
  <si>
    <t>Bieling</t>
  </si>
  <si>
    <t>thijs@plense.tech</t>
  </si>
  <si>
    <t>Plense Technologies</t>
  </si>
  <si>
    <t>C6ZKML</t>
  </si>
  <si>
    <t>Thomas van Elzakker</t>
  </si>
  <si>
    <t>Thomas</t>
  </si>
  <si>
    <t>van Elzakker</t>
  </si>
  <si>
    <t>t.vanelzakker@i-optics.com</t>
  </si>
  <si>
    <t>i-Optics</t>
  </si>
  <si>
    <t>ALYDMR</t>
  </si>
  <si>
    <t>Thomas Vlaar</t>
  </si>
  <si>
    <t>Vlaar</t>
  </si>
  <si>
    <t>thomas@jacksavior.com</t>
  </si>
  <si>
    <t>JackSavior</t>
  </si>
  <si>
    <t>HS2C3H</t>
  </si>
  <si>
    <t>Thomas de Wijn</t>
  </si>
  <si>
    <t>de Wijn</t>
  </si>
  <si>
    <t>t.dewijn@solar-works.nl</t>
  </si>
  <si>
    <t>SolarWorks! Moçambique</t>
  </si>
  <si>
    <t>II8CZW</t>
  </si>
  <si>
    <t>Thomas De Leeuw</t>
  </si>
  <si>
    <t>De Leeuw</t>
  </si>
  <si>
    <t>thomas@sunuru.nEt</t>
  </si>
  <si>
    <t>GC13S9</t>
  </si>
  <si>
    <t>Thomas Voets</t>
  </si>
  <si>
    <t xml:space="preserve">Thomas </t>
  </si>
  <si>
    <t>Voets</t>
  </si>
  <si>
    <t>thomas.voets@sealedcycle.com</t>
  </si>
  <si>
    <t>Sealed Cycle</t>
  </si>
  <si>
    <t>Tim Smits</t>
  </si>
  <si>
    <t>Tim</t>
  </si>
  <si>
    <t>Smits</t>
  </si>
  <si>
    <t>tim@unpluq.com</t>
  </si>
  <si>
    <t>Unpluq</t>
  </si>
  <si>
    <t>HBQ0YM</t>
  </si>
  <si>
    <t>Tom White</t>
  </si>
  <si>
    <t>Tom</t>
  </si>
  <si>
    <t>White</t>
  </si>
  <si>
    <t>tom.white@supersola.com</t>
  </si>
  <si>
    <t>Supersola</t>
  </si>
  <si>
    <t>YRAMIQ</t>
  </si>
  <si>
    <t>Ulf Dahlstrom</t>
  </si>
  <si>
    <t>Ulf</t>
  </si>
  <si>
    <t>Dahlstrom</t>
  </si>
  <si>
    <t>u.dahlstrom@gmtech.nl</t>
  </si>
  <si>
    <t>Green Motion Technologies</t>
  </si>
  <si>
    <t>LDLOY3</t>
  </si>
  <si>
    <t>Velzeboer</t>
  </si>
  <si>
    <t>velzeboer@synkick.com</t>
  </si>
  <si>
    <t>O0ENET</t>
  </si>
  <si>
    <t>Venkatesh Seshaiya Doraiswamy Chandrasekar</t>
  </si>
  <si>
    <t>Venkatesh Seshaiya</t>
  </si>
  <si>
    <t>Doraiswamy Chandrasekar</t>
  </si>
  <si>
    <t>ven@tocano.nl</t>
  </si>
  <si>
    <t>tocano</t>
  </si>
  <si>
    <t>043YWR</t>
  </si>
  <si>
    <t>Vincent Koeman</t>
  </si>
  <si>
    <t>Vincent</t>
  </si>
  <si>
    <t>Koeman</t>
  </si>
  <si>
    <t>koeman@chainels.com</t>
  </si>
  <si>
    <t>chainels</t>
  </si>
  <si>
    <t>BS1XOE</t>
  </si>
  <si>
    <t>Wilco Vreugdenhil</t>
  </si>
  <si>
    <t>Wilco</t>
  </si>
  <si>
    <t>Vreugdenhil</t>
  </si>
  <si>
    <t>wilcovreugdenhil@boltmobility.nl</t>
  </si>
  <si>
    <t>XJMQE9</t>
  </si>
  <si>
    <t>Willem Buijs</t>
  </si>
  <si>
    <t>Willem</t>
  </si>
  <si>
    <t>Buijs</t>
  </si>
  <si>
    <t>buijs@chainels.com</t>
  </si>
  <si>
    <t>NG9HXR</t>
  </si>
  <si>
    <t>Wouter Moorlag</t>
  </si>
  <si>
    <t>Wouter</t>
  </si>
  <si>
    <t>Moorlag</t>
  </si>
  <si>
    <t>w.moorlag@hcinnovations.nl</t>
  </si>
  <si>
    <t>GNW293</t>
  </si>
  <si>
    <t>startup validation</t>
  </si>
  <si>
    <t>Yff Verstraeten</t>
  </si>
  <si>
    <t>Yff</t>
  </si>
  <si>
    <t>Verstraeten</t>
  </si>
  <si>
    <t>y.verstraeten@lanefyld.com</t>
  </si>
  <si>
    <t>QD5Z61</t>
  </si>
  <si>
    <t>Youval Kuipers</t>
  </si>
  <si>
    <t>Youval</t>
  </si>
  <si>
    <t>Kuipers</t>
  </si>
  <si>
    <t>youval@crossguard.eu</t>
  </si>
  <si>
    <t>crossguard</t>
  </si>
  <si>
    <t>BPNKAP</t>
  </si>
  <si>
    <t>Yufe Feng Wong</t>
  </si>
  <si>
    <t xml:space="preserve">Yufe Feng </t>
  </si>
  <si>
    <t>Wong</t>
  </si>
  <si>
    <t>yufe@frameflux.nl</t>
  </si>
  <si>
    <t>frameflux</t>
  </si>
  <si>
    <t>UDC9PP</t>
  </si>
  <si>
    <t>Yuri van Engelshoven</t>
  </si>
  <si>
    <t>Yuri</t>
  </si>
  <si>
    <t>van Engelshoven</t>
  </si>
  <si>
    <t>yuri@polytential.eu</t>
  </si>
  <si>
    <t>9BMJRR</t>
  </si>
  <si>
    <t>Ana Ward</t>
  </si>
  <si>
    <t>Ana</t>
  </si>
  <si>
    <t>Student TUE</t>
  </si>
  <si>
    <t>ana_ward@yanmar.com</t>
  </si>
  <si>
    <t>Yanmar</t>
  </si>
  <si>
    <t>FU0E55</t>
  </si>
  <si>
    <t>Bounce July</t>
  </si>
  <si>
    <t>Andrea Coraddu</t>
  </si>
  <si>
    <t xml:space="preserve">Andrea </t>
  </si>
  <si>
    <t>Coraddu</t>
  </si>
  <si>
    <t>andrea@oceanai.eu</t>
  </si>
  <si>
    <t>oceanai</t>
  </si>
  <si>
    <t>8M73E0</t>
  </si>
  <si>
    <t>Arnaud Backbier</t>
  </si>
  <si>
    <t>Arnaud</t>
  </si>
  <si>
    <t>Backbier</t>
  </si>
  <si>
    <t>arnaud.backbier@mykolab.com</t>
  </si>
  <si>
    <t>Independent</t>
  </si>
  <si>
    <t>Rejected</t>
  </si>
  <si>
    <t>9QS527</t>
  </si>
  <si>
    <t>AKK????</t>
  </si>
  <si>
    <t>Arnaud van der Veen</t>
  </si>
  <si>
    <t>van der Veen</t>
  </si>
  <si>
    <t>arnaud@crossguard.eu</t>
  </si>
  <si>
    <t>I9JENA</t>
  </si>
  <si>
    <t>code van Marije van Blue city!!</t>
  </si>
  <si>
    <t>Bart Roeffe</t>
  </si>
  <si>
    <t>Roeffe</t>
  </si>
  <si>
    <t>bart@deltasync.nl</t>
  </si>
  <si>
    <t>QS4PKX</t>
  </si>
  <si>
    <t>Elisabeth Iszauk</t>
  </si>
  <si>
    <t>Elisabeth</t>
  </si>
  <si>
    <t>Iszauk</t>
  </si>
  <si>
    <t>ei@extantia.com</t>
  </si>
  <si>
    <t>extantia</t>
  </si>
  <si>
    <t>7EPT75</t>
  </si>
  <si>
    <t>Gijs de Groot</t>
  </si>
  <si>
    <t xml:space="preserve">Gijs </t>
  </si>
  <si>
    <t>de Groot</t>
  </si>
  <si>
    <t>gijs.degroot@ubiops.com</t>
  </si>
  <si>
    <t>ubiops.</t>
  </si>
  <si>
    <t>95LEUK</t>
  </si>
  <si>
    <t>Akk JG</t>
  </si>
  <si>
    <t>Hassan Rivandi</t>
  </si>
  <si>
    <t>Hassan</t>
  </si>
  <si>
    <t>Rivandi</t>
  </si>
  <si>
    <t>h.rivandi@tudelft.nl</t>
  </si>
  <si>
    <t>Neurosonics</t>
  </si>
  <si>
    <t>K8J1GO</t>
  </si>
  <si>
    <t>Ilse de Wit- hoogendijk</t>
  </si>
  <si>
    <t>Ilse</t>
  </si>
  <si>
    <t>de Wit- hoogendijk</t>
  </si>
  <si>
    <t>i.dewit-hoogendijk@hagaziekenhuis.nl</t>
  </si>
  <si>
    <t>hagaziekenhuis</t>
  </si>
  <si>
    <t>OSTJQQ</t>
  </si>
  <si>
    <t>akk</t>
  </si>
  <si>
    <t>Jake Walker</t>
  </si>
  <si>
    <t>akkoord</t>
  </si>
  <si>
    <t xml:space="preserve">Jake </t>
  </si>
  <si>
    <t>Walker</t>
  </si>
  <si>
    <t>jake@oceanai.eu</t>
  </si>
  <si>
    <t>BDHKGU</t>
  </si>
  <si>
    <t>is al geacc als student?</t>
  </si>
  <si>
    <t>Jay Jayesingha</t>
  </si>
  <si>
    <t>Jay</t>
  </si>
  <si>
    <t>Jayesingha</t>
  </si>
  <si>
    <t>jay@qblox.com</t>
  </si>
  <si>
    <t>KQJTE0</t>
  </si>
  <si>
    <t>Joep Breuer</t>
  </si>
  <si>
    <t>Breuer</t>
  </si>
  <si>
    <t>j.breuer@kitepower.nl</t>
  </si>
  <si>
    <t>M3PBN4</t>
  </si>
  <si>
    <t>rejected</t>
  </si>
  <si>
    <t>Joost de Wit</t>
  </si>
  <si>
    <t>de Wit</t>
  </si>
  <si>
    <t>joost@mediadistillery.tv</t>
  </si>
  <si>
    <t>mediadistillery.tv</t>
  </si>
  <si>
    <t>61VQKA</t>
  </si>
  <si>
    <t>Julius Smith</t>
  </si>
  <si>
    <t>Julius</t>
  </si>
  <si>
    <r>
      <rPr>
        <color rgb="FF1155CC"/>
        <u/>
      </rPr>
      <t>julius.smith@supersola.com</t>
    </r>
  </si>
  <si>
    <t>supersola</t>
  </si>
  <si>
    <t>U2EK6U</t>
  </si>
  <si>
    <t>Student</t>
  </si>
  <si>
    <t>Kaoutar Ashour</t>
  </si>
  <si>
    <t>Kaoutar</t>
  </si>
  <si>
    <t>Ashour</t>
  </si>
  <si>
    <t>kaoutar.ashour@minbuza.nl</t>
  </si>
  <si>
    <t>WB177D</t>
  </si>
  <si>
    <t>Karina Chapiewska</t>
  </si>
  <si>
    <t>Karina</t>
  </si>
  <si>
    <t>Chapiewska</t>
  </si>
  <si>
    <t>karina@deltasync.nl</t>
  </si>
  <si>
    <t>K50A7H</t>
  </si>
  <si>
    <t>Katrien van Hees</t>
  </si>
  <si>
    <t>Katrien</t>
  </si>
  <si>
    <t>van Hees</t>
  </si>
  <si>
    <t>k.van.hees@rocmondriaan.nl</t>
  </si>
  <si>
    <t>FZRLTB</t>
  </si>
  <si>
    <t>Krishna Chaitanya R</t>
  </si>
  <si>
    <t>Krishna</t>
  </si>
  <si>
    <t>Chaitanya R</t>
  </si>
  <si>
    <t>chai@yokai.network</t>
  </si>
  <si>
    <t>XQ1RSX</t>
  </si>
  <si>
    <t>Luisa Kraut</t>
  </si>
  <si>
    <t>Luisa</t>
  </si>
  <si>
    <t>Kraut</t>
  </si>
  <si>
    <t>luisa@join.capital</t>
  </si>
  <si>
    <t>join.capital</t>
  </si>
  <si>
    <t>JWQ516</t>
  </si>
  <si>
    <t>Mark Appel</t>
  </si>
  <si>
    <t>Appel</t>
  </si>
  <si>
    <t>mpjaappel@gmail.com</t>
  </si>
  <si>
    <t>sendcloud</t>
  </si>
  <si>
    <t>Other</t>
  </si>
  <si>
    <t>Weg?</t>
  </si>
  <si>
    <t>4WI1JL</t>
  </si>
  <si>
    <t>Mars Geuze</t>
  </si>
  <si>
    <t>Mars</t>
  </si>
  <si>
    <t>Geuze</t>
  </si>
  <si>
    <t>mars@hardt.global</t>
  </si>
  <si>
    <t>Hardt (Hyperloop) Global Mobility</t>
  </si>
  <si>
    <t>OE7JII</t>
  </si>
  <si>
    <t>Maurits de Lint</t>
  </si>
  <si>
    <t>Maurits</t>
  </si>
  <si>
    <t>de Lint</t>
  </si>
  <si>
    <t>m.delint@starnustech.com</t>
  </si>
  <si>
    <t>starnustech</t>
  </si>
  <si>
    <t>500LT2</t>
  </si>
  <si>
    <t>colleague</t>
  </si>
  <si>
    <t>MichaÃ«l Ozo</t>
  </si>
  <si>
    <t>MichaÃ«l</t>
  </si>
  <si>
    <t>Ozo</t>
  </si>
  <si>
    <t>michael@xosight.com</t>
  </si>
  <si>
    <t>XO Sight (Sophos Robotics)</t>
  </si>
  <si>
    <t>YQOC7A</t>
  </si>
  <si>
    <t>Musab Almozien</t>
  </si>
  <si>
    <t>Musab</t>
  </si>
  <si>
    <t>Almozien</t>
  </si>
  <si>
    <t>musab@conical.ai</t>
  </si>
  <si>
    <t>DBU9HT</t>
  </si>
  <si>
    <t>Namratha Kothapalli</t>
  </si>
  <si>
    <t>Namratha</t>
  </si>
  <si>
    <t>Kothapalli</t>
  </si>
  <si>
    <t>namratha.kothapalli@speedinvest.com</t>
  </si>
  <si>
    <t>speedinvest</t>
  </si>
  <si>
    <t>GY7YXJ</t>
  </si>
  <si>
    <t>Nathalie Menningh</t>
  </si>
  <si>
    <t xml:space="preserve">Nathalie </t>
  </si>
  <si>
    <t>Menningh</t>
  </si>
  <si>
    <t>menningh@zorginnovatie.nl</t>
  </si>
  <si>
    <t>health-holland</t>
  </si>
  <si>
    <t>AELTOM</t>
  </si>
  <si>
    <t>Nino Bellenge</t>
  </si>
  <si>
    <t>Nino</t>
  </si>
  <si>
    <t>Bellenge</t>
  </si>
  <si>
    <t>nino@medscaler.com</t>
  </si>
  <si>
    <t>medscaler</t>
  </si>
  <si>
    <t>54E8AZ</t>
  </si>
  <si>
    <t>Owen Reynolds</t>
  </si>
  <si>
    <t>Owen</t>
  </si>
  <si>
    <t>Reynolds</t>
  </si>
  <si>
    <t>owen.reynolds@teklasventures.com</t>
  </si>
  <si>
    <t>teklasventures</t>
  </si>
  <si>
    <t>EDJE11</t>
  </si>
  <si>
    <t>Pavel Paclik</t>
  </si>
  <si>
    <t>Pavel</t>
  </si>
  <si>
    <t>Paclik</t>
  </si>
  <si>
    <t>pavel@prsysdesign.net</t>
  </si>
  <si>
    <t>prsysdesign.net</t>
  </si>
  <si>
    <t>BL4OBG</t>
  </si>
  <si>
    <t>Pradeep Atmaram</t>
  </si>
  <si>
    <t>Atmaram</t>
  </si>
  <si>
    <t>pradeep@yokai.network</t>
  </si>
  <si>
    <t>NGGSKD</t>
  </si>
  <si>
    <t>Reinier Reddingius</t>
  </si>
  <si>
    <t>startup</t>
  </si>
  <si>
    <t>Reinier</t>
  </si>
  <si>
    <t>Reddingius</t>
  </si>
  <si>
    <t>r.reddingius@lemnislighting.com</t>
  </si>
  <si>
    <t>WRTT1P</t>
  </si>
  <si>
    <t>Ruben Treurniet</t>
  </si>
  <si>
    <t>Ruben</t>
  </si>
  <si>
    <t>Treurniet</t>
  </si>
  <si>
    <t>rubern@civinc.com</t>
  </si>
  <si>
    <t>civinc.co</t>
  </si>
  <si>
    <t>7IVG1W</t>
  </si>
  <si>
    <t>Ruud Knoops</t>
  </si>
  <si>
    <t>Ruud</t>
  </si>
  <si>
    <t>Knoops</t>
  </si>
  <si>
    <t>ruud.knoops@atmosuav.com</t>
  </si>
  <si>
    <t>16QPV1</t>
  </si>
  <si>
    <t>Sam Kin</t>
  </si>
  <si>
    <t>Sam</t>
  </si>
  <si>
    <t>Kin</t>
  </si>
  <si>
    <t>sam@solarswing.nl</t>
  </si>
  <si>
    <t>Kindow (Solarswing)</t>
  </si>
  <si>
    <t>YP9V0K</t>
  </si>
  <si>
    <t>Sander Morsink</t>
  </si>
  <si>
    <t>Sander</t>
  </si>
  <si>
    <t>Morsink</t>
  </si>
  <si>
    <t>sander.morsink@demcon.com</t>
  </si>
  <si>
    <t>demcon</t>
  </si>
  <si>
    <t>QMBKIJ</t>
  </si>
  <si>
    <t>Sander Jongeneel</t>
  </si>
  <si>
    <t>Jongeneel</t>
  </si>
  <si>
    <t>s.jongeneel@portofrotterdam.com</t>
  </si>
  <si>
    <t>portofrotterdam</t>
  </si>
  <si>
    <t>TXTTVG</t>
  </si>
  <si>
    <t>Seethu Mariyam Christoper</t>
  </si>
  <si>
    <t>Seethu</t>
  </si>
  <si>
    <t>Mariyam Christoper</t>
  </si>
  <si>
    <t>s.christopher@heemskerk-innovative.nl</t>
  </si>
  <si>
    <t>heemskerk-innovative</t>
  </si>
  <si>
    <t>H0HEUV</t>
  </si>
  <si>
    <t>Sven van Nieuwenhuizen</t>
  </si>
  <si>
    <t>Sven</t>
  </si>
  <si>
    <t>van Nieuwenhuizen</t>
  </si>
  <si>
    <t>sven@frameflux.nl</t>
  </si>
  <si>
    <t>C88YCI</t>
  </si>
  <si>
    <t>Thomas Beelaerts</t>
  </si>
  <si>
    <t>Beelaerts</t>
  </si>
  <si>
    <t>thomas@merqato.eu</t>
  </si>
  <si>
    <t>J56EIQ</t>
  </si>
  <si>
    <t>Wouter Foulon</t>
  </si>
  <si>
    <t>Foulon</t>
  </si>
  <si>
    <t xml:space="preserve">wouter.foulon@comate.be </t>
  </si>
  <si>
    <t>Comate</t>
  </si>
  <si>
    <t>VH1X35</t>
  </si>
  <si>
    <t>Wouter Bax</t>
  </si>
  <si>
    <t>Bax</t>
  </si>
  <si>
    <t>wouter.bax@uniiq.nl</t>
  </si>
  <si>
    <t>uniiq</t>
  </si>
  <si>
    <t>GEBNBC</t>
  </si>
  <si>
    <t>Anthonie Zoomers</t>
  </si>
  <si>
    <t>Anthonie</t>
  </si>
  <si>
    <t>Zoomers</t>
  </si>
  <si>
    <t>azoomers@ziggo.nl</t>
  </si>
  <si>
    <t>Angel</t>
  </si>
  <si>
    <t>QRL3RW</t>
  </si>
  <si>
    <t>Can't attend</t>
  </si>
  <si>
    <t>Farshida Zafar</t>
  </si>
  <si>
    <t>Farshida</t>
  </si>
  <si>
    <t>Zafar</t>
  </si>
  <si>
    <t>zafar@ece.nl</t>
  </si>
  <si>
    <t>ece</t>
  </si>
  <si>
    <t>JU5INR</t>
  </si>
  <si>
    <t>Frank Appeldoorn</t>
  </si>
  <si>
    <t>Appeldoorn</t>
  </si>
  <si>
    <t>frank@arches.capital</t>
  </si>
  <si>
    <t>arches.capital</t>
  </si>
  <si>
    <t>1RL04I</t>
  </si>
  <si>
    <t>Michael Turley</t>
  </si>
  <si>
    <t>Turley</t>
  </si>
  <si>
    <r>
      <rPr>
        <color rgb="FF1155CC"/>
        <u/>
      </rPr>
      <t>Michael.Turley@shell.com</t>
    </r>
  </si>
  <si>
    <t>partner</t>
  </si>
  <si>
    <t>TBDZSO</t>
  </si>
  <si>
    <t>can't attend</t>
  </si>
  <si>
    <t>Richard Kemkers</t>
  </si>
  <si>
    <t>Richard</t>
  </si>
  <si>
    <t>Kemkers</t>
  </si>
  <si>
    <t>richard.kemkers@asml.com</t>
  </si>
  <si>
    <t>asml</t>
  </si>
  <si>
    <t>Roel van Diepen</t>
  </si>
  <si>
    <t>Roel</t>
  </si>
  <si>
    <t>van Diepen</t>
  </si>
  <si>
    <t>roel.van-diepen@innoenergy.com</t>
  </si>
  <si>
    <t>innoenergy</t>
  </si>
  <si>
    <t>Sabine Biesheuvel</t>
  </si>
  <si>
    <t>Sabine</t>
  </si>
  <si>
    <r>
      <rPr>
        <color rgb="FF1155CC"/>
        <u/>
      </rPr>
      <t>secretariaatbiesheuv</t>
    </r>
    <r>
      <rPr/>
      <t>el@rotterdam.nl</t>
    </r>
  </si>
  <si>
    <t>IQ relatie</t>
  </si>
  <si>
    <t>Gemeente Rotterdam</t>
  </si>
  <si>
    <t>6E3XWD</t>
  </si>
  <si>
    <t>Adam Spunberg</t>
  </si>
  <si>
    <t>Adam</t>
  </si>
  <si>
    <t>Spunberg</t>
  </si>
  <si>
    <t>Adam.Spunberg@ab-inbev.com</t>
  </si>
  <si>
    <t>AB-inbev</t>
  </si>
  <si>
    <t>Adri Bom-Lemstra</t>
  </si>
  <si>
    <t>Adri</t>
  </si>
  <si>
    <t>Bom-Lemstra</t>
  </si>
  <si>
    <t>abom@glastuinbouwnederland.nl</t>
  </si>
  <si>
    <t>glastuinbouwnederland</t>
  </si>
  <si>
    <t>Ahmed El-Kadars</t>
  </si>
  <si>
    <t>student</t>
  </si>
  <si>
    <t>El-Kadars</t>
  </si>
  <si>
    <t>ahmed@quantumdelft.nl</t>
  </si>
  <si>
    <t>quantumdelft</t>
  </si>
  <si>
    <t>collega</t>
  </si>
  <si>
    <t>Aimée van Nunen</t>
  </si>
  <si>
    <t>Aimée</t>
  </si>
  <si>
    <t>van Nunen</t>
  </si>
  <si>
    <t>aimee.van.nunen@postnl.nl</t>
  </si>
  <si>
    <t>postnl</t>
  </si>
  <si>
    <t>Albert Geertjes</t>
  </si>
  <si>
    <t>Albert</t>
  </si>
  <si>
    <t>Geertjes</t>
  </si>
  <si>
    <t>albert.m.geertjes@gmail.com</t>
  </si>
  <si>
    <t>Albert-Jan de Croes</t>
  </si>
  <si>
    <t>Albert-Jan</t>
  </si>
  <si>
    <t>de Croes</t>
  </si>
  <si>
    <t>a.decroes@novelt.com</t>
  </si>
  <si>
    <t>Novel-T</t>
  </si>
  <si>
    <t>Alexa montalvo</t>
  </si>
  <si>
    <t>Alexa</t>
  </si>
  <si>
    <t>montalvo</t>
  </si>
  <si>
    <t>alexa.montalvo@ab-inbev.com</t>
  </si>
  <si>
    <t>ab-inbev</t>
  </si>
  <si>
    <t>Alexander Broekman</t>
  </si>
  <si>
    <t>Alexander</t>
  </si>
  <si>
    <t>Broekman</t>
  </si>
  <si>
    <t>alex@superconnectors.io</t>
  </si>
  <si>
    <t>superconnectors</t>
  </si>
  <si>
    <t>Alexandra Brillembourg</t>
  </si>
  <si>
    <t>Alexandra</t>
  </si>
  <si>
    <t>Brillembourg</t>
  </si>
  <si>
    <t>andrea.brillembourg-ext2@ab-inbev.com</t>
  </si>
  <si>
    <t>Alissa van der Voort</t>
  </si>
  <si>
    <t>Alissa</t>
  </si>
  <si>
    <t>van der Voort</t>
  </si>
  <si>
    <t>a.c.vandervoort@tudelft.nl</t>
  </si>
  <si>
    <t>Alwin Bakker</t>
  </si>
  <si>
    <t>Alwin</t>
  </si>
  <si>
    <t>Bakker</t>
  </si>
  <si>
    <t>alwin@codingthecurbs.com</t>
  </si>
  <si>
    <t>codingthecurbs</t>
  </si>
  <si>
    <t>Alwin Veldboom</t>
  </si>
  <si>
    <t>Veldboom</t>
  </si>
  <si>
    <t>alwin@tekkoo.nl</t>
  </si>
  <si>
    <t>Ok by Ras</t>
  </si>
  <si>
    <t>André Wijnveld</t>
  </si>
  <si>
    <t>André</t>
  </si>
  <si>
    <t>Wijnveld</t>
  </si>
  <si>
    <t>a.wijnveld.01@mindef.nl</t>
  </si>
  <si>
    <t>mindef</t>
  </si>
  <si>
    <t>Anne-Lokke van der Zalm</t>
  </si>
  <si>
    <t>Anne-Lokke</t>
  </si>
  <si>
    <t>van der Zalm</t>
  </si>
  <si>
    <t>aje.vander.zalm@pzh.nl</t>
  </si>
  <si>
    <t>pzh</t>
  </si>
  <si>
    <t>Annemarie van Vilsteren Oost NL</t>
  </si>
  <si>
    <t>Annemarie</t>
  </si>
  <si>
    <t>van Vilsteren Oost NL</t>
  </si>
  <si>
    <t>annemarie.vanvilsteren@oostnl.nl</t>
  </si>
  <si>
    <t>oostnl</t>
  </si>
  <si>
    <t>Anouk Nuijs</t>
  </si>
  <si>
    <t xml:space="preserve">Anouk </t>
  </si>
  <si>
    <t>Nuijs</t>
  </si>
  <si>
    <t>a.nuijs@drechtsteden.nl</t>
  </si>
  <si>
    <t>Drechtsteden</t>
  </si>
  <si>
    <t>Arjan don</t>
  </si>
  <si>
    <t>don</t>
  </si>
  <si>
    <t>arjan.don@boemcybersecurity.nl</t>
  </si>
  <si>
    <t>boemcybersecurity</t>
  </si>
  <si>
    <t>Arnoud Jullens</t>
  </si>
  <si>
    <t>Jullens</t>
  </si>
  <si>
    <t>arnoud@docklab.nl</t>
  </si>
  <si>
    <t>docklab</t>
  </si>
  <si>
    <t>Art de Boo</t>
  </si>
  <si>
    <t>Art</t>
  </si>
  <si>
    <t>de Boo</t>
  </si>
  <si>
    <t>deschonekunst@gmail.com</t>
  </si>
  <si>
    <t>August Papadopoulos</t>
  </si>
  <si>
    <t>August</t>
  </si>
  <si>
    <t>Papadopoulos</t>
  </si>
  <si>
    <t>papadopoulos@rsm.com</t>
  </si>
  <si>
    <t>Bastiaan Visser</t>
  </si>
  <si>
    <t>Bastiaan</t>
  </si>
  <si>
    <t>Visser</t>
  </si>
  <si>
    <t>visser@icpcf.nl</t>
  </si>
  <si>
    <t>icpcf</t>
  </si>
  <si>
    <t>Brechtje Vreenegoor</t>
  </si>
  <si>
    <t>Brechtje</t>
  </si>
  <si>
    <t>Vreenegoor</t>
  </si>
  <si>
    <t>brechtje.vreenegoor@wur.nl</t>
  </si>
  <si>
    <t>WUR</t>
  </si>
  <si>
    <t>Bruno Giebels</t>
  </si>
  <si>
    <t>Bruno</t>
  </si>
  <si>
    <t>Giebels</t>
  </si>
  <si>
    <t>giebelsbruno@gmail.com</t>
  </si>
  <si>
    <t>Ceciel Kempers</t>
  </si>
  <si>
    <t>Ceciel</t>
  </si>
  <si>
    <t>Kempers</t>
  </si>
  <si>
    <t>ceciel.kempers@alliander.com</t>
  </si>
  <si>
    <t>alliander</t>
  </si>
  <si>
    <t>Charlotte Krom</t>
  </si>
  <si>
    <t xml:space="preserve">Charlotte </t>
  </si>
  <si>
    <t>Krom</t>
  </si>
  <si>
    <t>charlotte.krom@denhaag.nl</t>
  </si>
  <si>
    <t>Den Haag</t>
  </si>
  <si>
    <t>Christel Pullens</t>
  </si>
  <si>
    <t>Christel</t>
  </si>
  <si>
    <t>Pullens</t>
  </si>
  <si>
    <t>christel.pullens@portxl.org</t>
  </si>
  <si>
    <t>portxl</t>
  </si>
  <si>
    <t>Collin Arocho</t>
  </si>
  <si>
    <t>Collin</t>
  </si>
  <si>
    <t>Arocho</t>
  </si>
  <si>
    <t>collin@techwatch.nl</t>
  </si>
  <si>
    <t>techwatch</t>
  </si>
  <si>
    <t>Press</t>
  </si>
  <si>
    <t>Daisy Visser</t>
  </si>
  <si>
    <t>Daisy</t>
  </si>
  <si>
    <t>dt.visser@rotterdam.nl</t>
  </si>
  <si>
    <t>rotterdam</t>
  </si>
  <si>
    <t>Danique Roodnat</t>
  </si>
  <si>
    <t>Danique</t>
  </si>
  <si>
    <t>Roodnat</t>
  </si>
  <si>
    <t>d.roodnat@stz.nl</t>
  </si>
  <si>
    <t>stz</t>
  </si>
  <si>
    <t>David Cohen-Tanugi</t>
  </si>
  <si>
    <t>David</t>
  </si>
  <si>
    <t>Cohen-Tanugi</t>
  </si>
  <si>
    <t>dctanugi@mit.edu</t>
  </si>
  <si>
    <t>mit</t>
  </si>
  <si>
    <t>code Jip dresia</t>
  </si>
  <si>
    <t>Diederik Tjeenk Willink</t>
  </si>
  <si>
    <t>Diederik</t>
  </si>
  <si>
    <t>Tjeenk Willink</t>
  </si>
  <si>
    <t>d.tjeenkwillink@icloud.com</t>
  </si>
  <si>
    <t>Dimer Schaefer</t>
  </si>
  <si>
    <t>Dimer</t>
  </si>
  <si>
    <t>Schaefer</t>
  </si>
  <si>
    <t>dimer.schaefer@twtg.io</t>
  </si>
  <si>
    <t>twtg</t>
  </si>
  <si>
    <t>netwerk startup</t>
  </si>
  <si>
    <t>Dougal Featherstone</t>
  </si>
  <si>
    <t>Dougal</t>
  </si>
  <si>
    <t>Featherstone</t>
  </si>
  <si>
    <t>d@dougal.nl</t>
  </si>
  <si>
    <t>dougal</t>
  </si>
  <si>
    <t>Duncan Waardenburg</t>
  </si>
  <si>
    <t>Duncan</t>
  </si>
  <si>
    <t>Waardenburg</t>
  </si>
  <si>
    <r>
      <rPr>
        <color rgb="FF1155CC"/>
        <sz val="11.0"/>
        <u/>
      </rPr>
      <t>d.waardenburg@pzh.nl</t>
    </r>
  </si>
  <si>
    <t>PZH</t>
  </si>
  <si>
    <t>Eddy Thans</t>
  </si>
  <si>
    <t>Eddy</t>
  </si>
  <si>
    <t>Thans</t>
  </si>
  <si>
    <t>e.thans@primevision.com</t>
  </si>
  <si>
    <t>wel contact</t>
  </si>
  <si>
    <t>Eelco Simon</t>
  </si>
  <si>
    <t>Eelco</t>
  </si>
  <si>
    <t>Simon</t>
  </si>
  <si>
    <t>eelco.simon@valcon.com</t>
  </si>
  <si>
    <t>valcon</t>
  </si>
  <si>
    <t>WAITING LIST</t>
  </si>
  <si>
    <t>Egehan Yildirim</t>
  </si>
  <si>
    <t>Egehan</t>
  </si>
  <si>
    <t>Yildirim</t>
  </si>
  <si>
    <t>e.yildirim@minezk.nl</t>
  </si>
  <si>
    <t>MIN EZK</t>
  </si>
  <si>
    <t>Elisabeth Storm de Grave</t>
  </si>
  <si>
    <t>Storm de Grave</t>
  </si>
  <si>
    <t>elisabeth.stormdegrave@invest-nl.nl</t>
  </si>
  <si>
    <t>invest-nl</t>
  </si>
  <si>
    <t>Emile Baak</t>
  </si>
  <si>
    <t>Emile</t>
  </si>
  <si>
    <t>Baak</t>
  </si>
  <si>
    <t>emile.baak@gmail.com</t>
  </si>
  <si>
    <t>Esmee Ficheroux</t>
  </si>
  <si>
    <t>Esmee</t>
  </si>
  <si>
    <t>Ficheroux</t>
  </si>
  <si>
    <r>
      <rPr>
        <color rgb="FF1155CC"/>
        <sz val="11.0"/>
        <u/>
      </rPr>
      <t>Esmee.Ficheroux@csu.nl</t>
    </r>
  </si>
  <si>
    <t>CSU</t>
  </si>
  <si>
    <t>Evert Jaap Lugt</t>
  </si>
  <si>
    <t>Evert Jaap</t>
  </si>
  <si>
    <t>Lugt</t>
  </si>
  <si>
    <t>lugt09@gmail.com</t>
  </si>
  <si>
    <t>HIC</t>
  </si>
  <si>
    <t>Fedde Sonnema</t>
  </si>
  <si>
    <t>Fedde</t>
  </si>
  <si>
    <t>Sonnema</t>
  </si>
  <si>
    <t>fedde.sonnema@dsm.com</t>
  </si>
  <si>
    <t>dsm</t>
  </si>
  <si>
    <t>old partner</t>
  </si>
  <si>
    <t>Fiona E Murray</t>
  </si>
  <si>
    <t>Fiona</t>
  </si>
  <si>
    <t>E Murray</t>
  </si>
  <si>
    <t>fmurray@mit.edu</t>
  </si>
  <si>
    <t>Fleur Dassen</t>
  </si>
  <si>
    <t>Fleur</t>
  </si>
  <si>
    <t>Dassen</t>
  </si>
  <si>
    <t>f.q.dassen@tudelft.nl</t>
  </si>
  <si>
    <t>Fons de Ree</t>
  </si>
  <si>
    <t>Fons</t>
  </si>
  <si>
    <t>de Ree</t>
  </si>
  <si>
    <t>a.j.de.ree@zoetermeer.nl</t>
  </si>
  <si>
    <t>zoetermeer</t>
  </si>
  <si>
    <t>Frank Gerritsma</t>
  </si>
  <si>
    <t>Gerritsma</t>
  </si>
  <si>
    <t>Frank.gerritsma@ideasforinnovation.nl</t>
  </si>
  <si>
    <t>ideasforinnovation</t>
  </si>
  <si>
    <t>Frank Lemmink</t>
  </si>
  <si>
    <t>Lemmink</t>
  </si>
  <si>
    <t>frank@lemmink.info</t>
  </si>
  <si>
    <t>Frans Nauta</t>
  </si>
  <si>
    <t>Frans</t>
  </si>
  <si>
    <t>Nauta</t>
  </si>
  <si>
    <t>frans@facultyofimpact.nl</t>
  </si>
  <si>
    <t>facultyofimpact</t>
  </si>
  <si>
    <t>Frans van Helden</t>
  </si>
  <si>
    <t>van Helden</t>
  </si>
  <si>
    <t>frans.vanhelden@ortec.com</t>
  </si>
  <si>
    <t>ortec</t>
  </si>
  <si>
    <t>Frederick Stokkelaar</t>
  </si>
  <si>
    <t>Frederick</t>
  </si>
  <si>
    <t>Stokkelaar</t>
  </si>
  <si>
    <t>frederick.stokkelaar@airbridge.nl</t>
  </si>
  <si>
    <t>airbridge</t>
  </si>
  <si>
    <t>Gabi Ouwerkerk</t>
  </si>
  <si>
    <t>Gabi</t>
  </si>
  <si>
    <t>Ouwerkerk</t>
  </si>
  <si>
    <t>gabi.ouwerkerk@telegraaf.nl</t>
  </si>
  <si>
    <t>telegraaf</t>
  </si>
  <si>
    <t>pers</t>
  </si>
  <si>
    <t>Free personal</t>
  </si>
  <si>
    <t>Gaby Ouwerkerk</t>
  </si>
  <si>
    <t>Gaby</t>
  </si>
  <si>
    <t>g.ouwerkerk@telegraaf.nl</t>
  </si>
  <si>
    <t>Telegraaf</t>
  </si>
  <si>
    <t>Gerrie van der Beek</t>
  </si>
  <si>
    <t>Gerrie</t>
  </si>
  <si>
    <t>van der Beek</t>
  </si>
  <si>
    <t>gerrie@fotoniq.com</t>
  </si>
  <si>
    <t>fotoniq</t>
  </si>
  <si>
    <t>Gijs van de Molengraft</t>
  </si>
  <si>
    <t>Gijs</t>
  </si>
  <si>
    <t>van de Molengraft</t>
  </si>
  <si>
    <t>gijs@gritd.nl</t>
  </si>
  <si>
    <t>gritd</t>
  </si>
  <si>
    <t>Girts Kagis</t>
  </si>
  <si>
    <t>Girts</t>
  </si>
  <si>
    <t>Kagis</t>
  </si>
  <si>
    <t>girts@beesage.co</t>
  </si>
  <si>
    <t>beesage.co</t>
  </si>
  <si>
    <t>Guus Meijer</t>
  </si>
  <si>
    <t>Guus</t>
  </si>
  <si>
    <t>Meijer</t>
  </si>
  <si>
    <t>gm@re-thnk.com</t>
  </si>
  <si>
    <t>bluecity</t>
  </si>
  <si>
    <t>Hans Kamperman</t>
  </si>
  <si>
    <t>Kamperman</t>
  </si>
  <si>
    <t>h.kamperman@primevision.com</t>
  </si>
  <si>
    <t>Hans Drenth</t>
  </si>
  <si>
    <t>Drenth</t>
  </si>
  <si>
    <t>hans.drenth@vu.nl</t>
  </si>
  <si>
    <t>vu</t>
  </si>
  <si>
    <t>Harrij Schmeitz</t>
  </si>
  <si>
    <t>Harrij</t>
  </si>
  <si>
    <t>Schmeitz</t>
  </si>
  <si>
    <t>schmeitz@impacttu.nl</t>
  </si>
  <si>
    <t>Harry de Grijs</t>
  </si>
  <si>
    <t>Harry</t>
  </si>
  <si>
    <t>de Grijs</t>
  </si>
  <si>
    <t>hjadegrijs@outlook.com</t>
  </si>
  <si>
    <t>Helmut Schönenberger</t>
  </si>
  <si>
    <t>Helmut</t>
  </si>
  <si>
    <t>Schönenberger</t>
  </si>
  <si>
    <t>schoenenberger@unternehmertum.de</t>
  </si>
  <si>
    <t>unternehmertum</t>
  </si>
  <si>
    <t>Hendrik</t>
  </si>
  <si>
    <t>hendrik@unknowngroup.com</t>
  </si>
  <si>
    <t>unknowngroup</t>
  </si>
  <si>
    <t>Hessel van Oorschot</t>
  </si>
  <si>
    <t>Hessel</t>
  </si>
  <si>
    <t>hs.van.oorschot@pzh.nl</t>
  </si>
  <si>
    <t>Ilse Gottlieb</t>
  </si>
  <si>
    <t>Gottlieb</t>
  </si>
  <si>
    <t>ilse.gottlieb@swapfiets.com</t>
  </si>
  <si>
    <t>swapfiets</t>
  </si>
  <si>
    <t>Impact EUR</t>
  </si>
  <si>
    <t>Impact</t>
  </si>
  <si>
    <t>EUR</t>
  </si>
  <si>
    <t>impactcentre@eur.nl</t>
  </si>
  <si>
    <t>Isabel Salomons</t>
  </si>
  <si>
    <t>Isabel</t>
  </si>
  <si>
    <t>Salomons</t>
  </si>
  <si>
    <t>i.salomons@quooker.nl</t>
  </si>
  <si>
    <t>quooker</t>
  </si>
  <si>
    <t>Iskandar Tange</t>
  </si>
  <si>
    <t>Iskandar</t>
  </si>
  <si>
    <t>Tange</t>
  </si>
  <si>
    <t>iskandar@codingthecurbs.com</t>
  </si>
  <si>
    <t>Jan van der Velde</t>
  </si>
  <si>
    <t>van der Velde</t>
  </si>
  <si>
    <t>jan.vandervelde@eneco.com</t>
  </si>
  <si>
    <t>eneco</t>
  </si>
  <si>
    <t>Jan de Ruiter</t>
  </si>
  <si>
    <t>de Ruiter</t>
  </si>
  <si>
    <t>jdruiter@volkerwessels.com</t>
  </si>
  <si>
    <t>volkerwessels</t>
  </si>
  <si>
    <t>Jasper Houtman</t>
  </si>
  <si>
    <t>Houtman</t>
  </si>
  <si>
    <t>Jasper.Houtman@fd.nl</t>
  </si>
  <si>
    <t>FD</t>
  </si>
  <si>
    <t>Jasper Baggerman</t>
  </si>
  <si>
    <t>Baggerman</t>
  </si>
  <si>
    <t>jjbaggerman@gmail.com</t>
  </si>
  <si>
    <t>Jens Kemna</t>
  </si>
  <si>
    <t>Kemna</t>
  </si>
  <si>
    <t>jens_kemna@hotmail.com</t>
  </si>
  <si>
    <t>Jeroen Schouten</t>
  </si>
  <si>
    <t>Schouten</t>
  </si>
  <si>
    <t>jeroen@grasp.nl</t>
  </si>
  <si>
    <t>grasp</t>
  </si>
  <si>
    <t>Jeroen van Woerden</t>
  </si>
  <si>
    <t>van Woerden</t>
  </si>
  <si>
    <r>
      <rPr>
        <sz val="11.0"/>
        <u/>
      </rPr>
      <t>j.l.v.woerden@tue.nl</t>
    </r>
  </si>
  <si>
    <t>TU Eindhoven</t>
  </si>
  <si>
    <t>Jeroen Lee</t>
  </si>
  <si>
    <t xml:space="preserve">Jeroen </t>
  </si>
  <si>
    <t>Lee</t>
  </si>
  <si>
    <t>Jeroen.Lee@twobirds.com</t>
  </si>
  <si>
    <t>twobirds</t>
  </si>
  <si>
    <t>Ex-Partner</t>
  </si>
  <si>
    <t>Johanna Raats</t>
  </si>
  <si>
    <t>Johanna</t>
  </si>
  <si>
    <t>Raats</t>
  </si>
  <si>
    <t>johanna.raats@eur.nl</t>
  </si>
  <si>
    <t>Jon Leijh</t>
  </si>
  <si>
    <t>Jon</t>
  </si>
  <si>
    <t>Leijh</t>
  </si>
  <si>
    <t>JMH.Leijh@mindef.nl</t>
  </si>
  <si>
    <t>Jordy Klaassen</t>
  </si>
  <si>
    <t>Jordy</t>
  </si>
  <si>
    <t>Klaassen</t>
  </si>
  <si>
    <t>jordy.klaassen@eneco.com</t>
  </si>
  <si>
    <t>Joris Mollinga</t>
  </si>
  <si>
    <t>Joris</t>
  </si>
  <si>
    <t>Mollinga</t>
  </si>
  <si>
    <t>joris@duckduckgoose.nl</t>
  </si>
  <si>
    <t>duckduckgoose</t>
  </si>
  <si>
    <t>Jorn Eiting van Liempt</t>
  </si>
  <si>
    <t>Jorn</t>
  </si>
  <si>
    <t>Eiting van Liempt</t>
  </si>
  <si>
    <t>jorn.eiting@rominwest.nl</t>
  </si>
  <si>
    <t>rominwest</t>
  </si>
  <si>
    <t>Joshua Foong</t>
  </si>
  <si>
    <t>Joshua</t>
  </si>
  <si>
    <t>Foong</t>
  </si>
  <si>
    <t>jfoong@nus.edu.sg</t>
  </si>
  <si>
    <t>nus</t>
  </si>
  <si>
    <t>Karsten Bakker</t>
  </si>
  <si>
    <t>Karsten</t>
  </si>
  <si>
    <t>karsten.bakker@kpn.com</t>
  </si>
  <si>
    <t>kpn</t>
  </si>
  <si>
    <t>Koen Bavinck</t>
  </si>
  <si>
    <t>Bavinck</t>
  </si>
  <si>
    <t>koen.bavinck@gmail.com</t>
  </si>
  <si>
    <t>Koen den ouden</t>
  </si>
  <si>
    <t>den ouden</t>
  </si>
  <si>
    <t>k.den.ouden@rocmondriaan.nl</t>
  </si>
  <si>
    <t>Kos Fourkiotis</t>
  </si>
  <si>
    <t>Kos</t>
  </si>
  <si>
    <t>Fourkiotis</t>
  </si>
  <si>
    <t>kos.fourkiotis@csu.nl</t>
  </si>
  <si>
    <t>csu</t>
  </si>
  <si>
    <t>Lennart Zielstra</t>
  </si>
  <si>
    <t>Lennart</t>
  </si>
  <si>
    <t>Zielstra</t>
  </si>
  <si>
    <t>lennart@rezolvemedical.com</t>
  </si>
  <si>
    <t>zealmobility</t>
  </si>
  <si>
    <t>Luke van der Wardt</t>
  </si>
  <si>
    <t>Luke</t>
  </si>
  <si>
    <t>van der Wardt</t>
  </si>
  <si>
    <t>lukevanderwardt@mypup.nl</t>
  </si>
  <si>
    <t>mypup</t>
  </si>
  <si>
    <t>Maarten Keswiel</t>
  </si>
  <si>
    <t>Keswiel</t>
  </si>
  <si>
    <t>maarten@sprout.nl</t>
  </si>
  <si>
    <t>sprout</t>
  </si>
  <si>
    <t>Maisie Devine</t>
  </si>
  <si>
    <t>Maisie</t>
  </si>
  <si>
    <t>Devine</t>
  </si>
  <si>
    <t>maisie.devine@ab-inbev.com</t>
  </si>
  <si>
    <t>Manon Huysmans</t>
  </si>
  <si>
    <t>Manon</t>
  </si>
  <si>
    <t>Huysmans</t>
  </si>
  <si>
    <t>manon.huysmans@rtl.nl</t>
  </si>
  <si>
    <t>RTL</t>
  </si>
  <si>
    <t>Manuela Cox</t>
  </si>
  <si>
    <t>Manuela</t>
  </si>
  <si>
    <t>Cox</t>
  </si>
  <si>
    <t>Manuela.Cox@twobirds.com</t>
  </si>
  <si>
    <t>Marc Kalf</t>
  </si>
  <si>
    <t>Marc</t>
  </si>
  <si>
    <t>Kalf</t>
  </si>
  <si>
    <t>marc@romutrechtregion.nl</t>
  </si>
  <si>
    <t>romutrechtregion</t>
  </si>
  <si>
    <t>Marc Wullings</t>
  </si>
  <si>
    <t>Wullings</t>
  </si>
  <si>
    <t>marc.wullings@skipred.com</t>
  </si>
  <si>
    <t>skipred</t>
  </si>
  <si>
    <t>Marc Wesselink</t>
  </si>
  <si>
    <t>Wesselink</t>
  </si>
  <si>
    <t>marc@venturerock.com</t>
  </si>
  <si>
    <t>venturerock</t>
  </si>
  <si>
    <t>Marc van Wijngaarden</t>
  </si>
  <si>
    <t xml:space="preserve">Marc </t>
  </si>
  <si>
    <t>van Wijngaarden</t>
  </si>
  <si>
    <t>marc.van.wijngaarden@twobirds.com</t>
  </si>
  <si>
    <t>Margot McDonnell</t>
  </si>
  <si>
    <t>Margot</t>
  </si>
  <si>
    <t>McDonnell</t>
  </si>
  <si>
    <t>margot@k-i.no</t>
  </si>
  <si>
    <t>k-i</t>
  </si>
  <si>
    <t>Marieke van Nieuwenhuizen</t>
  </si>
  <si>
    <t>Marieke</t>
  </si>
  <si>
    <r>
      <rPr>
        <color rgb="FF1155CC"/>
        <sz val="11.0"/>
        <u/>
      </rPr>
      <t>marieke@insight-projects.com</t>
    </r>
  </si>
  <si>
    <t>Insight-projects</t>
  </si>
  <si>
    <t>Martijn Pater</t>
  </si>
  <si>
    <t>Pater</t>
  </si>
  <si>
    <t>martijn@codingthecurbs.com</t>
  </si>
  <si>
    <t>Martin Gruber</t>
  </si>
  <si>
    <t>Gruber</t>
  </si>
  <si>
    <t>martin.gruber@nxp.com</t>
  </si>
  <si>
    <t>nxp</t>
  </si>
  <si>
    <t>Martine Melis</t>
  </si>
  <si>
    <t>Martine</t>
  </si>
  <si>
    <t>Melis</t>
  </si>
  <si>
    <t>martine.monique.melis@gmail.com</t>
  </si>
  <si>
    <t>Matthew Amer</t>
  </si>
  <si>
    <t>Matthew</t>
  </si>
  <si>
    <t>Amer</t>
  </si>
  <si>
    <t>matthew.amer@ab-inbev.com</t>
  </si>
  <si>
    <t>Matthew Fox</t>
  </si>
  <si>
    <t>Fox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</si>
  <si>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fox.matthew18@gmail.com</t>
    </r>
  </si>
  <si>
    <t>RA5DW0</t>
  </si>
  <si>
    <t>Matthijs Bulsink</t>
  </si>
  <si>
    <t>Matthijs</t>
  </si>
  <si>
    <t>Bulsink</t>
  </si>
  <si>
    <t>matthijs@braventure.nl</t>
  </si>
  <si>
    <t>braventure</t>
  </si>
  <si>
    <t>Matthijs Malkus</t>
  </si>
  <si>
    <t>Malkus</t>
  </si>
  <si>
    <t>malkus@rsm.nl</t>
  </si>
  <si>
    <t>Mattijs Slee</t>
  </si>
  <si>
    <t>Mattijs</t>
  </si>
  <si>
    <t>Slee</t>
  </si>
  <si>
    <t>mattijs@battolysersystems.com</t>
  </si>
  <si>
    <t>battolysersystems</t>
  </si>
  <si>
    <t>Max van Splunteren</t>
  </si>
  <si>
    <t>Max</t>
  </si>
  <si>
    <t>van Splunteren</t>
  </si>
  <si>
    <t>MvSplunteren@volkerwessels.com</t>
  </si>
  <si>
    <t>Michael Stucky</t>
  </si>
  <si>
    <t>Stucky</t>
  </si>
  <si>
    <t>michael.stucky@serpentine.vc</t>
  </si>
  <si>
    <t>serpentine</t>
  </si>
  <si>
    <t>Nadine Herrwerth</t>
  </si>
  <si>
    <t>Nadine</t>
  </si>
  <si>
    <t>Herrwerth</t>
  </si>
  <si>
    <t>nadine.herrwerth@twtg.io</t>
  </si>
  <si>
    <t>Natasja Marchese</t>
  </si>
  <si>
    <t>Natasja</t>
  </si>
  <si>
    <t>Marchese</t>
  </si>
  <si>
    <t>natasja@techleap.nl</t>
  </si>
  <si>
    <t>techleap</t>
  </si>
  <si>
    <t>Nira de Waele</t>
  </si>
  <si>
    <t>Nira</t>
  </si>
  <si>
    <t>de Waele</t>
  </si>
  <si>
    <t>niratal@gmail.com</t>
  </si>
  <si>
    <t>Noah Paul</t>
  </si>
  <si>
    <t>Noah</t>
  </si>
  <si>
    <t>noah@unknowngroup.com</t>
  </si>
  <si>
    <t>Ole Dorhout Mees</t>
  </si>
  <si>
    <t>Ole</t>
  </si>
  <si>
    <t>Dorhout Mees</t>
  </si>
  <si>
    <t>ole.dorhoutmees@graduate.nl</t>
  </si>
  <si>
    <t>graduate</t>
  </si>
  <si>
    <t>Oscar van Dijk</t>
  </si>
  <si>
    <t>Oscar</t>
  </si>
  <si>
    <t>oscar@medicinemen.eu</t>
  </si>
  <si>
    <t>medicinemen</t>
  </si>
  <si>
    <t>Patricio</t>
  </si>
  <si>
    <t>patricio@microlab.nl</t>
  </si>
  <si>
    <t>microlab</t>
  </si>
  <si>
    <t>Paul Kengen</t>
  </si>
  <si>
    <t>Kengen</t>
  </si>
  <si>
    <t>paul.kengen@gmail.com</t>
  </si>
  <si>
    <t>Pedro Costa</t>
  </si>
  <si>
    <t>Pedro</t>
  </si>
  <si>
    <t>Costa</t>
  </si>
  <si>
    <t>pedro.costa@beta-i.com</t>
  </si>
  <si>
    <t>beta-i</t>
  </si>
  <si>
    <t>Perry van Beek</t>
  </si>
  <si>
    <t>Perry</t>
  </si>
  <si>
    <t>van Beek</t>
  </si>
  <si>
    <t>perry@social.one</t>
  </si>
  <si>
    <t>social.one</t>
  </si>
  <si>
    <t>Peter van der Wee</t>
  </si>
  <si>
    <t>van der Wee</t>
  </si>
  <si>
    <t>pvanderwee@vwinfra.nl</t>
  </si>
  <si>
    <t>vwinfra</t>
  </si>
  <si>
    <t>Peter Stas</t>
  </si>
  <si>
    <t>Stas</t>
  </si>
  <si>
    <t>pcstas@gmail.com</t>
  </si>
  <si>
    <t>Peter Paul van Voorst</t>
  </si>
  <si>
    <t>Peter Paul</t>
  </si>
  <si>
    <t>van Voorst</t>
  </si>
  <si>
    <t>peterpaulvanvoorst@skoon.world</t>
  </si>
  <si>
    <t>skoon</t>
  </si>
  <si>
    <t>Pim Bellinga</t>
  </si>
  <si>
    <t>Pim</t>
  </si>
  <si>
    <t>Bellinga</t>
  </si>
  <si>
    <t>pim@grasple.com</t>
  </si>
  <si>
    <t>grasple</t>
  </si>
  <si>
    <t>Rens Dommerholt</t>
  </si>
  <si>
    <t>Rens</t>
  </si>
  <si>
    <t>Dommerholt</t>
  </si>
  <si>
    <t>r.dommerholt@novelt.com</t>
  </si>
  <si>
    <t>novelt</t>
  </si>
  <si>
    <t>Founder no longer Novel-T</t>
  </si>
  <si>
    <t>Rens de Jong</t>
  </si>
  <si>
    <t>de Jong</t>
  </si>
  <si>
    <t>rens@rensdejong.nl</t>
  </si>
  <si>
    <t>rensdejong</t>
  </si>
  <si>
    <t>Rianne van der Poel</t>
  </si>
  <si>
    <t>Rianne</t>
  </si>
  <si>
    <t>van der Poel</t>
  </si>
  <si>
    <t>r.vanderpoel@sbicnoordwijk.nl</t>
  </si>
  <si>
    <t>sbicnoordwijk</t>
  </si>
  <si>
    <t>Ricardo Marvao</t>
  </si>
  <si>
    <t>Ricardo</t>
  </si>
  <si>
    <t>Marvao</t>
  </si>
  <si>
    <r>
      <rPr>
        <color rgb="FF1155CC"/>
        <sz val="11.0"/>
        <u/>
      </rPr>
      <t>ricardo.marvao@beta-i.com</t>
    </r>
  </si>
  <si>
    <t>Beta-i</t>
  </si>
  <si>
    <t>Richard Borsboom</t>
  </si>
  <si>
    <t>Borsboom</t>
  </si>
  <si>
    <t>rborsboom@sandd.nl</t>
  </si>
  <si>
    <t>sandd</t>
  </si>
  <si>
    <t>mentor?</t>
  </si>
  <si>
    <t>Rick Zagers</t>
  </si>
  <si>
    <t>Rick</t>
  </si>
  <si>
    <t>Zagers</t>
  </si>
  <si>
    <t>rjc.zagers@mindef.nl</t>
  </si>
  <si>
    <t>Roel Kamerling</t>
  </si>
  <si>
    <t>Kamerling</t>
  </si>
  <si>
    <t>r.kamerling@tudelft.nl</t>
  </si>
  <si>
    <t>Roksolana Hoogstede</t>
  </si>
  <si>
    <t>Roksolana</t>
  </si>
  <si>
    <t>Hoogstede</t>
  </si>
  <si>
    <t>r.hoogstede-malhanova@tudelft.nl</t>
  </si>
  <si>
    <t>Ru Wikmann</t>
  </si>
  <si>
    <t>Ru</t>
  </si>
  <si>
    <t>Wikmann</t>
  </si>
  <si>
    <t>ru@beesage.co</t>
  </si>
  <si>
    <t>sander bosman</t>
  </si>
  <si>
    <t>sander</t>
  </si>
  <si>
    <t>bosman</t>
  </si>
  <si>
    <t>sander.bosman@capgemini.com</t>
  </si>
  <si>
    <t>capgemini</t>
  </si>
  <si>
    <t>Sandra van Heukelom</t>
  </si>
  <si>
    <t>Sandra</t>
  </si>
  <si>
    <t>van Heukelom</t>
  </si>
  <si>
    <r>
      <rPr>
        <color rgb="FF1155CC"/>
        <sz val="11.0"/>
        <u/>
      </rPr>
      <t>sandra.vanheukelom@pelsrijcken.nl</t>
    </r>
  </si>
  <si>
    <t>Expert&gt;</t>
  </si>
  <si>
    <t>Sija van den Beukel</t>
  </si>
  <si>
    <t>Sija</t>
  </si>
  <si>
    <t>van den Beukel</t>
  </si>
  <si>
    <t>sijarosa@gmail.com</t>
  </si>
  <si>
    <t>de ingenieur</t>
  </si>
  <si>
    <t>Stefan Buijsman</t>
  </si>
  <si>
    <t>Buijsman</t>
  </si>
  <si>
    <t>s.n.r.buijsman@tudelft.nl</t>
  </si>
  <si>
    <t>Stijn Michiels</t>
  </si>
  <si>
    <t>Stijn</t>
  </si>
  <si>
    <t>Michiels</t>
  </si>
  <si>
    <t>stijn.michiels@rws.nl</t>
  </si>
  <si>
    <t>RWS</t>
  </si>
  <si>
    <t>Suzanne Blotenburg</t>
  </si>
  <si>
    <t>Suzanne</t>
  </si>
  <si>
    <t>Blotenburg</t>
  </si>
  <si>
    <t>suzanneblotenburg@live.nl</t>
  </si>
  <si>
    <t>Tara van de Lagemaat</t>
  </si>
  <si>
    <t>Tara</t>
  </si>
  <si>
    <t>van de Lagemaat</t>
  </si>
  <si>
    <t>taravandelagemaat@skoon.world</t>
  </si>
  <si>
    <t>Tessa de Flines</t>
  </si>
  <si>
    <t>Tessa</t>
  </si>
  <si>
    <t>de Flines</t>
  </si>
  <si>
    <t>tessa@mastersofscale.nl</t>
  </si>
  <si>
    <t>Theo de Vries</t>
  </si>
  <si>
    <t>Theo</t>
  </si>
  <si>
    <t>theodevries@unmannedvalley.nl</t>
  </si>
  <si>
    <t>unmannedvalley</t>
  </si>
  <si>
    <t>Thirza Troost</t>
  </si>
  <si>
    <t>Thirza</t>
  </si>
  <si>
    <t>Troost</t>
  </si>
  <si>
    <t>thirza@shiftpeople.nl</t>
  </si>
  <si>
    <t>shiftpeople</t>
  </si>
  <si>
    <t>Ties van Bruinessen</t>
  </si>
  <si>
    <t>Ties</t>
  </si>
  <si>
    <t>van Bruinessen</t>
  </si>
  <si>
    <r>
      <rPr>
        <color rgb="FF1155CC"/>
        <sz val="11.0"/>
        <u/>
      </rPr>
      <t>T.M.vanBruinessen@tudelft.nl</t>
    </r>
  </si>
  <si>
    <t>TU Delft</t>
  </si>
  <si>
    <t>Tim van der Hagen</t>
  </si>
  <si>
    <t>van der Hagen</t>
  </si>
  <si>
    <r>
      <rPr>
        <color rgb="FF1155CC"/>
        <sz val="11.0"/>
        <u/>
      </rPr>
      <t>T.H.J.J.vanderHagen@tudelft.nl</t>
    </r>
  </si>
  <si>
    <t>Tim Meijster</t>
  </si>
  <si>
    <t>Meijster</t>
  </si>
  <si>
    <t>t.meijster@tudelft.nl</t>
  </si>
  <si>
    <t>Tomas Eoin</t>
  </si>
  <si>
    <t>Tomas</t>
  </si>
  <si>
    <t>Eoin</t>
  </si>
  <si>
    <t>tomas@thehaguetech.com</t>
  </si>
  <si>
    <t>thehaguetech</t>
  </si>
  <si>
    <t>Velina Veleva</t>
  </si>
  <si>
    <t xml:space="preserve">Velina </t>
  </si>
  <si>
    <t>Veleva</t>
  </si>
  <si>
    <t>YES!Delft Partner</t>
  </si>
  <si>
    <t>Wesley Lie-kon-pauw</t>
  </si>
  <si>
    <t>Wesley</t>
  </si>
  <si>
    <t>Lie-kon-pauw</t>
  </si>
  <si>
    <r>
      <rPr>
        <sz val="11.0"/>
        <u/>
      </rPr>
      <t>wesley.lie-kon-pauw@rabobank.</t>
    </r>
    <r>
      <rPr>
        <sz val="11.0"/>
        <u/>
      </rPr>
      <t>nl</t>
    </r>
  </si>
  <si>
    <t>Wil Flikweert</t>
  </si>
  <si>
    <t>Wil</t>
  </si>
  <si>
    <t>Flikweert</t>
  </si>
  <si>
    <t>w.flikweert@planet.nl</t>
  </si>
  <si>
    <t>planet</t>
  </si>
  <si>
    <t>Yannick Boertje</t>
  </si>
  <si>
    <t>Yannick</t>
  </si>
  <si>
    <t>Boertje</t>
  </si>
  <si>
    <t>yannick.boertje@boemcybersecurity.nl</t>
  </si>
  <si>
    <t>Dimitri Zantvliet</t>
  </si>
  <si>
    <t>Dimitri</t>
  </si>
  <si>
    <t>Zantvliet</t>
  </si>
  <si>
    <t>dimitri.vanzantvliet@ns.nl</t>
  </si>
  <si>
    <t>NS</t>
  </si>
  <si>
    <t>OMS7F9</t>
  </si>
  <si>
    <t>Not attending</t>
  </si>
  <si>
    <t>Aman Jindal</t>
  </si>
  <si>
    <t>Aman</t>
  </si>
  <si>
    <t>Jindal</t>
  </si>
  <si>
    <t>aman.jindal@denoize.com</t>
  </si>
  <si>
    <t>denoize</t>
  </si>
  <si>
    <t>QDRU41</t>
  </si>
  <si>
    <t>Anita Lieverdink</t>
  </si>
  <si>
    <t>Anita</t>
  </si>
  <si>
    <t>Lieverdink</t>
  </si>
  <si>
    <t>anita.lieverdink@aic4nl.nl</t>
  </si>
  <si>
    <t>aic4nl</t>
  </si>
  <si>
    <t>VL9ON1</t>
  </si>
  <si>
    <t>Anouk Dijkstal</t>
  </si>
  <si>
    <t>Anouk</t>
  </si>
  <si>
    <t>Dijkstal</t>
  </si>
  <si>
    <t>a.s.dijkstal@tudelft.nl</t>
  </si>
  <si>
    <t>PODQY0</t>
  </si>
  <si>
    <t>Anske Plante</t>
  </si>
  <si>
    <t>Anske</t>
  </si>
  <si>
    <t>Plante</t>
  </si>
  <si>
    <t>j.a.plante@tudelft.nl</t>
  </si>
  <si>
    <t>RC0BJ4</t>
  </si>
  <si>
    <t>Arie Slottje</t>
  </si>
  <si>
    <t>Arie</t>
  </si>
  <si>
    <t>Slottje</t>
  </si>
  <si>
    <t>slottjearie@gmail.com</t>
  </si>
  <si>
    <t>VBV1AK</t>
  </si>
  <si>
    <t>Arthur Kramer</t>
  </si>
  <si>
    <t>Arthur</t>
  </si>
  <si>
    <t>Kramer</t>
  </si>
  <si>
    <t>a.kramer@visible-investments.nl</t>
  </si>
  <si>
    <t>Visible Investments</t>
  </si>
  <si>
    <t>WT7T29</t>
  </si>
  <si>
    <t>Auke van den Hout</t>
  </si>
  <si>
    <t>Auke</t>
  </si>
  <si>
    <t>van den Hout</t>
  </si>
  <si>
    <t>auke.vandenhout@graduate.nl</t>
  </si>
  <si>
    <t>8QALG8</t>
  </si>
  <si>
    <t>Aylin Girgin Özbiliş</t>
  </si>
  <si>
    <t>Aylin</t>
  </si>
  <si>
    <t>Girgin Özbiliş</t>
  </si>
  <si>
    <t>aylin@vincivc.com</t>
  </si>
  <si>
    <t>Vinci Venture Capital</t>
  </si>
  <si>
    <t>3H0731</t>
  </si>
  <si>
    <t>Bart van Campenhout</t>
  </si>
  <si>
    <t>van Campenhout</t>
  </si>
  <si>
    <r>
      <rPr>
        <color rgb="FF1155CC"/>
        <u/>
      </rPr>
      <t>bvc@aldertree.eu</t>
    </r>
  </si>
  <si>
    <t>Alder Tree Investments</t>
  </si>
  <si>
    <t>Chokri</t>
  </si>
  <si>
    <t>D2PHW0</t>
  </si>
  <si>
    <t>Bart Sander</t>
  </si>
  <si>
    <t>BW.Sander@mindef.nl</t>
  </si>
  <si>
    <t>MIND</t>
  </si>
  <si>
    <t>DCAO6K</t>
  </si>
  <si>
    <t>Berend van den Boomen</t>
  </si>
  <si>
    <t>Berend</t>
  </si>
  <si>
    <t>van den Boomen</t>
  </si>
  <si>
    <r>
      <rPr>
        <color rgb="FF1155CC"/>
        <u/>
      </rPr>
      <t>berend.vandenboomen@</t>
    </r>
    <r>
      <rPr/>
      <t>delfinvest.nl</t>
    </r>
  </si>
  <si>
    <t>Delfinvest</t>
  </si>
  <si>
    <t>TATBLL</t>
  </si>
  <si>
    <t>Birthe Konu</t>
  </si>
  <si>
    <t>Birthe</t>
  </si>
  <si>
    <t>Konu</t>
  </si>
  <si>
    <t>birthe.konu@rabobank.nl</t>
  </si>
  <si>
    <t>H5G5AT</t>
  </si>
  <si>
    <t>Bob Stassar</t>
  </si>
  <si>
    <t>Bob</t>
  </si>
  <si>
    <t>Stassar</t>
  </si>
  <si>
    <t>b.stassar@benedictpeax.com</t>
  </si>
  <si>
    <t>benedictpeax</t>
  </si>
  <si>
    <t>IK6YIF</t>
  </si>
  <si>
    <t>Boris Gorkovoi</t>
  </si>
  <si>
    <t>Gorkovoi</t>
  </si>
  <si>
    <t>boris.gorkovoi@hidelta.nl</t>
  </si>
  <si>
    <t>hidelta</t>
  </si>
  <si>
    <t>0D1Z0Z</t>
  </si>
  <si>
    <t>Bram Spitzer</t>
  </si>
  <si>
    <t>Bram</t>
  </si>
  <si>
    <t>Spitzer</t>
  </si>
  <si>
    <t>am.spitzer@pzh.nl</t>
  </si>
  <si>
    <t>FDKV7S</t>
  </si>
  <si>
    <t>Brian Stout</t>
  </si>
  <si>
    <t xml:space="preserve">Brian </t>
  </si>
  <si>
    <t xml:space="preserve">Stout </t>
  </si>
  <si>
    <t>brian.stout@ziggo.nl</t>
  </si>
  <si>
    <t>ziggo</t>
  </si>
  <si>
    <t>J9H0D1</t>
  </si>
  <si>
    <t>Cas van Cooten</t>
  </si>
  <si>
    <t>Cas</t>
  </si>
  <si>
    <t>van Cooten</t>
  </si>
  <si>
    <t>cas@offensys.nl</t>
  </si>
  <si>
    <t>Offensys B.V.</t>
  </si>
  <si>
    <t>V76XXF</t>
  </si>
  <si>
    <t>Chokri Mousaoui</t>
  </si>
  <si>
    <t>Mousaoui</t>
  </si>
  <si>
    <r>
      <rPr>
        <color rgb="FF0000FF"/>
        <sz val="11.0"/>
        <u/>
      </rPr>
      <t>cmousaoui@gmail.com</t>
    </r>
  </si>
  <si>
    <t>Eternal Sun B.V.</t>
  </si>
  <si>
    <t>KGDQER</t>
  </si>
  <si>
    <t>Daan Kuitenbrouwer</t>
  </si>
  <si>
    <t>Kuitenbrouwer</t>
  </si>
  <si>
    <t>daan@delft-circuits.com</t>
  </si>
  <si>
    <t>delft-circuits</t>
  </si>
  <si>
    <t>CB1OBZ</t>
  </si>
  <si>
    <t>Daan Hittema</t>
  </si>
  <si>
    <t>Hittema</t>
  </si>
  <si>
    <t>daan.hittema@ide.group</t>
  </si>
  <si>
    <t>ide</t>
  </si>
  <si>
    <t>KNY4XO</t>
  </si>
  <si>
    <t>Damien van der Bijl</t>
  </si>
  <si>
    <t>Damien</t>
  </si>
  <si>
    <t>van der Bijl</t>
  </si>
  <si>
    <t>damien.vanderbijl@capricorn.be</t>
  </si>
  <si>
    <t>capricorn</t>
  </si>
  <si>
    <t>T1BAF8</t>
  </si>
  <si>
    <t>Dan Howell</t>
  </si>
  <si>
    <t>Dan</t>
  </si>
  <si>
    <t>Howell</t>
  </si>
  <si>
    <t>d.howell@tudelft.nl</t>
  </si>
  <si>
    <t>72080G</t>
  </si>
  <si>
    <t>Dan Veen</t>
  </si>
  <si>
    <t>Veen</t>
  </si>
  <si>
    <r>
      <rPr>
        <color rgb="FF1155CC"/>
        <sz val="11.0"/>
        <u/>
      </rPr>
      <t>veen@maritimetechnology.nl</t>
    </r>
  </si>
  <si>
    <t>We4Sea</t>
  </si>
  <si>
    <t>M6WNHA</t>
  </si>
  <si>
    <t>Daniel Howell</t>
  </si>
  <si>
    <t>dan@quantumdelft.nl</t>
  </si>
  <si>
    <t>2AI60Q</t>
  </si>
  <si>
    <t>Daniel Tajari</t>
  </si>
  <si>
    <t>Tajari</t>
  </si>
  <si>
    <t>dtajari@gmail.com</t>
  </si>
  <si>
    <t>SHM Next</t>
  </si>
  <si>
    <t>MVX2VJ</t>
  </si>
  <si>
    <t>Daniel Kofman</t>
  </si>
  <si>
    <t>Kofman</t>
  </si>
  <si>
    <t>daniel.kofman@siemens.com</t>
  </si>
  <si>
    <t>Siemens</t>
  </si>
  <si>
    <t>5MWNW4</t>
  </si>
  <si>
    <t>Dantest danique</t>
  </si>
  <si>
    <t>Dantest</t>
  </si>
  <si>
    <t>danique</t>
  </si>
  <si>
    <t>Danique@yesdelft.nl</t>
  </si>
  <si>
    <t>yesdelft</t>
  </si>
  <si>
    <t>17M9EU</t>
  </si>
  <si>
    <t>Dap Hartmann</t>
  </si>
  <si>
    <t>Dap</t>
  </si>
  <si>
    <t>Hartmann</t>
  </si>
  <si>
    <t>L.Hartmann@tudelft.nl</t>
  </si>
  <si>
    <t>JCGEIS</t>
  </si>
  <si>
    <t>Dario Turelli</t>
  </si>
  <si>
    <t>Dario</t>
  </si>
  <si>
    <t>Turelli</t>
  </si>
  <si>
    <t>d.a.turelli@tudelft.nl</t>
  </si>
  <si>
    <t>2TS7ZA</t>
  </si>
  <si>
    <t>David Beijer</t>
  </si>
  <si>
    <t>Beijer</t>
  </si>
  <si>
    <t>david@davidbeijer.com</t>
  </si>
  <si>
    <t>Dingify, Peeeks</t>
  </si>
  <si>
    <t>XWP8T3</t>
  </si>
  <si>
    <t>David Janssen</t>
  </si>
  <si>
    <t>Janssen</t>
  </si>
  <si>
    <r>
      <rPr>
        <rFont val="Arial, Helvetica, sans-serif"/>
        <color rgb="FF1155CC"/>
        <u/>
      </rPr>
      <t>dj@innovationindustries.com</t>
    </r>
  </si>
  <si>
    <t>innovationindustries</t>
  </si>
  <si>
    <t>LQGMCB</t>
  </si>
  <si>
    <t>David Knops</t>
  </si>
  <si>
    <t>Knops</t>
  </si>
  <si>
    <t>d.e.j.knops@tudelft.nl</t>
  </si>
  <si>
    <t>DFC6LO</t>
  </si>
  <si>
    <t>David Cerda Salzmann</t>
  </si>
  <si>
    <t>Cerda Salzmann</t>
  </si>
  <si>
    <t>bizarrobv@gmail.com</t>
  </si>
  <si>
    <t>HQ3165</t>
  </si>
  <si>
    <t>Diana Droog</t>
  </si>
  <si>
    <t>Diana</t>
  </si>
  <si>
    <t>Droog</t>
  </si>
  <si>
    <t>d.droog@tudelft.nl</t>
  </si>
  <si>
    <t>T78RT7</t>
  </si>
  <si>
    <t>Dick Sietses</t>
  </si>
  <si>
    <t>Dick</t>
  </si>
  <si>
    <t>Sietses</t>
  </si>
  <si>
    <t>dick.sietses@capricorn.be</t>
  </si>
  <si>
    <t>984GBS</t>
  </si>
  <si>
    <t>Dick Mooijman</t>
  </si>
  <si>
    <t>Mooijman</t>
  </si>
  <si>
    <t>d.mooijman@m-ma.nl</t>
  </si>
  <si>
    <t>GIR1VW</t>
  </si>
  <si>
    <t>Dop Brzesowsky</t>
  </si>
  <si>
    <t>Dop</t>
  </si>
  <si>
    <t>Brzesowsky</t>
  </si>
  <si>
    <t>dop.brzesowsky@gmail.com</t>
  </si>
  <si>
    <t>IMI7Y0</t>
  </si>
  <si>
    <t>Dr Robert-Jan Vreeburg</t>
  </si>
  <si>
    <t>Dr Robert-Jan</t>
  </si>
  <si>
    <t>Vreeburg</t>
  </si>
  <si>
    <t>rjvreeburg@katalistcompany.nl</t>
  </si>
  <si>
    <t>G3G5GV</t>
  </si>
  <si>
    <t>Elisabeth Minnemann</t>
  </si>
  <si>
    <t>Minnemann</t>
  </si>
  <si>
    <t>e.minnemann@hhs.nl</t>
  </si>
  <si>
    <t>hhs</t>
  </si>
  <si>
    <t>T4F8TX</t>
  </si>
  <si>
    <t>Ellen van Dam</t>
  </si>
  <si>
    <t>van Dam</t>
  </si>
  <si>
    <t>em.vandam@cornelderholding.com</t>
  </si>
  <si>
    <t>cornelderholding</t>
  </si>
  <si>
    <t>GCEAGS</t>
  </si>
  <si>
    <t>Ellen Hensbergen</t>
  </si>
  <si>
    <t>Hensbergen</t>
  </si>
  <si>
    <t>ellen.hensbergen@invesdor.com</t>
  </si>
  <si>
    <t>Invesdor</t>
  </si>
  <si>
    <t>D25FWL</t>
  </si>
  <si>
    <t>Elsa van der Zwan</t>
  </si>
  <si>
    <t>Elsa</t>
  </si>
  <si>
    <t>van der Zwan</t>
  </si>
  <si>
    <t>elsa.van.der.zwan@fme.nl</t>
  </si>
  <si>
    <t>fme</t>
  </si>
  <si>
    <t>WAZMKW</t>
  </si>
  <si>
    <t>Enrique Vervoort</t>
  </si>
  <si>
    <t>Enrique</t>
  </si>
  <si>
    <t>Vervoort</t>
  </si>
  <si>
    <r>
      <rPr>
        <color rgb="FF1155CC"/>
        <u/>
      </rPr>
      <t>enrique.vervoort@delfinvest.nl</t>
    </r>
  </si>
  <si>
    <t>TR0YVZ</t>
  </si>
  <si>
    <t>Erik Verloop</t>
  </si>
  <si>
    <t>Verloop</t>
  </si>
  <si>
    <t>verloopbv@hotmail.com</t>
  </si>
  <si>
    <t xml:space="preserve">Verloop </t>
  </si>
  <si>
    <t>X4RJHS</t>
  </si>
  <si>
    <t>Erik Pentinga</t>
  </si>
  <si>
    <t xml:space="preserve">Erik </t>
  </si>
  <si>
    <t>Pentinga</t>
  </si>
  <si>
    <t>erik.pentinga@investinternational.nl</t>
  </si>
  <si>
    <t>Invest International</t>
  </si>
  <si>
    <t>IANF8A</t>
  </si>
  <si>
    <t>Ernst Hoestra</t>
  </si>
  <si>
    <t>Ernst</t>
  </si>
  <si>
    <t>Hoestra</t>
  </si>
  <si>
    <t>hoestra@eur.nl</t>
  </si>
  <si>
    <t>7AADK9</t>
  </si>
  <si>
    <t>Ernst@lyla.systems</t>
  </si>
  <si>
    <t>LYLA (Leading Your Laboratory Advancement)</t>
  </si>
  <si>
    <t>NRIO19</t>
  </si>
  <si>
    <t>Eveline Vreede</t>
  </si>
  <si>
    <t>Eveline</t>
  </si>
  <si>
    <t>Vreede</t>
  </si>
  <si>
    <t>e.m.vreede@tudelft.nl</t>
  </si>
  <si>
    <t>86PW9U</t>
  </si>
  <si>
    <t>Fabian Groeneveld</t>
  </si>
  <si>
    <t>Groeneveld</t>
  </si>
  <si>
    <t>fabian.groeneveld@rabobank.nl</t>
  </si>
  <si>
    <t>9AYK9G</t>
  </si>
  <si>
    <t>Fatih Kaya</t>
  </si>
  <si>
    <t>Fatih</t>
  </si>
  <si>
    <t>Kaya</t>
  </si>
  <si>
    <t>f.kaya@kikkcapital.com</t>
  </si>
  <si>
    <t>kikkcapital</t>
  </si>
  <si>
    <t>V4X1R9</t>
  </si>
  <si>
    <t>Floris van den Broek</t>
  </si>
  <si>
    <t>Floris</t>
  </si>
  <si>
    <t>van den Broek</t>
  </si>
  <si>
    <t>floris@vandenbroek.com</t>
  </si>
  <si>
    <t>159449</t>
  </si>
  <si>
    <t>Floris Duffhuis</t>
  </si>
  <si>
    <t>Duffhuis</t>
  </si>
  <si>
    <t>floris.duffhuis@multifix.nl</t>
  </si>
  <si>
    <t>multifix</t>
  </si>
  <si>
    <t>MRQ9B3</t>
  </si>
  <si>
    <t>Floris Blonk</t>
  </si>
  <si>
    <t>Blonk</t>
  </si>
  <si>
    <t>blonk@tki-offshoreenergy.nl</t>
  </si>
  <si>
    <t>TKI</t>
  </si>
  <si>
    <t>IVVURG</t>
  </si>
  <si>
    <t>Frank Schuijer</t>
  </si>
  <si>
    <t>Schuijer</t>
  </si>
  <si>
    <t>frank@sirrom.nl</t>
  </si>
  <si>
    <t>PV5QJZ</t>
  </si>
  <si>
    <t>Frederik Westerouen van Meeteren</t>
  </si>
  <si>
    <t>Frederik</t>
  </si>
  <si>
    <t>Westerouen van Meeteren</t>
  </si>
  <si>
    <t>fvanmeeteren@gmail.com</t>
  </si>
  <si>
    <t>X8PZAZ</t>
  </si>
  <si>
    <t>Freek Dielissen</t>
  </si>
  <si>
    <t>Freek</t>
  </si>
  <si>
    <t>Dielissen</t>
  </si>
  <si>
    <t>freek@ds-capital.nl</t>
  </si>
  <si>
    <t>TN Ventures</t>
  </si>
  <si>
    <t>TWZ8R4</t>
  </si>
  <si>
    <t>Freek Smoes</t>
  </si>
  <si>
    <t>Smoes</t>
  </si>
  <si>
    <t>freek@yesdelft.nl</t>
  </si>
  <si>
    <t>L6MTDH</t>
  </si>
  <si>
    <t>Gabriel Louw</t>
  </si>
  <si>
    <t>Gabriel</t>
  </si>
  <si>
    <t>Louw</t>
  </si>
  <si>
    <t>gabriell@fairtree.com</t>
  </si>
  <si>
    <t>fairtree</t>
  </si>
  <si>
    <t>BEMB97</t>
  </si>
  <si>
    <t>Geert van Kuyck</t>
  </si>
  <si>
    <t>van Kuyck</t>
  </si>
  <si>
    <t>geert@dgadvisors.nl</t>
  </si>
  <si>
    <t>dgadvisors</t>
  </si>
  <si>
    <t>V2Z3OX</t>
  </si>
  <si>
    <t>Gerko Visee</t>
  </si>
  <si>
    <t>Gerko</t>
  </si>
  <si>
    <t>Visee</t>
  </si>
  <si>
    <t>gerko.visee@denhaag.nl</t>
  </si>
  <si>
    <t>3X6EC4</t>
  </si>
  <si>
    <t>Gerwin Hoogendoorn</t>
  </si>
  <si>
    <t>Gerwin</t>
  </si>
  <si>
    <t>Hoogendoorn</t>
  </si>
  <si>
    <t>gerwinhoogendoorn@icloud.com</t>
  </si>
  <si>
    <t>senz</t>
  </si>
  <si>
    <t>3REOUB</t>
  </si>
  <si>
    <t>Haiyan Che</t>
  </si>
  <si>
    <t>Haiyan</t>
  </si>
  <si>
    <t>Che</t>
  </si>
  <si>
    <t>yilunche@hotmail.com</t>
  </si>
  <si>
    <t>ZMB1SC</t>
  </si>
  <si>
    <t>Hans Bloemen</t>
  </si>
  <si>
    <t>Bloemen</t>
  </si>
  <si>
    <t>bloemen@ecfg.nl</t>
  </si>
  <si>
    <t>ecfg</t>
  </si>
  <si>
    <t>671L6T</t>
  </si>
  <si>
    <t>Hendrik Verschuur</t>
  </si>
  <si>
    <t>Verschuur</t>
  </si>
  <si>
    <t>hpverschuur@gmail.com</t>
  </si>
  <si>
    <t>haaglandenmc</t>
  </si>
  <si>
    <t>0DEW3C</t>
  </si>
  <si>
    <t>Henk van Groen</t>
  </si>
  <si>
    <t>van Groen</t>
  </si>
  <si>
    <t>henk@veerhavencapital.com</t>
  </si>
  <si>
    <t>percivalparticipations</t>
  </si>
  <si>
    <t>2YZSTC</t>
  </si>
  <si>
    <t>Herbert ten Have</t>
  </si>
  <si>
    <t>Herbert</t>
  </si>
  <si>
    <t>ten Have</t>
  </si>
  <si>
    <t xml:space="preserve">herberttenhave@gmail.com </t>
  </si>
  <si>
    <t>fizyr</t>
  </si>
  <si>
    <t>Y8BNET</t>
  </si>
  <si>
    <t>Hester Bijl</t>
  </si>
  <si>
    <t>Hester</t>
  </si>
  <si>
    <t>Bijl</t>
  </si>
  <si>
    <t>h.bijl@tudelft.nl</t>
  </si>
  <si>
    <t>KFCW2N</t>
  </si>
  <si>
    <t>Hicham Shatou</t>
  </si>
  <si>
    <t>Hicham</t>
  </si>
  <si>
    <t>Shatou</t>
  </si>
  <si>
    <t>shatou@lequest.com</t>
  </si>
  <si>
    <t>lequest</t>
  </si>
  <si>
    <t>8OBG1D</t>
  </si>
  <si>
    <t>Hidde Heimel</t>
  </si>
  <si>
    <t>Hidde</t>
  </si>
  <si>
    <t>Heimel</t>
  </si>
  <si>
    <t>hheimel@8capital.nl</t>
  </si>
  <si>
    <t>8capital</t>
  </si>
  <si>
    <t>HV1MVP</t>
  </si>
  <si>
    <t>Hugo Niezen</t>
  </si>
  <si>
    <t>Hugo</t>
  </si>
  <si>
    <t>Niezen</t>
  </si>
  <si>
    <t>hugo.niezen@tno.nl</t>
  </si>
  <si>
    <t>TNO</t>
  </si>
  <si>
    <t>Ras</t>
  </si>
  <si>
    <t>WPRNA5</t>
  </si>
  <si>
    <t>Hussein</t>
  </si>
  <si>
    <t>m.hussein@hyerpower.nl</t>
  </si>
  <si>
    <t>HyER Power BV</t>
  </si>
  <si>
    <t>X82GRJ</t>
  </si>
  <si>
    <t>Ide Swager</t>
  </si>
  <si>
    <t>Ide</t>
  </si>
  <si>
    <t>Swager</t>
  </si>
  <si>
    <t>ideswager@gmail.com</t>
  </si>
  <si>
    <t>Momo Medical</t>
  </si>
  <si>
    <t>VD019U</t>
  </si>
  <si>
    <t>Iskander Hannivoort</t>
  </si>
  <si>
    <t>Iskander</t>
  </si>
  <si>
    <t>Hannivoort</t>
  </si>
  <si>
    <t>iskander@manuk.ai</t>
  </si>
  <si>
    <t>manukai</t>
  </si>
  <si>
    <t>GYHGEA</t>
  </si>
  <si>
    <t>Ivo van der Horst</t>
  </si>
  <si>
    <t>Ivo</t>
  </si>
  <si>
    <t>ivo.vanderhorst@investinternational.nl</t>
  </si>
  <si>
    <t>RENV19</t>
  </si>
  <si>
    <t>Jacqueline Schardijn</t>
  </si>
  <si>
    <t>Jacqueline</t>
  </si>
  <si>
    <t>Schardijn</t>
  </si>
  <si>
    <t>jacqueline.schardijn@innovationquarter.nl</t>
  </si>
  <si>
    <t>YXTM64</t>
  </si>
  <si>
    <t>Jacqueline Papendrecht</t>
  </si>
  <si>
    <t>Papendrecht</t>
  </si>
  <si>
    <t>j.papendrecht@tudelft.nl</t>
  </si>
  <si>
    <t>HQ1810</t>
  </si>
  <si>
    <t>Jan Theunissen</t>
  </si>
  <si>
    <t>Theunissen</t>
  </si>
  <si>
    <t>j.theunissen@kikkcapital.com</t>
  </si>
  <si>
    <t>MD7721</t>
  </si>
  <si>
    <t>Jasper Schakel</t>
  </si>
  <si>
    <t>Schakel</t>
  </si>
  <si>
    <t>jasper.schakel@ciwi.earth</t>
  </si>
  <si>
    <t>CIWI</t>
  </si>
  <si>
    <t>X5LERI</t>
  </si>
  <si>
    <t>Jelle Post</t>
  </si>
  <si>
    <t>Jelle</t>
  </si>
  <si>
    <t>Post</t>
  </si>
  <si>
    <t>jelle.post@tudelft.nl</t>
  </si>
  <si>
    <t>8Q6VF9</t>
  </si>
  <si>
    <t>Jemy Pauwels</t>
  </si>
  <si>
    <t>Jemy</t>
  </si>
  <si>
    <t>Pauwels</t>
  </si>
  <si>
    <t>jemy.pauwels@demcon.com</t>
  </si>
  <si>
    <t>WOTADG</t>
  </si>
  <si>
    <t>Jermaine Saaltink</t>
  </si>
  <si>
    <t>Jermaine</t>
  </si>
  <si>
    <t>J.Saaltink@shell.com</t>
  </si>
  <si>
    <t>Shell Ventures</t>
  </si>
  <si>
    <t>CDKKQB</t>
  </si>
  <si>
    <t>Jeroen Mann</t>
  </si>
  <si>
    <t>Mann</t>
  </si>
  <si>
    <t>jeroen.mann@mannovation.nl</t>
  </si>
  <si>
    <t>1Q3WB7</t>
  </si>
  <si>
    <t>Jin Han</t>
  </si>
  <si>
    <t>Jin</t>
  </si>
  <si>
    <t>Han</t>
  </si>
  <si>
    <t>hanjin@globusii.com</t>
  </si>
  <si>
    <t>globusii</t>
  </si>
  <si>
    <t>KIIO28</t>
  </si>
  <si>
    <t>John Bell</t>
  </si>
  <si>
    <t>Bell</t>
  </si>
  <si>
    <t>john@hightechxl.com</t>
  </si>
  <si>
    <t>hightechxl</t>
  </si>
  <si>
    <t>XVFG2C</t>
  </si>
  <si>
    <t>John Gebeily</t>
  </si>
  <si>
    <t>Gebeily</t>
  </si>
  <si>
    <t>john@kadmoscapital.com</t>
  </si>
  <si>
    <t>Kadmos Capital Ltd</t>
  </si>
  <si>
    <t>WKJHB7</t>
  </si>
  <si>
    <t>Jonathan Fajardo</t>
  </si>
  <si>
    <t>Jonathan</t>
  </si>
  <si>
    <t>Fajardo</t>
  </si>
  <si>
    <t>jonathan@imecxpand.com</t>
  </si>
  <si>
    <t>imecxpand</t>
  </si>
  <si>
    <t>FOATUI</t>
  </si>
  <si>
    <t>Jordan Billiald</t>
  </si>
  <si>
    <t>Jordan</t>
  </si>
  <si>
    <t>Billiald</t>
  </si>
  <si>
    <t>jordan@iqcapital.vc</t>
  </si>
  <si>
    <t>IQ Capital</t>
  </si>
  <si>
    <t>QWDI3S</t>
  </si>
  <si>
    <t>Jorg Kop</t>
  </si>
  <si>
    <t>Jorg</t>
  </si>
  <si>
    <t>Kop</t>
  </si>
  <si>
    <t>jorg@uprotterdam.com</t>
  </si>
  <si>
    <t>uprotterdam</t>
  </si>
  <si>
    <t>KGA985</t>
  </si>
  <si>
    <t>Joris van Kappen</t>
  </si>
  <si>
    <t>van Kappen</t>
  </si>
  <si>
    <t>joris@van-kappen.com</t>
  </si>
  <si>
    <t>TEXE1R</t>
  </si>
  <si>
    <t>Joris Meijaard</t>
  </si>
  <si>
    <t>Meijaard</t>
  </si>
  <si>
    <t>meijaard@rsm.nl</t>
  </si>
  <si>
    <t>67HD1U</t>
  </si>
  <si>
    <t>Jos Maccabiani</t>
  </si>
  <si>
    <t>Jos</t>
  </si>
  <si>
    <t>Maccabiani</t>
  </si>
  <si>
    <t>jos.maccabiani@innovationquarter.nl</t>
  </si>
  <si>
    <t>N7DHHH</t>
  </si>
  <si>
    <t>Jurjen Slump</t>
  </si>
  <si>
    <t>Jurjen</t>
  </si>
  <si>
    <t>Slump</t>
  </si>
  <si>
    <t>j.r.slump@tudelft.nl</t>
  </si>
  <si>
    <t>ZI26CM</t>
  </si>
  <si>
    <t>Ken Gould</t>
  </si>
  <si>
    <t>Ken</t>
  </si>
  <si>
    <t>Gould</t>
  </si>
  <si>
    <t>kengould@me.com</t>
  </si>
  <si>
    <t>EVA ('Electric Vehicle Charging Alternative')</t>
  </si>
  <si>
    <t>Q6Z9QF</t>
  </si>
  <si>
    <t>Kirsten Ruiter</t>
  </si>
  <si>
    <t>Kirsten</t>
  </si>
  <si>
    <t>Ruiter</t>
  </si>
  <si>
    <t>kirsten.ruiter@buccaneerdelft.com</t>
  </si>
  <si>
    <t>buccaneerdelft</t>
  </si>
  <si>
    <t>K14O3R</t>
  </si>
  <si>
    <t>Koen Bouwers</t>
  </si>
  <si>
    <t>Bouwers</t>
  </si>
  <si>
    <t>koenbouwers@hotmail.com</t>
  </si>
  <si>
    <t>expert?</t>
  </si>
  <si>
    <t>OCA6TX</t>
  </si>
  <si>
    <t>Loet Rummenie</t>
  </si>
  <si>
    <t>Loet</t>
  </si>
  <si>
    <t>Rummenie</t>
  </si>
  <si>
    <t>loet.rummenie@hiceu.com</t>
  </si>
  <si>
    <t>ACIFVS</t>
  </si>
  <si>
    <t>Luc Treebusch</t>
  </si>
  <si>
    <t>Luc</t>
  </si>
  <si>
    <t>Treebusch</t>
  </si>
  <si>
    <t>luc.treebusch@buccaneerdelft.com</t>
  </si>
  <si>
    <t>DOKTZ5</t>
  </si>
  <si>
    <t>Luuk Mur</t>
  </si>
  <si>
    <t>Luuk</t>
  </si>
  <si>
    <t>Mur</t>
  </si>
  <si>
    <t>l.c.mur@tudelft.nl</t>
  </si>
  <si>
    <t>UW03JT</t>
  </si>
  <si>
    <t>Maarten van der Kooij</t>
  </si>
  <si>
    <t>van der Kooij</t>
  </si>
  <si>
    <t>maartenvanderkooij@hotmail.com</t>
  </si>
  <si>
    <t>VIBES.technology</t>
  </si>
  <si>
    <t>5AEBW5</t>
  </si>
  <si>
    <t>Maarten van der Elst</t>
  </si>
  <si>
    <t xml:space="preserve">Maarten </t>
  </si>
  <si>
    <r>
      <rPr>
        <color rgb="FF1155CC"/>
        <sz val="11.0"/>
        <u/>
      </rPr>
      <t>M.vanderElst@tudelft.nl</t>
    </r>
  </si>
  <si>
    <t>Reinier de graaff</t>
  </si>
  <si>
    <t>FPDUY1</t>
  </si>
  <si>
    <t>Marcel Van Der Heijden</t>
  </si>
  <si>
    <t>Van Der Heijden</t>
  </si>
  <si>
    <t>marcelvanderheijden@live.com</t>
  </si>
  <si>
    <t>1S79V4</t>
  </si>
  <si>
    <t>Marcel Timmer</t>
  </si>
  <si>
    <t>Timmer</t>
  </si>
  <si>
    <t>marcel@capfit.nl</t>
  </si>
  <si>
    <t>capfit</t>
  </si>
  <si>
    <t>K9ZK21</t>
  </si>
  <si>
    <t>Maria Tapia</t>
  </si>
  <si>
    <t>Maria</t>
  </si>
  <si>
    <t>Tapia</t>
  </si>
  <si>
    <t>mariatapia@earthstarinvestments.com</t>
  </si>
  <si>
    <t>Earthstar Investments</t>
  </si>
  <si>
    <t>VFIS23</t>
  </si>
  <si>
    <t>Marko Teodorovic</t>
  </si>
  <si>
    <t>Marko</t>
  </si>
  <si>
    <t>Teodorovic</t>
  </si>
  <si>
    <t>marko@optinno.eu</t>
  </si>
  <si>
    <t>QNP1U7</t>
  </si>
  <si>
    <t>Marlies Lukkes</t>
  </si>
  <si>
    <t>Marlies</t>
  </si>
  <si>
    <t>Lukkes</t>
  </si>
  <si>
    <t>m.lukkes@shell.com</t>
  </si>
  <si>
    <t>ATK4VI</t>
  </si>
  <si>
    <t>Martine Klijn</t>
  </si>
  <si>
    <t>Klijn</t>
  </si>
  <si>
    <t>m.klijn@tudelft.nl</t>
  </si>
  <si>
    <t>M9MPBS</t>
  </si>
  <si>
    <t>Mathijs Van Der Knaap</t>
  </si>
  <si>
    <t>Mathijs</t>
  </si>
  <si>
    <t>Van Der Knaap</t>
  </si>
  <si>
    <t>mathijs@vpcapital.eu</t>
  </si>
  <si>
    <t>vpcapital</t>
  </si>
  <si>
    <t>ZXXCSE</t>
  </si>
  <si>
    <t>Matthew Burton</t>
  </si>
  <si>
    <t>Burton</t>
  </si>
  <si>
    <t>matt@mfbconsulting.nl</t>
  </si>
  <si>
    <t>CF0OIA</t>
  </si>
  <si>
    <t>Mercedes Tuin</t>
  </si>
  <si>
    <t>Mercedes</t>
  </si>
  <si>
    <t>Tuin</t>
  </si>
  <si>
    <t>mercedes.tuin@heranpartners.com</t>
  </si>
  <si>
    <t>HERAN Partners</t>
  </si>
  <si>
    <t>N64T75</t>
  </si>
  <si>
    <t>Michael Wulfsen</t>
  </si>
  <si>
    <t>Wulfsen</t>
  </si>
  <si>
    <t>m.wulfsen@tudelft.nl</t>
  </si>
  <si>
    <t>MQNA3O</t>
  </si>
  <si>
    <t>Michel van Schie</t>
  </si>
  <si>
    <t xml:space="preserve">Michel </t>
  </si>
  <si>
    <t>m.vanschie@sparkdesign.nl</t>
  </si>
  <si>
    <t>sparkdesign</t>
  </si>
  <si>
    <t>V75RBT</t>
  </si>
  <si>
    <t>Michiel van Stapele</t>
  </si>
  <si>
    <t>Michiel</t>
  </si>
  <si>
    <t>van Stapele</t>
  </si>
  <si>
    <r>
      <rPr>
        <rFont val="Verdana, sans-serif"/>
        <b/>
        <color rgb="FF1155CC"/>
        <sz val="9.0"/>
        <u/>
      </rPr>
      <t>michiel.vanstapele@</t>
    </r>
    <r>
      <rPr>
        <rFont val="Verdana, sans-serif"/>
        <b/>
        <color rgb="FFFF0000"/>
        <sz val="9.0"/>
      </rPr>
      <t>octrooicentrum.nl</t>
    </r>
  </si>
  <si>
    <t>rvo Octrooicentrum</t>
  </si>
  <si>
    <t>XH2PN9</t>
  </si>
  <si>
    <t>Mireille van Reenen</t>
  </si>
  <si>
    <t>Mireille</t>
  </si>
  <si>
    <t>van Reenen</t>
  </si>
  <si>
    <t>m.j.vanreenen@tudelft.nl</t>
  </si>
  <si>
    <t>5K9F6V</t>
  </si>
  <si>
    <t>Mirik Castro</t>
  </si>
  <si>
    <t>Mirik</t>
  </si>
  <si>
    <t>Castro</t>
  </si>
  <si>
    <t>mirik@scaleupcompany.com</t>
  </si>
  <si>
    <t>VNHVRW</t>
  </si>
  <si>
    <t>Mohammed Hussein</t>
  </si>
  <si>
    <t>Mohammed</t>
  </si>
  <si>
    <t xml:space="preserve">m.hussein@hyerpower.nl </t>
  </si>
  <si>
    <t>Hyer Power</t>
  </si>
  <si>
    <t>LO2LGT</t>
  </si>
  <si>
    <t>Mohammed iaallala</t>
  </si>
  <si>
    <t>iaallala</t>
  </si>
  <si>
    <t>mohammed.iaallala@planet-b.io</t>
  </si>
  <si>
    <t>planet-b</t>
  </si>
  <si>
    <t>F0LEWX</t>
  </si>
  <si>
    <t>Moritz Müller</t>
  </si>
  <si>
    <t>Moritz</t>
  </si>
  <si>
    <t>Müller</t>
  </si>
  <si>
    <t>moritzmueller@setventures.com</t>
  </si>
  <si>
    <t>setventures</t>
  </si>
  <si>
    <t>CLNTXN</t>
  </si>
  <si>
    <t>Moshe Vered</t>
  </si>
  <si>
    <t>Moshe</t>
  </si>
  <si>
    <t>Vered</t>
  </si>
  <si>
    <t>moses@roses-services.com</t>
  </si>
  <si>
    <t xml:space="preserve">Mentor </t>
  </si>
  <si>
    <t>XOME43</t>
  </si>
  <si>
    <t>Naomi de Haas</t>
  </si>
  <si>
    <t>Naomi</t>
  </si>
  <si>
    <t>de Haas</t>
  </si>
  <si>
    <t>n.dehaas@nwo.nl</t>
  </si>
  <si>
    <t>7UJM7O</t>
  </si>
  <si>
    <t>Nick Bos</t>
  </si>
  <si>
    <t>Nick</t>
  </si>
  <si>
    <t>Bos</t>
  </si>
  <si>
    <t>n.j.p.m.bos@tudelft.nl</t>
  </si>
  <si>
    <t>GO82WY</t>
  </si>
  <si>
    <t>Niels Kooiman</t>
  </si>
  <si>
    <t>Niels</t>
  </si>
  <si>
    <t>Kooiman</t>
  </si>
  <si>
    <t>niels.kooiman@damen.com</t>
  </si>
  <si>
    <t>damen</t>
  </si>
  <si>
    <t>3ITCJ7</t>
  </si>
  <si>
    <t>Nina Donker</t>
  </si>
  <si>
    <t>Nina</t>
  </si>
  <si>
    <t>Donker</t>
  </si>
  <si>
    <t>nina@capitaltvc.com</t>
  </si>
  <si>
    <t>capitaltvc</t>
  </si>
  <si>
    <t>0HEUV5</t>
  </si>
  <si>
    <t>Olivier Baas</t>
  </si>
  <si>
    <t>Olivier</t>
  </si>
  <si>
    <t>Baas</t>
  </si>
  <si>
    <t>obaas@villari.nl</t>
  </si>
  <si>
    <t>villari</t>
  </si>
  <si>
    <t>18U3OG</t>
  </si>
  <si>
    <t>Patricia Klopf</t>
  </si>
  <si>
    <t>Patricia</t>
  </si>
  <si>
    <t>Klopf</t>
  </si>
  <si>
    <t>klopf@rsm.nl</t>
  </si>
  <si>
    <t>M60KOW</t>
  </si>
  <si>
    <t>Paul Althuis</t>
  </si>
  <si>
    <t>Althuis</t>
  </si>
  <si>
    <t>h.p.s.althuis@tudelft.nl</t>
  </si>
  <si>
    <t>54P85Z</t>
  </si>
  <si>
    <t>Paul de Backker</t>
  </si>
  <si>
    <t>de Backker</t>
  </si>
  <si>
    <t>Paul.de.backker@doelgerichtbeter.nl</t>
  </si>
  <si>
    <t>9DLTJP</t>
  </si>
  <si>
    <t>Philip</t>
  </si>
  <si>
    <t>philip@mtsprout.nl</t>
  </si>
  <si>
    <t>mtsprout</t>
  </si>
  <si>
    <t>Pers</t>
  </si>
  <si>
    <t>73D6JC</t>
  </si>
  <si>
    <t>Philip Hess</t>
  </si>
  <si>
    <t>Hess</t>
  </si>
  <si>
    <t>p.hess@rotterdamfactoring.nl</t>
  </si>
  <si>
    <t>Rotterdam Factoring</t>
  </si>
  <si>
    <t>FOT6CO</t>
  </si>
  <si>
    <t>Philip Bueters</t>
  </si>
  <si>
    <t>Bueters</t>
  </si>
  <si>
    <t>philip@sprout.nl</t>
  </si>
  <si>
    <t>57ZAZP</t>
  </si>
  <si>
    <t>Pjotr van Schothorst</t>
  </si>
  <si>
    <t>Pjotr</t>
  </si>
  <si>
    <t>van Schothorst</t>
  </si>
  <si>
    <t>pjotr@pvs-investments.com</t>
  </si>
  <si>
    <t>pvs-investments</t>
  </si>
  <si>
    <t>AW3SQ6</t>
  </si>
  <si>
    <t>Prakul Pandit</t>
  </si>
  <si>
    <t>Prakul</t>
  </si>
  <si>
    <t>Pandit</t>
  </si>
  <si>
    <t>prakul.pandit@dlr.de</t>
  </si>
  <si>
    <t>Elarix Labs</t>
  </si>
  <si>
    <t>F0FM2B</t>
  </si>
  <si>
    <t>Prof. Dr. Ameya Rege</t>
  </si>
  <si>
    <t>Prof. Dr. Ameya</t>
  </si>
  <si>
    <t>Rege</t>
  </si>
  <si>
    <t>ameya.rege@utwente.nl</t>
  </si>
  <si>
    <t>MT2SZD</t>
  </si>
  <si>
    <t>Quintin van Driel</t>
  </si>
  <si>
    <t>Quintin</t>
  </si>
  <si>
    <t>van Driel</t>
  </si>
  <si>
    <r>
      <rPr>
        <rFont val="Arial, Helvetica, sans-serif"/>
        <color rgb="FF1155CC"/>
        <u/>
      </rPr>
      <t>quentin.vandriel@innoenergy.</t>
    </r>
    <r>
      <rPr>
        <rFont val="Arial, Helvetica, sans-serif"/>
        <color rgb="FF222222"/>
      </rPr>
      <t>com</t>
    </r>
  </si>
  <si>
    <t>YBZH97</t>
  </si>
  <si>
    <t>Rabih Hamid</t>
  </si>
  <si>
    <t>Rabih</t>
  </si>
  <si>
    <t>Hamid</t>
  </si>
  <si>
    <t>r.hamid@maxairea.com</t>
  </si>
  <si>
    <t>Maxairea</t>
  </si>
  <si>
    <t>ZJ46DH</t>
  </si>
  <si>
    <t>Ralf Heijkants</t>
  </si>
  <si>
    <t>Ralf</t>
  </si>
  <si>
    <t>Heijkants</t>
  </si>
  <si>
    <t>ralf@ralfheijkants.nl</t>
  </si>
  <si>
    <t>8QZI1F</t>
  </si>
  <si>
    <t>Ralph Van Dam</t>
  </si>
  <si>
    <t>Ralph</t>
  </si>
  <si>
    <t>Van Dam</t>
  </si>
  <si>
    <t>ralph.van.dam@achmea.nl</t>
  </si>
  <si>
    <t>Achmea Impact Ventures</t>
  </si>
  <si>
    <t>9V9EPL</t>
  </si>
  <si>
    <t>Régis Cazenave</t>
  </si>
  <si>
    <t>Régis</t>
  </si>
  <si>
    <t>Cazenave</t>
  </si>
  <si>
    <t>regis@mindforward.eu</t>
  </si>
  <si>
    <t>mindforward</t>
  </si>
  <si>
    <t>4B2JDJ</t>
  </si>
  <si>
    <t>Reka Gugan</t>
  </si>
  <si>
    <t>Reka</t>
  </si>
  <si>
    <t>Gugan</t>
  </si>
  <si>
    <t>rekagugan@earthstarinvestments.com</t>
  </si>
  <si>
    <t>5XVTT7</t>
  </si>
  <si>
    <t>Remy Kesrouani</t>
  </si>
  <si>
    <t>Remy</t>
  </si>
  <si>
    <t>Kesrouani</t>
  </si>
  <si>
    <t>remy@kadmoscapital.com</t>
  </si>
  <si>
    <t>76EW1L</t>
  </si>
  <si>
    <t>Rens Schoenmakers</t>
  </si>
  <si>
    <t xml:space="preserve">Rens </t>
  </si>
  <si>
    <t>Schoenmakers</t>
  </si>
  <si>
    <t>rens@fyeo.nl</t>
  </si>
  <si>
    <t>fyeo</t>
  </si>
  <si>
    <t>ZPPCQK</t>
  </si>
  <si>
    <t>Renze Blokland</t>
  </si>
  <si>
    <t>Renze</t>
  </si>
  <si>
    <t>Blokland</t>
  </si>
  <si>
    <r>
      <rPr>
        <color rgb="FF1155CC"/>
        <sz val="11.0"/>
        <u/>
      </rPr>
      <t>renze.blokland@fme.nl</t>
    </r>
  </si>
  <si>
    <t>FME</t>
  </si>
  <si>
    <t>LZ1ZWM</t>
  </si>
  <si>
    <t>Richard Holleman</t>
  </si>
  <si>
    <t>Holleman</t>
  </si>
  <si>
    <t>richard@caricecars.com</t>
  </si>
  <si>
    <t>caricecars</t>
  </si>
  <si>
    <t>8ZOQWB</t>
  </si>
  <si>
    <t>Richard van der Vegt</t>
  </si>
  <si>
    <t>van der Vegt</t>
  </si>
  <si>
    <t>rg.vd.vegt@mindef.nl</t>
  </si>
  <si>
    <t>TZ0X52</t>
  </si>
  <si>
    <t>Richard Illes</t>
  </si>
  <si>
    <t>Illes</t>
  </si>
  <si>
    <t>richard.illes@oxoholdings.eu</t>
  </si>
  <si>
    <t>oxoholdings</t>
  </si>
  <si>
    <t>0RXO8I</t>
  </si>
  <si>
    <t>Robert P. Huijsmans</t>
  </si>
  <si>
    <t>Robert P.</t>
  </si>
  <si>
    <t>Huijsmans</t>
  </si>
  <si>
    <t>rhuijsmans@ipcentric.nl</t>
  </si>
  <si>
    <t>5GGEGG</t>
  </si>
  <si>
    <t>Rogier Barents</t>
  </si>
  <si>
    <t>Rogier</t>
  </si>
  <si>
    <t>Barents</t>
  </si>
  <si>
    <t>rogier@intespring.nl</t>
  </si>
  <si>
    <t>InteSpring</t>
  </si>
  <si>
    <t>9M0Y19</t>
  </si>
  <si>
    <t>Rogier Klimbie</t>
  </si>
  <si>
    <t>Klimbie</t>
  </si>
  <si>
    <t>rogier.klimbie@kickstart.ai</t>
  </si>
  <si>
    <t>F005MI</t>
  </si>
  <si>
    <t>Ronald Gelderblom</t>
  </si>
  <si>
    <t>Ronald</t>
  </si>
  <si>
    <t>Gelderblom</t>
  </si>
  <si>
    <t>R.Gelderblom@tudelft.nl</t>
  </si>
  <si>
    <t>7G5TVV</t>
  </si>
  <si>
    <t>Rudmer Hoekstra</t>
  </si>
  <si>
    <t>Rudmer</t>
  </si>
  <si>
    <t>Hoekstra</t>
  </si>
  <si>
    <t>r.hoekstra@npex.nl</t>
  </si>
  <si>
    <t>npex</t>
  </si>
  <si>
    <t>FOPAJH</t>
  </si>
  <si>
    <t>Rui Li</t>
  </si>
  <si>
    <t>Rui</t>
  </si>
  <si>
    <t>Li</t>
  </si>
  <si>
    <t>Rui.Li@graduate.nl</t>
  </si>
  <si>
    <t>BX77IR</t>
  </si>
  <si>
    <t>Rutger de Graaf.</t>
  </si>
  <si>
    <t>Rutger</t>
  </si>
  <si>
    <t>de Graaf.</t>
  </si>
  <si>
    <t>rutger@blue21.nl</t>
  </si>
  <si>
    <t>Blue21 (DeltaSync)</t>
  </si>
  <si>
    <t>X0MHK4</t>
  </si>
  <si>
    <t>Rutger de Graaf</t>
  </si>
  <si>
    <t>de Graaf</t>
  </si>
  <si>
    <t>rutger.degraaf@rvo.nl</t>
  </si>
  <si>
    <t>GJ8T0S</t>
  </si>
  <si>
    <t>Rutger Arisz</t>
  </si>
  <si>
    <t>Arisz</t>
  </si>
  <si>
    <t>rutger.arisz@gmail.com</t>
  </si>
  <si>
    <t>J1GZI3</t>
  </si>
  <si>
    <t>Salima Oualite</t>
  </si>
  <si>
    <t>Salima</t>
  </si>
  <si>
    <t>Oualite</t>
  </si>
  <si>
    <t>salima.oualite@denhaag.nl</t>
  </si>
  <si>
    <t>BJKGG2</t>
  </si>
  <si>
    <t>Sander Peltenburg</t>
  </si>
  <si>
    <t>Peltenburg</t>
  </si>
  <si>
    <r>
      <rPr>
        <sz val="11.0"/>
        <u/>
      </rPr>
      <t>sander.peltenburg@rabobank.nl</t>
    </r>
  </si>
  <si>
    <t>NLVROH</t>
  </si>
  <si>
    <t>Sander Vroom</t>
  </si>
  <si>
    <t xml:space="preserve">Sander </t>
  </si>
  <si>
    <t>Vroom</t>
  </si>
  <si>
    <t>sander.vroom@rabobank.nl</t>
  </si>
  <si>
    <t>USRCL0</t>
  </si>
  <si>
    <t>Silvia ten Houten</t>
  </si>
  <si>
    <t>Silvia</t>
  </si>
  <si>
    <t>ten Houten</t>
  </si>
  <si>
    <t>stenhouten@hotmail.com</t>
  </si>
  <si>
    <t>Goodhout BV</t>
  </si>
  <si>
    <t>GTO62E</t>
  </si>
  <si>
    <t>Simone van Schijndel</t>
  </si>
  <si>
    <t>van Schijndel</t>
  </si>
  <si>
    <t>s.a.h.vanschijndel@tudelft.nl</t>
  </si>
  <si>
    <t>TUYPA8</t>
  </si>
  <si>
    <t>Sjoerd Mol</t>
  </si>
  <si>
    <t>Mol</t>
  </si>
  <si>
    <t>mol@benvalor.com</t>
  </si>
  <si>
    <t>benvalor</t>
  </si>
  <si>
    <t>Pablo</t>
  </si>
  <si>
    <t>DCZFID</t>
  </si>
  <si>
    <t>Sjoerd Stevens</t>
  </si>
  <si>
    <t>Stevens</t>
  </si>
  <si>
    <t>sjoerd@norrskenfoundation.org</t>
  </si>
  <si>
    <t>Norrsken VC</t>
  </si>
  <si>
    <t>YYJBZC</t>
  </si>
  <si>
    <t>Stan Jeanty</t>
  </si>
  <si>
    <t>Stan</t>
  </si>
  <si>
    <t>Jeanty</t>
  </si>
  <si>
    <t>stan@voltaventures.eu</t>
  </si>
  <si>
    <t>Volta Ventures</t>
  </si>
  <si>
    <t>UK7SVN</t>
  </si>
  <si>
    <t>Stef Prinsen</t>
  </si>
  <si>
    <t>Stef</t>
  </si>
  <si>
    <t>Prinsen</t>
  </si>
  <si>
    <t>stef.prinsen@tno.nl</t>
  </si>
  <si>
    <t>tno</t>
  </si>
  <si>
    <t>MQRWPY</t>
  </si>
  <si>
    <t>Steinar Henskes</t>
  </si>
  <si>
    <t>Steinar</t>
  </si>
  <si>
    <t>Henskes</t>
  </si>
  <si>
    <t>steinar@hensk.es</t>
  </si>
  <si>
    <t>hensk.es</t>
  </si>
  <si>
    <t>9LQ2UH</t>
  </si>
  <si>
    <t>Sven Bakkes</t>
  </si>
  <si>
    <t>Bakkes</t>
  </si>
  <si>
    <t>sven@lumolabs.io</t>
  </si>
  <si>
    <t>iOpener</t>
  </si>
  <si>
    <t>EEHF7H</t>
  </si>
  <si>
    <t>Sven Hamelink</t>
  </si>
  <si>
    <t>Hamelink</t>
  </si>
  <si>
    <t>sven.hamelink@politie.nl</t>
  </si>
  <si>
    <t>Police</t>
  </si>
  <si>
    <t>0F4MVY</t>
  </si>
  <si>
    <t>Tamas Puski</t>
  </si>
  <si>
    <t xml:space="preserve">Tamas </t>
  </si>
  <si>
    <t>Puski</t>
  </si>
  <si>
    <r>
      <rPr>
        <color rgb="FF1155CC"/>
        <sz val="11.0"/>
        <u/>
      </rPr>
      <t>tamas.puski@iseeq.co</t>
    </r>
  </si>
  <si>
    <t>Iseeq</t>
  </si>
  <si>
    <t>64VA8X</t>
  </si>
  <si>
    <t>Tom Jonker</t>
  </si>
  <si>
    <t>Jonker</t>
  </si>
  <si>
    <t>t.jonker@pzh.nl</t>
  </si>
  <si>
    <t>MYPYBY</t>
  </si>
  <si>
    <t>Tsuyoshi Yamashita</t>
  </si>
  <si>
    <t>Tsuyoshi</t>
  </si>
  <si>
    <t>Yamashita</t>
  </si>
  <si>
    <t>tsuyoshi_yamashita@murata.com</t>
  </si>
  <si>
    <t>Wonderstone Ventures (Murata Electronics)</t>
  </si>
  <si>
    <t>RR1IFU</t>
  </si>
  <si>
    <t>Vareska van de Vrande</t>
  </si>
  <si>
    <t>Vareska</t>
  </si>
  <si>
    <t>van de Vrande</t>
  </si>
  <si>
    <t>vvrande@rsm.nl</t>
  </si>
  <si>
    <t>RSM</t>
  </si>
  <si>
    <t>NVU6L3</t>
  </si>
  <si>
    <t>Vincent Ruijter</t>
  </si>
  <si>
    <t>Ruijter</t>
  </si>
  <si>
    <t>vincent.ruijter@gmail.com</t>
  </si>
  <si>
    <t>G8OQNX</t>
  </si>
  <si>
    <t>Vincent Wijdeveld</t>
  </si>
  <si>
    <t>Wijdeveld</t>
  </si>
  <si>
    <t>vincent@tarnoc.nl</t>
  </si>
  <si>
    <t>tarnoc</t>
  </si>
  <si>
    <t>UNEZNK</t>
  </si>
  <si>
    <t>Willem van Winkoop</t>
  </si>
  <si>
    <t>van Winkoop</t>
  </si>
  <si>
    <t>willem@watermanventures.nl</t>
  </si>
  <si>
    <t>watermanventures</t>
  </si>
  <si>
    <t>H39OI1</t>
  </si>
  <si>
    <t>William Janssen</t>
  </si>
  <si>
    <t>William</t>
  </si>
  <si>
    <t>w.janssen@maxairea.com</t>
  </si>
  <si>
    <t>X0449V</t>
  </si>
  <si>
    <t>Wouter Robers</t>
  </si>
  <si>
    <t>Robers</t>
  </si>
  <si>
    <t>wouter@robers.nl</t>
  </si>
  <si>
    <t>YES!Delft, Epyon</t>
  </si>
  <si>
    <t>VP7TTC</t>
  </si>
  <si>
    <t>Yannick Hopf</t>
  </si>
  <si>
    <t>Hopf</t>
  </si>
  <si>
    <t>yhopf@sonosilicon.com</t>
  </si>
  <si>
    <t>Sonosilicon</t>
  </si>
  <si>
    <t>G5I07D</t>
  </si>
  <si>
    <t>Yves Prevoo</t>
  </si>
  <si>
    <t>Yves</t>
  </si>
  <si>
    <t>Prevoo</t>
  </si>
  <si>
    <t>yves@odaihealth.com</t>
  </si>
  <si>
    <t>3TRQYJ</t>
  </si>
  <si>
    <t>Aad van der Geest</t>
  </si>
  <si>
    <t>Aad</t>
  </si>
  <si>
    <t>van der Geest</t>
  </si>
  <si>
    <t>spitstec@wxs.nl</t>
  </si>
  <si>
    <t>angel investor</t>
  </si>
  <si>
    <t>investor</t>
  </si>
  <si>
    <t>0D1XLE</t>
  </si>
  <si>
    <t>Sent to spitstec@wxs.nl on 2026-08-26</t>
  </si>
  <si>
    <t>Aaike van Vugt</t>
  </si>
  <si>
    <t>Aaike</t>
  </si>
  <si>
    <t>van Vugt</t>
  </si>
  <si>
    <t>a.vanvugt@vsparticle.com</t>
  </si>
  <si>
    <t>VSPARTICLE</t>
  </si>
  <si>
    <t>EUKCJC</t>
  </si>
  <si>
    <t>Sent to a.vanvugt@vsparticle.com on 2026-08-26</t>
  </si>
  <si>
    <t>Aart Willem Saly</t>
  </si>
  <si>
    <t xml:space="preserve">Aart Willem </t>
  </si>
  <si>
    <t>Saly</t>
  </si>
  <si>
    <t>awsaly@vintura.com</t>
  </si>
  <si>
    <t>vintura</t>
  </si>
  <si>
    <t>Q2H3EI</t>
  </si>
  <si>
    <t>Sent to awsaly@vintura.com on 2026-08-26</t>
  </si>
  <si>
    <t>Abe Bonnema</t>
  </si>
  <si>
    <t>Abe</t>
  </si>
  <si>
    <t>Bonnema</t>
  </si>
  <si>
    <t>a.bonnema@isispace.nl</t>
  </si>
  <si>
    <t>isispace</t>
  </si>
  <si>
    <t>2ZO19Z</t>
  </si>
  <si>
    <t>Sent to a.bonnema@isispace.nl on 2026-08-26</t>
  </si>
  <si>
    <t>Abhinav Jain</t>
  </si>
  <si>
    <t>Abhinav</t>
  </si>
  <si>
    <t>Jain</t>
  </si>
  <si>
    <t>a.jain@prognoix.com</t>
  </si>
  <si>
    <t>Prognoix</t>
  </si>
  <si>
    <t>NGWBV7</t>
  </si>
  <si>
    <t>Sent to a.jain@prognoix.com on 2026-08-26</t>
  </si>
  <si>
    <t>Abla Chaoui</t>
  </si>
  <si>
    <t>Abla</t>
  </si>
  <si>
    <t>Chaoui</t>
  </si>
  <si>
    <t>abla.chaoui@rom-nederland.nl</t>
  </si>
  <si>
    <t>bom</t>
  </si>
  <si>
    <t>EVX1YB</t>
  </si>
  <si>
    <t>Sent to abla.chaoui@rom-nederland.nl on 2026-08-26</t>
  </si>
  <si>
    <t>Abo Rassa</t>
  </si>
  <si>
    <t>Abo</t>
  </si>
  <si>
    <t>Rassa</t>
  </si>
  <si>
    <t>abo.rassa@topsectorenergie.nl</t>
  </si>
  <si>
    <t>topsectorenergie</t>
  </si>
  <si>
    <t>U3YNAX</t>
  </si>
  <si>
    <t>Sent to abo.rassa@topsectorenergie.nl on 2026-08-26</t>
  </si>
  <si>
    <t>Adil Aarouss</t>
  </si>
  <si>
    <t>Adil</t>
  </si>
  <si>
    <t>Aarouss</t>
  </si>
  <si>
    <t>adil@gorespyre.com</t>
  </si>
  <si>
    <t>Respyre</t>
  </si>
  <si>
    <t>ZXGC3E</t>
  </si>
  <si>
    <t>Sent to adil@gorespyre.com on 2026-08-26</t>
  </si>
  <si>
    <t>Adriaan van Donk</t>
  </si>
  <si>
    <t>Adriaan</t>
  </si>
  <si>
    <t>van Donk</t>
  </si>
  <si>
    <t>adriaan.van.donk@corbotics.com</t>
  </si>
  <si>
    <t>Corbotics B.V.</t>
  </si>
  <si>
    <t>SY8N11</t>
  </si>
  <si>
    <t>Sent to adriaan.van.donk@corbotics.com on 2026-08-26</t>
  </si>
  <si>
    <t>Adriaan Wijten</t>
  </si>
  <si>
    <t>Wijten</t>
  </si>
  <si>
    <t>adriaan@percivalparticipations.com</t>
  </si>
  <si>
    <t>Percival Participations</t>
  </si>
  <si>
    <t>0A97LS</t>
  </si>
  <si>
    <t>Sent to adriaan@percivalparticipations.com on 2026-08-26</t>
  </si>
  <si>
    <t>Adriaan Rijkens</t>
  </si>
  <si>
    <t>Rijkens</t>
  </si>
  <si>
    <t>adriaan@warp.industries</t>
  </si>
  <si>
    <t>warp.industries</t>
  </si>
  <si>
    <t>WU7CKW</t>
  </si>
  <si>
    <t>Sent to adriaan@warp.industries on 2026-08-26</t>
  </si>
  <si>
    <t>Adriano Desideri</t>
  </si>
  <si>
    <t>Adriano</t>
  </si>
  <si>
    <t>Desideri</t>
  </si>
  <si>
    <t>adriano@solho.eu</t>
  </si>
  <si>
    <t>GEIHUO</t>
  </si>
  <si>
    <t>Sent to adriano@solho.eu on 2026-08-26</t>
  </si>
  <si>
    <t>Aernoud Jongepier</t>
  </si>
  <si>
    <t>Aernoud</t>
  </si>
  <si>
    <t>Jongepier</t>
  </si>
  <si>
    <t>aernoud@mail.com</t>
  </si>
  <si>
    <t>KW0SUJ</t>
  </si>
  <si>
    <t>Sent to aernoud@mail.com on 2026-08-26</t>
  </si>
  <si>
    <t>Ahmed Hussein</t>
  </si>
  <si>
    <t>ahmed@mindshiftventures.com</t>
  </si>
  <si>
    <t>mindshiftventures</t>
  </si>
  <si>
    <t>F5JBNS</t>
  </si>
  <si>
    <t>Sent to ahmed@mindshiftventures.com on 2026-08-26</t>
  </si>
  <si>
    <t>Aine Dolan</t>
  </si>
  <si>
    <t>Aine</t>
  </si>
  <si>
    <t>Dolan</t>
  </si>
  <si>
    <t>aine@f.institute</t>
  </si>
  <si>
    <t>f.institute</t>
  </si>
  <si>
    <t>AZVM0J</t>
  </si>
  <si>
    <t>Sent to aine@f.institute on 2026-08-26</t>
  </si>
  <si>
    <t>Alain le Loux</t>
  </si>
  <si>
    <t>Alain</t>
  </si>
  <si>
    <t>le Loux</t>
  </si>
  <si>
    <t>alain@cottonwood.vc</t>
  </si>
  <si>
    <t>cottonwood</t>
  </si>
  <si>
    <t>AW6WEX</t>
  </si>
  <si>
    <t>Sent to alain@cottonwood.vc on 2026-08-26</t>
  </si>
  <si>
    <t>Aldebert Wiersinga</t>
  </si>
  <si>
    <t>Aldebert</t>
  </si>
  <si>
    <t>Wiersinga</t>
  </si>
  <si>
    <t>a.wiersinga@valuecreationcapital.com</t>
  </si>
  <si>
    <t>valuecreationcapital</t>
  </si>
  <si>
    <t>7YTY7E</t>
  </si>
  <si>
    <t>Sent to a.wiersinga@valuecreationcapital.com on 2026-08-26</t>
  </si>
  <si>
    <t>Alejandro Daniel Noel</t>
  </si>
  <si>
    <t>Alejandro Daniel</t>
  </si>
  <si>
    <t>Noel</t>
  </si>
  <si>
    <t>adanielnoel@latentworlds.ai</t>
  </si>
  <si>
    <t>LatentWorlds AI</t>
  </si>
  <si>
    <t>LCBPKZ</t>
  </si>
  <si>
    <t>Sent to adanielnoel@latentworlds.ai on 2026-08-26</t>
  </si>
  <si>
    <t>Aleksandar Giga</t>
  </si>
  <si>
    <t>Aleksandar</t>
  </si>
  <si>
    <t>Giga</t>
  </si>
  <si>
    <t>a.giga@tudelft.nl</t>
  </si>
  <si>
    <t>Y277B4</t>
  </si>
  <si>
    <t>Sent to a.giga@tudelft.nl on 2026-08-26</t>
  </si>
  <si>
    <t>Aleksandra Wrobel</t>
  </si>
  <si>
    <t>Aleksandra</t>
  </si>
  <si>
    <t>Wrobel</t>
  </si>
  <si>
    <t>adewrobel@gmail.com</t>
  </si>
  <si>
    <t>ACYJGB</t>
  </si>
  <si>
    <t>Sent to adewrobel@gmail.com on 2026-08-26</t>
  </si>
  <si>
    <t>Aleksandre Japaridze</t>
  </si>
  <si>
    <t>Aleksandre</t>
  </si>
  <si>
    <t>Japaridze</t>
  </si>
  <si>
    <t>aleksandre@soundcell.nl</t>
  </si>
  <si>
    <t>soundcell</t>
  </si>
  <si>
    <t>F4K47T</t>
  </si>
  <si>
    <t>Sent to aleksandre@soundcell.nl on 2026-08-26</t>
  </si>
  <si>
    <t>Alessandro Zaccaria</t>
  </si>
  <si>
    <t>Zaccaria</t>
  </si>
  <si>
    <t>alessandro@360cap.vc</t>
  </si>
  <si>
    <t>360cap</t>
  </si>
  <si>
    <t>EKQ8GR</t>
  </si>
  <si>
    <t>Sent to alessandro@360cap.vc on 2026-08-26</t>
  </si>
  <si>
    <t>Alessandro Mancinelli</t>
  </si>
  <si>
    <t>Mancinelli</t>
  </si>
  <si>
    <t>alessandro@aerogriduav.com</t>
  </si>
  <si>
    <t>AerogridUAV</t>
  </si>
  <si>
    <t>FP26K1</t>
  </si>
  <si>
    <t>Sent to alessandro@aerogriduav.com on 2026-08-26</t>
  </si>
  <si>
    <t>Aletta Stas-Bax</t>
  </si>
  <si>
    <t>Aletta</t>
  </si>
  <si>
    <t>Stas-Bax</t>
  </si>
  <si>
    <t>aletta.stas@gmail.com</t>
  </si>
  <si>
    <t>T85P6Z</t>
  </si>
  <si>
    <t>Sent to aletta.stas@gmail.com on 2026-08-26</t>
  </si>
  <si>
    <t>Alex Koch</t>
  </si>
  <si>
    <t>Alex</t>
  </si>
  <si>
    <t>Koch</t>
  </si>
  <si>
    <t>alex@freigeist.com</t>
  </si>
  <si>
    <t>freigeist</t>
  </si>
  <si>
    <t>6FQT1W</t>
  </si>
  <si>
    <t>Sent to alex@freigeist.com on 2026-08-26</t>
  </si>
  <si>
    <t>Alex Bakir</t>
  </si>
  <si>
    <t>Bakir</t>
  </si>
  <si>
    <t>alex@norrsken.org</t>
  </si>
  <si>
    <t>UGYD9P</t>
  </si>
  <si>
    <t>Sent to alex@norrsken.org on 2026-08-26</t>
  </si>
  <si>
    <t>Alex Langguth</t>
  </si>
  <si>
    <t>Langguth</t>
  </si>
  <si>
    <t>alex@uebermorgen.vc</t>
  </si>
  <si>
    <t>uebermorgen</t>
  </si>
  <si>
    <t>5AU2K1</t>
  </si>
  <si>
    <t>Sent to alex@uebermorgen.vc on 2026-08-26</t>
  </si>
  <si>
    <t>Alexander Ribbink</t>
  </si>
  <si>
    <t>Ribbink</t>
  </si>
  <si>
    <t>alexander@keenventurepartners.com</t>
  </si>
  <si>
    <t>keenventurepartners</t>
  </si>
  <si>
    <t>UN6VDS</t>
  </si>
  <si>
    <t>Sent to alexander@keenventurepartners.com on 2026-08-26</t>
  </si>
  <si>
    <t>Alexander Gunkel</t>
  </si>
  <si>
    <t>Gunkel</t>
  </si>
  <si>
    <t>gunkel.alexander@gmail.com</t>
  </si>
  <si>
    <t>NJEODB</t>
  </si>
  <si>
    <t>Sent to gunkel.alexander@gmail.com on 2026-08-26</t>
  </si>
  <si>
    <t>Alexandra Pinto</t>
  </si>
  <si>
    <t>Pinto</t>
  </si>
  <si>
    <t>alexandra.pinto@hoursec.tech</t>
  </si>
  <si>
    <t>hoursec.</t>
  </si>
  <si>
    <t>Y1NHQ2</t>
  </si>
  <si>
    <t>Sent to alexandra.pinto@hoursec.tech on 2026-08-26</t>
  </si>
  <si>
    <t>Alfred Lam</t>
  </si>
  <si>
    <t xml:space="preserve">Alfred </t>
  </si>
  <si>
    <t>Lam</t>
  </si>
  <si>
    <t>alam@chrysalix.com</t>
  </si>
  <si>
    <t>chrysalix</t>
  </si>
  <si>
    <t>D001Y8</t>
  </si>
  <si>
    <t>Sent to alam@chrysalix.com on 2026-08-26</t>
  </si>
  <si>
    <t>Ali Hosseini</t>
  </si>
  <si>
    <t>Ali</t>
  </si>
  <si>
    <t>Hosseini</t>
  </si>
  <si>
    <t>ali.hosseini@innoboom.nl</t>
  </si>
  <si>
    <t>innoboom</t>
  </si>
  <si>
    <t>MGO45W</t>
  </si>
  <si>
    <t>Sent to ali.hosseini@innoboom.nl on 2026-08-26</t>
  </si>
  <si>
    <t>Ali Najafbagy</t>
  </si>
  <si>
    <t>Najafbagy</t>
  </si>
  <si>
    <t>ali@4impact.vc</t>
  </si>
  <si>
    <t>4impact</t>
  </si>
  <si>
    <t>8FGOE3</t>
  </si>
  <si>
    <t>Sent to ali@4impact.vc on 2026-08-26</t>
  </si>
  <si>
    <t>Alice Schutter</t>
  </si>
  <si>
    <t>Alice</t>
  </si>
  <si>
    <t>Schutter</t>
  </si>
  <si>
    <t>alice.deschutter@edaphon.com</t>
  </si>
  <si>
    <t>EDAPHON</t>
  </si>
  <si>
    <t>17PUWF</t>
  </si>
  <si>
    <t>Sent to alice.deschutter@edaphon.com on 2026-08-26</t>
  </si>
  <si>
    <t>Alina Chanaewa</t>
  </si>
  <si>
    <t>Alina</t>
  </si>
  <si>
    <t>Chanaewa</t>
  </si>
  <si>
    <t>a.chanaewa@eddytec.eu</t>
  </si>
  <si>
    <t>Skytree (Giaura)</t>
  </si>
  <si>
    <t>7OB9GV</t>
  </si>
  <si>
    <t>Sent to a.chanaewa@eddytec.eu on 2026-08-26</t>
  </si>
  <si>
    <t>Alireza Samiei</t>
  </si>
  <si>
    <t xml:space="preserve">Alireza </t>
  </si>
  <si>
    <t>Samiei</t>
  </si>
  <si>
    <t>samiei.alireza75@gmail.com</t>
  </si>
  <si>
    <t>J55081</t>
  </si>
  <si>
    <t>Sent to samiei.alireza75@gmail.com on 2026-08-26</t>
  </si>
  <si>
    <t>Aljosja Beije</t>
  </si>
  <si>
    <t>Aljosja</t>
  </si>
  <si>
    <t>Beije</t>
  </si>
  <si>
    <t>aljosja@blocklab.nl</t>
  </si>
  <si>
    <t>blocklab</t>
  </si>
  <si>
    <t>JXI1TO</t>
  </si>
  <si>
    <t>Sent to aljosja@blocklab.nl on 2026-08-26</t>
  </si>
  <si>
    <t>Allard van Velzen</t>
  </si>
  <si>
    <t>Allard</t>
  </si>
  <si>
    <t>van Velzen</t>
  </si>
  <si>
    <t>allard.van.velzen@netsamparticipaties.com</t>
  </si>
  <si>
    <t>Netsam participaties</t>
  </si>
  <si>
    <t>BZX516</t>
  </si>
  <si>
    <t>Sent to allard.van.velzen@netsamparticipaties.com on 2026-08-26</t>
  </si>
  <si>
    <t>Allegra Kowalewski-Ferreira</t>
  </si>
  <si>
    <t>Allegra</t>
  </si>
  <si>
    <t>Kowalewski-Ferreira</t>
  </si>
  <si>
    <t>allegra@b-t.energy</t>
  </si>
  <si>
    <t>b-t.energy</t>
  </si>
  <si>
    <t>Y1SSFN</t>
  </si>
  <si>
    <t>Sent to allegra@b-t.energy on 2026-08-26</t>
  </si>
  <si>
    <t>Amanda Birkenholz</t>
  </si>
  <si>
    <t>Amanda</t>
  </si>
  <si>
    <t>Birkenholz</t>
  </si>
  <si>
    <t xml:space="preserve">birkenholz@uvcpartners.com </t>
  </si>
  <si>
    <t>uvcpartners</t>
  </si>
  <si>
    <t>H6YWQH</t>
  </si>
  <si>
    <t>Sent to birkenholz@uvcpartners.com  on 2026-08-26</t>
  </si>
  <si>
    <t>AmberTest2 Marijs</t>
  </si>
  <si>
    <t>AmberTest2</t>
  </si>
  <si>
    <t>Marijs</t>
  </si>
  <si>
    <t>Amber@yesdelft.nl</t>
  </si>
  <si>
    <t>DQWA1C</t>
  </si>
  <si>
    <t>Sent to Amber@yesdelft.nl on 2026-08-26</t>
  </si>
  <si>
    <t>Andra Stanciu</t>
  </si>
  <si>
    <t>Andra</t>
  </si>
  <si>
    <t>Stanciu</t>
  </si>
  <si>
    <t>andra.stanciu@hometeam.vc</t>
  </si>
  <si>
    <t>hometeam</t>
  </si>
  <si>
    <t>AZEKFW</t>
  </si>
  <si>
    <t>Sent to andra.stanciu@hometeam.vc on 2026-08-26</t>
  </si>
  <si>
    <t>Andras Palffy</t>
  </si>
  <si>
    <t>Andras</t>
  </si>
  <si>
    <t>Palffy</t>
  </si>
  <si>
    <t>andras.palffy@perciv.ai</t>
  </si>
  <si>
    <t>perciv</t>
  </si>
  <si>
    <t>M9ZL79</t>
  </si>
  <si>
    <t>Sent to andras.palffy@perciv.ai on 2026-08-26</t>
  </si>
  <si>
    <t>András Fehér</t>
  </si>
  <si>
    <t>András</t>
  </si>
  <si>
    <t>Fehér</t>
  </si>
  <si>
    <t>andras.feher@dayonecapital.com</t>
  </si>
  <si>
    <t>dayonecapital</t>
  </si>
  <si>
    <t>93BG3U</t>
  </si>
  <si>
    <t>Sent to andras.feher@dayonecapital.com on 2026-08-26</t>
  </si>
  <si>
    <t>Andrea Van De Beek</t>
  </si>
  <si>
    <t>Andrea</t>
  </si>
  <si>
    <t>Van De Beek</t>
  </si>
  <si>
    <t>andrea@scalaprojects.nl</t>
  </si>
  <si>
    <t>Scala Projects</t>
  </si>
  <si>
    <t>ZZ6U8X</t>
  </si>
  <si>
    <t>Sent to andrea@scalaprojects.nl on 2026-08-26</t>
  </si>
  <si>
    <t>Andreas Verbruggen</t>
  </si>
  <si>
    <t>Verbruggen</t>
  </si>
  <si>
    <t>andreasverbruggen@gmail.com</t>
  </si>
  <si>
    <t>Fiducial (Bladesense)</t>
  </si>
  <si>
    <t>SR2WGW</t>
  </si>
  <si>
    <t>Sent to andreasverbruggen@gmail.com on 2026-08-26</t>
  </si>
  <si>
    <t>Andreas Lundgren</t>
  </si>
  <si>
    <t>Lundgren</t>
  </si>
  <si>
    <t>lundgren@newhaven-investments.nl</t>
  </si>
  <si>
    <t>newhaven-investments</t>
  </si>
  <si>
    <t>7BTR9O</t>
  </si>
  <si>
    <t>Sent to lundgren@newhaven-investments.nl on 2026-08-26</t>
  </si>
  <si>
    <t>Andrew Buskens</t>
  </si>
  <si>
    <t>Andrew</t>
  </si>
  <si>
    <t>Buskens</t>
  </si>
  <si>
    <t>abuskens@delft.nl</t>
  </si>
  <si>
    <t>delft</t>
  </si>
  <si>
    <t>ZI7ZAX</t>
  </si>
  <si>
    <t>Sent to abuskens@delft.nl on 2026-08-26</t>
  </si>
  <si>
    <t>Andrew Appleby</t>
  </si>
  <si>
    <t>Appleby</t>
  </si>
  <si>
    <t>andrew@liionpower.tech</t>
  </si>
  <si>
    <t>Liion Power B.V.</t>
  </si>
  <si>
    <t>T8OQ4H</t>
  </si>
  <si>
    <t>Sent to andrew@liionpower.tech on 2026-08-26</t>
  </si>
  <si>
    <t>Andrew Wajs</t>
  </si>
  <si>
    <t>Wajs</t>
  </si>
  <si>
    <t>andrew@scenera.net</t>
  </si>
  <si>
    <t>scenera.net</t>
  </si>
  <si>
    <t>DWNTRR</t>
  </si>
  <si>
    <t>Sent to andrew@scenera.net on 2026-08-26</t>
  </si>
  <si>
    <t>Andries Effting</t>
  </si>
  <si>
    <t>Andries</t>
  </si>
  <si>
    <t>Effting</t>
  </si>
  <si>
    <t>effting@delmic.com</t>
  </si>
  <si>
    <t>delmic</t>
  </si>
  <si>
    <t>8ZW9BT</t>
  </si>
  <si>
    <t>Sent to effting@delmic.com on 2026-08-26</t>
  </si>
  <si>
    <t>Andy Lürling</t>
  </si>
  <si>
    <t>Andy</t>
  </si>
  <si>
    <t>Lürling</t>
  </si>
  <si>
    <t>andy@lumolabs.io</t>
  </si>
  <si>
    <t>LUMO Labs VC &amp; iOpener</t>
  </si>
  <si>
    <t>ED2XDB</t>
  </si>
  <si>
    <t>Sent to andy@lumolabs.io on 2026-08-26</t>
  </si>
  <si>
    <t>Angelo Traas</t>
  </si>
  <si>
    <t>Angelo</t>
  </si>
  <si>
    <t>Traas</t>
  </si>
  <si>
    <t>angelo.traas@gmail.com</t>
  </si>
  <si>
    <t>HP0BY3</t>
  </si>
  <si>
    <t>Sent to angelo.traas@gmail.com on 2026-08-26</t>
  </si>
  <si>
    <t>Anna Rouleau</t>
  </si>
  <si>
    <t>Anna</t>
  </si>
  <si>
    <t>Rouleau</t>
  </si>
  <si>
    <t>anna.rouleau@loxsolution.com</t>
  </si>
  <si>
    <t>loxsolution</t>
  </si>
  <si>
    <t>AO130G</t>
  </si>
  <si>
    <t>Sent to anna.rouleau@loxsolution.com on 2026-08-26</t>
  </si>
  <si>
    <t>Anna Sheronova</t>
  </si>
  <si>
    <t>Sheronova</t>
  </si>
  <si>
    <t>anna@nutripy.io</t>
  </si>
  <si>
    <t>nutripy</t>
  </si>
  <si>
    <t>DAV7A9</t>
  </si>
  <si>
    <t>Sent to anna@nutripy.io on 2026-08-26</t>
  </si>
  <si>
    <t>Anna Klapwijk</t>
  </si>
  <si>
    <t>Klapwijk</t>
  </si>
  <si>
    <t>annaklapwijk@gmail.com</t>
  </si>
  <si>
    <t>AGQKJS</t>
  </si>
  <si>
    <t>Sent to annaklapwijk@gmail.com on 2026-08-26</t>
  </si>
  <si>
    <t>Anne Ligthelm</t>
  </si>
  <si>
    <t>Anne</t>
  </si>
  <si>
    <t>Ligthelm</t>
  </si>
  <si>
    <t>anne.ligthelm@investinternational.nl</t>
  </si>
  <si>
    <t>S4FCUA</t>
  </si>
  <si>
    <t>Sent to anne.ligthelm@investinternational.nl on 2026-08-26</t>
  </si>
  <si>
    <t>Anne Vonk</t>
  </si>
  <si>
    <t xml:space="preserve">Anne </t>
  </si>
  <si>
    <t>Vonk</t>
  </si>
  <si>
    <t>ac.vonk@mindef.nl</t>
  </si>
  <si>
    <t>91ZO6N</t>
  </si>
  <si>
    <t>Sent to ac.vonk@mindef.nl on 2026-08-26</t>
  </si>
  <si>
    <t>Anne-Marije Zwerver</t>
  </si>
  <si>
    <t>Anne-Marije</t>
  </si>
  <si>
    <t>Zwerver</t>
  </si>
  <si>
    <t>annemarije@groovequantum.com</t>
  </si>
  <si>
    <t>Groove Quantum</t>
  </si>
  <si>
    <t>VENVQN</t>
  </si>
  <si>
    <t>Sent to annemarije@groovequantum.com on 2026-08-26</t>
  </si>
  <si>
    <t>Annelien Bredenoord</t>
  </si>
  <si>
    <t>Annelien</t>
  </si>
  <si>
    <t>Bredenoord</t>
  </si>
  <si>
    <t>annelien.bredenoord@eur.nl</t>
  </si>
  <si>
    <t>FAAPQ9</t>
  </si>
  <si>
    <t>Sent to annelien.bredenoord@eur.nl on 2026-08-26</t>
  </si>
  <si>
    <t>Annemarie Smabers</t>
  </si>
  <si>
    <t>Smabers</t>
  </si>
  <si>
    <t>annemarie.smabers@campusatsea.nl</t>
  </si>
  <si>
    <t>4K9XPF</t>
  </si>
  <si>
    <t>Sent to annemarie.smabers@campusatsea.nl on 2026-08-26</t>
  </si>
  <si>
    <t>Annemieke Wisse</t>
  </si>
  <si>
    <t>Annemieke</t>
  </si>
  <si>
    <t>annemieke@techleap.nl</t>
  </si>
  <si>
    <t>6HRBBK</t>
  </si>
  <si>
    <t>Sent to annemieke@techleap.nl on 2026-08-26</t>
  </si>
  <si>
    <t>Annemieke Nijhof</t>
  </si>
  <si>
    <t>Nijhof</t>
  </si>
  <si>
    <t>directie@deltares.nl</t>
  </si>
  <si>
    <t>deltares</t>
  </si>
  <si>
    <t>education/research</t>
  </si>
  <si>
    <t>03VGX8</t>
  </si>
  <si>
    <t>Sent to directie@deltares.nl on 2026-08-26</t>
  </si>
  <si>
    <t>Anouar Manders</t>
  </si>
  <si>
    <t>Anouar</t>
  </si>
  <si>
    <t>Manders</t>
  </si>
  <si>
    <t>amanders@senseit.nl</t>
  </si>
  <si>
    <t>Predict IT (senseIT)</t>
  </si>
  <si>
    <t>C33J5M</t>
  </si>
  <si>
    <t>Sent to amanders@senseit.nl on 2026-08-26</t>
  </si>
  <si>
    <t>Anthony Meijer zu Schlochtern</t>
  </si>
  <si>
    <t>Meijer zu Schlochtern</t>
  </si>
  <si>
    <t>anthony.mzs@zealpartners.org</t>
  </si>
  <si>
    <t>9N1PJ3</t>
  </si>
  <si>
    <t>Sent to anthony.mzs@zealpartners.org on 2026-08-26</t>
  </si>
  <si>
    <t>Antoinette Oudshoorn</t>
  </si>
  <si>
    <t>Antoinette</t>
  </si>
  <si>
    <t>oudshoorn@convergence.nl</t>
  </si>
  <si>
    <t>convergence</t>
  </si>
  <si>
    <t>6WI0YA</t>
  </si>
  <si>
    <t>Sent to oudshoorn@convergence.nl on 2026-08-26</t>
  </si>
  <si>
    <t>Anton Balakirev</t>
  </si>
  <si>
    <t>Anton</t>
  </si>
  <si>
    <t>Balakirev</t>
  </si>
  <si>
    <t>ab@deepbreath.tech</t>
  </si>
  <si>
    <t>deepbreath.tech</t>
  </si>
  <si>
    <t>SKST9Y</t>
  </si>
  <si>
    <t>Sent to ab@deepbreath.tech on 2026-08-26</t>
  </si>
  <si>
    <t>Anton de Bode</t>
  </si>
  <si>
    <t>de Bode</t>
  </si>
  <si>
    <t>antondebode@gmail.com</t>
  </si>
  <si>
    <t>5QKSK9</t>
  </si>
  <si>
    <t>Sent to antondebode@gmail.com on 2026-08-26</t>
  </si>
  <si>
    <t>Ardi Eleveld</t>
  </si>
  <si>
    <t>Ardi</t>
  </si>
  <si>
    <t>Eleveld</t>
  </si>
  <si>
    <t>ardi.eleveld@innovationquarter.nl</t>
  </si>
  <si>
    <t>O6X6S8</t>
  </si>
  <si>
    <t>Sent to ardi.eleveld@innovationquarter.nl on 2026-08-26</t>
  </si>
  <si>
    <t>Arend Van der Stadt</t>
  </si>
  <si>
    <t>Arend</t>
  </si>
  <si>
    <t>Van der Stadt</t>
  </si>
  <si>
    <t>arendvdstadt@gmail.com</t>
  </si>
  <si>
    <t>8BEOQO</t>
  </si>
  <si>
    <t xml:space="preserve">can't make it </t>
  </si>
  <si>
    <t>Arian Khamooshian</t>
  </si>
  <si>
    <t>Arian</t>
  </si>
  <si>
    <t>Khamooshian</t>
  </si>
  <si>
    <t>ariankhamooshian@gmail.com</t>
  </si>
  <si>
    <t>0ISQ32</t>
  </si>
  <si>
    <t>Sent to ariankhamooshian@gmail.com on 2026-08-26</t>
  </si>
  <si>
    <t>Arjan Göbel</t>
  </si>
  <si>
    <t>Göbel</t>
  </si>
  <si>
    <t>arjan.gobel@forward.one</t>
  </si>
  <si>
    <t>forward.one</t>
  </si>
  <si>
    <t>GKMMPL</t>
  </si>
  <si>
    <t>Sent to arjan.gobel@forward.one on 2026-08-26</t>
  </si>
  <si>
    <t>Arjan Goudsblom</t>
  </si>
  <si>
    <t>Goudsblom</t>
  </si>
  <si>
    <t>arjan@techleap.nl</t>
  </si>
  <si>
    <t>HZKDV0</t>
  </si>
  <si>
    <t>Sent to arjan@techleap.nl on 2026-08-26</t>
  </si>
  <si>
    <t>Arjen Langhorst</t>
  </si>
  <si>
    <t>Arjen</t>
  </si>
  <si>
    <t>Langhorst</t>
  </si>
  <si>
    <t>a.langhorst@rotterdam.nl</t>
  </si>
  <si>
    <t>OMQC2F</t>
  </si>
  <si>
    <t>Sent to a.langhorst@rotterdam.nl on 2026-08-26</t>
  </si>
  <si>
    <t>Arjen van der Horst</t>
  </si>
  <si>
    <t>arjen@vanderhorstonline.nl</t>
  </si>
  <si>
    <t>geheco</t>
  </si>
  <si>
    <t>FZVQXW</t>
  </si>
  <si>
    <t>Sent to arjen@vanderhorstonline.nl on 2026-08-26</t>
  </si>
  <si>
    <t>Arjen Oudshoorn</t>
  </si>
  <si>
    <t>oudshoorn@dab.bio</t>
  </si>
  <si>
    <t>DAB Bio Delft Advanced Biorenewables</t>
  </si>
  <si>
    <t>VQG4W3</t>
  </si>
  <si>
    <t>Sent to oudshoorn@dab.bio on 2026-08-26</t>
  </si>
  <si>
    <t>Arn Kwinkelenberg</t>
  </si>
  <si>
    <t>Arn</t>
  </si>
  <si>
    <t>Kwinkelenberg</t>
  </si>
  <si>
    <t>a.kwinkelenberg@portofrotterdam.com</t>
  </si>
  <si>
    <t>4JR8GL</t>
  </si>
  <si>
    <t>Sent to a.kwinkelenberg@portofrotterdam.com on 2026-08-26</t>
  </si>
  <si>
    <t>Arnoud van der Zee</t>
  </si>
  <si>
    <t>van der Zee</t>
  </si>
  <si>
    <t>a.e.vanderzee@tudelft.nl</t>
  </si>
  <si>
    <t>KH6PLD</t>
  </si>
  <si>
    <t>Sent to a.e.vanderzee@tudelft.nl on 2026-08-26</t>
  </si>
  <si>
    <t>Arnoud van der Vaart</t>
  </si>
  <si>
    <t>van der Vaart</t>
  </si>
  <si>
    <t>arnoud@noria.earth</t>
  </si>
  <si>
    <t>noria.earth</t>
  </si>
  <si>
    <t>ACWKCU</t>
  </si>
  <si>
    <t>Sent to arnoud@noria.earth on 2026-08-26</t>
  </si>
  <si>
    <t>Arnoud Haverlag</t>
  </si>
  <si>
    <t>Haverlag</t>
  </si>
  <si>
    <t>mail@arnoudhaverlag.com</t>
  </si>
  <si>
    <t>arnoudhaverlag</t>
  </si>
  <si>
    <t>XCYAGA</t>
  </si>
  <si>
    <t>Sent to mail@arnoudhaverlag.com on 2026-08-26</t>
  </si>
  <si>
    <t>Arnout de Jong</t>
  </si>
  <si>
    <t>Arnout</t>
  </si>
  <si>
    <t>a.j.dejong@delftdynamics.nl</t>
  </si>
  <si>
    <t>LRDHB7</t>
  </si>
  <si>
    <t>Sent to a.j.dejong@delftdynamics.nl on 2026-08-26</t>
  </si>
  <si>
    <t>Aron Rietveld</t>
  </si>
  <si>
    <t>Rietveld</t>
  </si>
  <si>
    <t>aron.rietveld@damen.com</t>
  </si>
  <si>
    <t>6PGJHO</t>
  </si>
  <si>
    <t>Sent to aron.rietveld@damen.com on 2026-08-26</t>
  </si>
  <si>
    <t>Arthur Tolsma</t>
  </si>
  <si>
    <t>Tolsma</t>
  </si>
  <si>
    <t>arthur@arthurtolsma.nl</t>
  </si>
  <si>
    <t>arthurtolsma</t>
  </si>
  <si>
    <t>5TYXRZ</t>
  </si>
  <si>
    <t>Sent to arthur@arthurtolsma.nl on 2026-08-26</t>
  </si>
  <si>
    <t>Arthur Dallau</t>
  </si>
  <si>
    <t>Dallau</t>
  </si>
  <si>
    <t>arthur@droneportrotterdam.com</t>
  </si>
  <si>
    <t>droneportrotterdam</t>
  </si>
  <si>
    <t>E293JS</t>
  </si>
  <si>
    <t>Sent to arthur@droneportrotterdam.com on 2026-08-26</t>
  </si>
  <si>
    <t>Arthur Admiraal</t>
  </si>
  <si>
    <t xml:space="preserve">Arthur </t>
  </si>
  <si>
    <t>Admiraal</t>
  </si>
  <si>
    <t>a.l.admiraal@minjenv.nl</t>
  </si>
  <si>
    <t>minjenv</t>
  </si>
  <si>
    <t>S1TEP7</t>
  </si>
  <si>
    <t>Sent to a.l.admiraal@minjenv.nl on 2026-08-26</t>
  </si>
  <si>
    <t>Arthur delver</t>
  </si>
  <si>
    <t>delver</t>
  </si>
  <si>
    <t>ah.delver@mindef.nl</t>
  </si>
  <si>
    <t>QPC1BC</t>
  </si>
  <si>
    <t>Sent to ah.delver@mindef.nl on 2026-08-26</t>
  </si>
  <si>
    <t>Arthur Lahr</t>
  </si>
  <si>
    <t>Lahr</t>
  </si>
  <si>
    <t>alco.a.lahr@gmail.com</t>
  </si>
  <si>
    <t>Avidicure</t>
  </si>
  <si>
    <t>4VOI09</t>
  </si>
  <si>
    <t>Sent to alco.a.lahr@gmail.com on 2026-08-26</t>
  </si>
  <si>
    <t>Arun Sadhashivan</t>
  </si>
  <si>
    <t>Arun</t>
  </si>
  <si>
    <t>Sadhashivan</t>
  </si>
  <si>
    <t>arun@arunconsulting.com</t>
  </si>
  <si>
    <t>Frebble (Holland Haptics)</t>
  </si>
  <si>
    <t>7G68WZ</t>
  </si>
  <si>
    <t>Sent to arun@arunconsulting.com on 2026-08-26</t>
  </si>
  <si>
    <t>Auke Blij</t>
  </si>
  <si>
    <t>Blij</t>
  </si>
  <si>
    <t>auke@gorespyre.com</t>
  </si>
  <si>
    <t>gorespyre</t>
  </si>
  <si>
    <t>WM5ELV</t>
  </si>
  <si>
    <t>Sent to auke@gorespyre.com on 2026-08-26</t>
  </si>
  <si>
    <t>Auke Ferwerda</t>
  </si>
  <si>
    <t>Ferwerda</t>
  </si>
  <si>
    <t>auke@platformzero.co</t>
  </si>
  <si>
    <t>platformzero</t>
  </si>
  <si>
    <t>PQVHZZ</t>
  </si>
  <si>
    <t>Sent to auke@platformzero.co on 2026-08-26</t>
  </si>
  <si>
    <t>Balazs Szekeres</t>
  </si>
  <si>
    <t>Balazs</t>
  </si>
  <si>
    <t>Szekeres</t>
  </si>
  <si>
    <t>balazs@perciv.ai</t>
  </si>
  <si>
    <t>9Z9OPH</t>
  </si>
  <si>
    <t>Sent to balazs@perciv.ai on 2026-08-26</t>
  </si>
  <si>
    <t>Balazs Bondici</t>
  </si>
  <si>
    <t xml:space="preserve">Balazs </t>
  </si>
  <si>
    <t>Bondici</t>
  </si>
  <si>
    <t>balazs.bondici@iseeq.hu</t>
  </si>
  <si>
    <t>ERSZAP</t>
  </si>
  <si>
    <t>Sent to balazs.bondici@iseeq.hu on 2026-08-26</t>
  </si>
  <si>
    <t>Bart Remmers</t>
  </si>
  <si>
    <t>Remmers</t>
  </si>
  <si>
    <t>bart.remmers@deondernemer.nl</t>
  </si>
  <si>
    <t>deondernemer</t>
  </si>
  <si>
    <t>20REMP</t>
  </si>
  <si>
    <t>Sent to bart.remmers@deondernemer.nl on 2026-08-26</t>
  </si>
  <si>
    <t>Bart van Oorschot</t>
  </si>
  <si>
    <t>bart.van.oorschot@uprax.nl</t>
  </si>
  <si>
    <t>O6XY3R</t>
  </si>
  <si>
    <t>Sent to bart.van.oorschot@uprax.nl on 2026-08-26</t>
  </si>
  <si>
    <t>Bart Capital</t>
  </si>
  <si>
    <t>Capital</t>
  </si>
  <si>
    <t>houlleberghs@tincapital.vc</t>
  </si>
  <si>
    <t>tincapital</t>
  </si>
  <si>
    <t>3GRXE9</t>
  </si>
  <si>
    <t>Sent to houlleberghs@tincapital.vc on 2026-08-26</t>
  </si>
  <si>
    <t>Bart Houlleberghs</t>
  </si>
  <si>
    <t>Houlleberghs</t>
  </si>
  <si>
    <t>houlleberghsbart@hotmail.com</t>
  </si>
  <si>
    <t>Type22</t>
  </si>
  <si>
    <t>J03OHR</t>
  </si>
  <si>
    <t>Sent to houlleberghsbart@hotmail.com on 2026-08-26</t>
  </si>
  <si>
    <t>Bart Jacobsz Rosier</t>
  </si>
  <si>
    <t>Bart Jacobsz</t>
  </si>
  <si>
    <t>Rosier</t>
  </si>
  <si>
    <t>bartjrosier@gmail.com</t>
  </si>
  <si>
    <t>Etergo (Bolt Mobility)</t>
  </si>
  <si>
    <t>K2T0EF</t>
  </si>
  <si>
    <t>Sent to bartjrosier@gmail.com on 2026-08-26</t>
  </si>
  <si>
    <t>Bas Hoogakker</t>
  </si>
  <si>
    <t>Bas</t>
  </si>
  <si>
    <t>Hoogakker</t>
  </si>
  <si>
    <t>bas@mangostone.nl</t>
  </si>
  <si>
    <t>mangostone</t>
  </si>
  <si>
    <t>AUV10I</t>
  </si>
  <si>
    <t>Sent to bas@mangostone.nl on 2026-08-26</t>
  </si>
  <si>
    <t>Bas Gravendeel</t>
  </si>
  <si>
    <t>Gravendeel</t>
  </si>
  <si>
    <t>bas@mcnetiq.nl</t>
  </si>
  <si>
    <t>McNetiq</t>
  </si>
  <si>
    <t>V98XXQ</t>
  </si>
  <si>
    <t>Sent to bas@mcnetiq.nl on 2026-08-26</t>
  </si>
  <si>
    <t>Bas Wevers</t>
  </si>
  <si>
    <t>Wevers</t>
  </si>
  <si>
    <t>baswevers@royalfloraholland.com</t>
  </si>
  <si>
    <t>Royal FloraHolland</t>
  </si>
  <si>
    <t>9VKEDM</t>
  </si>
  <si>
    <t>Sent to baswevers@royalfloraholland.com on 2026-08-26</t>
  </si>
  <si>
    <t>Bas Meijer</t>
  </si>
  <si>
    <t>sebastiaan.meijer@asmdesign.nl</t>
  </si>
  <si>
    <t>ASM Design</t>
  </si>
  <si>
    <t>4J969E</t>
  </si>
  <si>
    <t>Sent to sebastiaan.meijer@asmdesign.nl on 2026-08-26</t>
  </si>
  <si>
    <t>Bastiaan Smit</t>
  </si>
  <si>
    <t>ba.smit@pzh.nl</t>
  </si>
  <si>
    <t>6C2HFJ</t>
  </si>
  <si>
    <t>Sent to ba.smit@pzh.nl on 2026-08-26</t>
  </si>
  <si>
    <t>Bastiaan van Wijk</t>
  </si>
  <si>
    <t>van Wijk</t>
  </si>
  <si>
    <t>bastiaan@moveenergy.vc</t>
  </si>
  <si>
    <t>Move Energy</t>
  </si>
  <si>
    <t>Q0JGUS</t>
  </si>
  <si>
    <t>Sent to bastiaan@moveenergy.vc on 2026-08-26</t>
  </si>
  <si>
    <t>Bastiaan de Roo</t>
  </si>
  <si>
    <t>de Roo</t>
  </si>
  <si>
    <t>bastiaan@plnt.nl</t>
  </si>
  <si>
    <t>plnt</t>
  </si>
  <si>
    <t>7C3F7K</t>
  </si>
  <si>
    <t>Sent to bastiaan@plnt.nl on 2026-08-26</t>
  </si>
  <si>
    <t>Bauke</t>
  </si>
  <si>
    <t>bauke@lyla.systems</t>
  </si>
  <si>
    <t>0TZFFA</t>
  </si>
  <si>
    <t>Sent to bauke@lyla.systems on 2026-08-26</t>
  </si>
  <si>
    <t>Beau-Anne Chilla</t>
  </si>
  <si>
    <t>Beau-Anne</t>
  </si>
  <si>
    <t>Chilla</t>
  </si>
  <si>
    <t>beau-anne.chilla@forward.one</t>
  </si>
  <si>
    <t>forward</t>
  </si>
  <si>
    <t>4082US</t>
  </si>
  <si>
    <t>Sent to beau-anne.chilla@forward.one on 2026-08-26</t>
  </si>
  <si>
    <t>Ben Hayward</t>
  </si>
  <si>
    <t>Ben</t>
  </si>
  <si>
    <t>Hayward</t>
  </si>
  <si>
    <t>ben.hayward@gmail.com</t>
  </si>
  <si>
    <t>Xabian</t>
  </si>
  <si>
    <t>8JJFRQ</t>
  </si>
  <si>
    <t>Sent to ben.hayward@gmail.com on 2026-08-26</t>
  </si>
  <si>
    <t>Benjamin Wols</t>
  </si>
  <si>
    <t>Benjamin</t>
  </si>
  <si>
    <t>Wols</t>
  </si>
  <si>
    <t>benjamin@ans.app</t>
  </si>
  <si>
    <t>ans.app</t>
  </si>
  <si>
    <t>Y2F5LF</t>
  </si>
  <si>
    <t>Sent to benjamin@ans.app on 2026-08-26</t>
  </si>
  <si>
    <t>Benjamin Wochner</t>
  </si>
  <si>
    <t>Wochner</t>
  </si>
  <si>
    <t>benjamin@kopa.vc</t>
  </si>
  <si>
    <t>KOPA Ventures (Keep Our Planet Alive)</t>
  </si>
  <si>
    <t>SNSGZ3</t>
  </si>
  <si>
    <t>Sent to benjamin@kopa.vc on 2026-08-26</t>
  </si>
  <si>
    <t>Berend de Klerk</t>
  </si>
  <si>
    <t>de Klerk</t>
  </si>
  <si>
    <t>Berend.deKlerk@tudelft.nl</t>
  </si>
  <si>
    <t>plense.tech</t>
  </si>
  <si>
    <t>GTOZFX</t>
  </si>
  <si>
    <t>Sent to Berend.deKlerk@tudelft.nl on 2026-08-26</t>
  </si>
  <si>
    <t>Berend Jan Kleute</t>
  </si>
  <si>
    <t>Jan Kleute</t>
  </si>
  <si>
    <t>berendjankleute@gmail.com</t>
  </si>
  <si>
    <t>O5LPA5</t>
  </si>
  <si>
    <t>Sent to berendjankleute@gmail.com on 2026-08-26</t>
  </si>
  <si>
    <t>Bernadeta Karpaviciute</t>
  </si>
  <si>
    <t>Bernadeta</t>
  </si>
  <si>
    <t>Karpaviciute</t>
  </si>
  <si>
    <t>bernadeta@uprotterdam.com</t>
  </si>
  <si>
    <t>4LV0EH</t>
  </si>
  <si>
    <t>Sent to bernadeta@uprotterdam.com on 2026-08-26</t>
  </si>
  <si>
    <t>Bernard hulshof</t>
  </si>
  <si>
    <t>Bernard</t>
  </si>
  <si>
    <t>hulshof</t>
  </si>
  <si>
    <t>bhulshof@gmail.com</t>
  </si>
  <si>
    <t>Solar works</t>
  </si>
  <si>
    <t>8YDVTA</t>
  </si>
  <si>
    <t>Sent to bhulshof@gmail.com on 2026-08-26</t>
  </si>
  <si>
    <t>Bernhard Heidenreich</t>
  </si>
  <si>
    <t>Bernhard</t>
  </si>
  <si>
    <t>Heidenreich</t>
  </si>
  <si>
    <t>b.heidenreich@arceon.nl</t>
  </si>
  <si>
    <t>ARCEON</t>
  </si>
  <si>
    <t>82DPJG</t>
  </si>
  <si>
    <t>Sent to b.heidenreich@arceon.nl on 2026-08-26</t>
  </si>
  <si>
    <t>Bert</t>
  </si>
  <si>
    <t>bert@windchallenge.com</t>
  </si>
  <si>
    <t>Windchallenge Holland BV</t>
  </si>
  <si>
    <t>0KF8VO</t>
  </si>
  <si>
    <t>Sent to bert@windchallenge.com on 2026-08-26</t>
  </si>
  <si>
    <t>Bertrand van Leersum</t>
  </si>
  <si>
    <t>Bertrand</t>
  </si>
  <si>
    <t>van Leersum</t>
  </si>
  <si>
    <t>bertrand@borskifund.com</t>
  </si>
  <si>
    <t>borskifund</t>
  </si>
  <si>
    <t>SD47IZ</t>
  </si>
  <si>
    <t>Sent to bertrand@borskifund.com on 2026-08-26</t>
  </si>
  <si>
    <t>Betty Huerta</t>
  </si>
  <si>
    <t>Betty</t>
  </si>
  <si>
    <t>Huerta</t>
  </si>
  <si>
    <t>betty@plnt.nl</t>
  </si>
  <si>
    <t>PLNT</t>
  </si>
  <si>
    <t>5X5UP4</t>
  </si>
  <si>
    <t>Sent to betty@plnt.nl on 2026-08-26</t>
  </si>
  <si>
    <t>Bilal Ahmad</t>
  </si>
  <si>
    <t>Bilal</t>
  </si>
  <si>
    <t>Ahmad</t>
  </si>
  <si>
    <t>bilal.ahmad@shell.com</t>
  </si>
  <si>
    <t>RQ4BE2</t>
  </si>
  <si>
    <t>Sent to bilal.ahmad@shell.com on 2026-08-26</t>
  </si>
  <si>
    <t>Bjorn Risberg</t>
  </si>
  <si>
    <t>Bjorn</t>
  </si>
  <si>
    <t>Risberg</t>
  </si>
  <si>
    <t>b.risberg@voccp.com</t>
  </si>
  <si>
    <t>VOC CApital Partners</t>
  </si>
  <si>
    <t>BBMUI5</t>
  </si>
  <si>
    <t>Sent to b.risberg@voccp.com on 2026-08-26</t>
  </si>
  <si>
    <t>Boaz Leupe</t>
  </si>
  <si>
    <t>Boaz</t>
  </si>
  <si>
    <t>Leupe</t>
  </si>
  <si>
    <t>boazleupe@gmail.com</t>
  </si>
  <si>
    <t>749TDA</t>
  </si>
  <si>
    <t>Sent to boazleupe@gmail.com on 2026-08-26</t>
  </si>
  <si>
    <t>Bob Bennink</t>
  </si>
  <si>
    <t>Bennink</t>
  </si>
  <si>
    <t>bob@treestle.com</t>
  </si>
  <si>
    <t>Treestle</t>
  </si>
  <si>
    <t>LMY7ZD</t>
  </si>
  <si>
    <t>Sent to bob@treestle.com on 2026-08-26</t>
  </si>
  <si>
    <t>Bob Hendrikx</t>
  </si>
  <si>
    <t>Hendrikx</t>
  </si>
  <si>
    <t>bobhendrikx@loop-biotech.com</t>
  </si>
  <si>
    <t>loop-biotech</t>
  </si>
  <si>
    <t>UWPXA8</t>
  </si>
  <si>
    <t>Sent to bobhendrikx@loop-biotech.com on 2026-08-26</t>
  </si>
  <si>
    <t>Boris Goranov</t>
  </si>
  <si>
    <t>Goranov</t>
  </si>
  <si>
    <t>boris@ubiqu.com</t>
  </si>
  <si>
    <t>ubiqu</t>
  </si>
  <si>
    <t>ZTENFA</t>
  </si>
  <si>
    <t>Sent to boris@ubiqu.com on 2026-08-26</t>
  </si>
  <si>
    <t>Boudewijn Wisse</t>
  </si>
  <si>
    <t>Boudewijn</t>
  </si>
  <si>
    <r>
      <rPr>
        <color rgb="FF0000FF"/>
        <sz val="11.0"/>
        <u/>
      </rPr>
      <t>boudewijn@intespring.nl</t>
    </r>
  </si>
  <si>
    <t>XLRC4X</t>
  </si>
  <si>
    <t>Sent to boudewijn@intespring.nl on 2026-08-26</t>
  </si>
  <si>
    <t>Boudewijn van Sambeek</t>
  </si>
  <si>
    <t>van Sambeek</t>
  </si>
  <si>
    <t>bvansambeek@gmail.com</t>
  </si>
  <si>
    <t>G51XHE</t>
  </si>
  <si>
    <t>Sent to bvansambeek@gmail.com on 2026-08-26</t>
  </si>
  <si>
    <t>Bowei Huang</t>
  </si>
  <si>
    <t>Bowei</t>
  </si>
  <si>
    <t>Huang</t>
  </si>
  <si>
    <t>bowei@magneto.systems</t>
  </si>
  <si>
    <t>magneto.systems</t>
  </si>
  <si>
    <t>6HNM6S</t>
  </si>
  <si>
    <t>Sent to bowei@magneto.systems on 2026-08-26</t>
  </si>
  <si>
    <t>Boy Trip</t>
  </si>
  <si>
    <t>Boy</t>
  </si>
  <si>
    <t>Trip</t>
  </si>
  <si>
    <t>boy@e-trailer.nl</t>
  </si>
  <si>
    <t>e-trailer</t>
  </si>
  <si>
    <t>L8QA7J</t>
  </si>
  <si>
    <t>Sent to boy@e-trailer.nl on 2026-08-26</t>
  </si>
  <si>
    <t>Bram Kerssemakers</t>
  </si>
  <si>
    <t>Kerssemakers</t>
  </si>
  <si>
    <t>bram.kerssemakers@planet-b.io</t>
  </si>
  <si>
    <t>FKP201</t>
  </si>
  <si>
    <t>Sent to bram.kerssemakers@planet-b.io on 2026-08-26</t>
  </si>
  <si>
    <t>Bram Tijmons</t>
  </si>
  <si>
    <t>Tijmons</t>
  </si>
  <si>
    <t>bram@pats-drones.com</t>
  </si>
  <si>
    <t>PATS</t>
  </si>
  <si>
    <t>ERLUIA</t>
  </si>
  <si>
    <t>Sent to bram@pats-drones.com on 2026-08-26</t>
  </si>
  <si>
    <t>Branko van Loon</t>
  </si>
  <si>
    <t>Branko</t>
  </si>
  <si>
    <t>van Loon</t>
  </si>
  <si>
    <t>branko.vanloon@denhaag.nl</t>
  </si>
  <si>
    <t>Gemeente Den Haag</t>
  </si>
  <si>
    <t>JDFQDF</t>
  </si>
  <si>
    <t>Sent to branko.vanloon@denhaag.nl on 2026-08-26</t>
  </si>
  <si>
    <t>Brent Kok</t>
  </si>
  <si>
    <t>Brent</t>
  </si>
  <si>
    <t>b.kok@smart-ship.eu</t>
  </si>
  <si>
    <t>smart-ship</t>
  </si>
  <si>
    <t>SRSL4S</t>
  </si>
  <si>
    <t>Sent to b.kok@smart-ship.eu on 2026-08-26</t>
  </si>
  <si>
    <t>Brigitte Beeks</t>
  </si>
  <si>
    <t>Brigitte</t>
  </si>
  <si>
    <t>Beeks</t>
  </si>
  <si>
    <t>b.beeks@mrdh.nl</t>
  </si>
  <si>
    <t>mrdh</t>
  </si>
  <si>
    <t>GFG9L4</t>
  </si>
  <si>
    <t>Sent to b.beeks@mrdh.nl on 2026-08-26</t>
  </si>
  <si>
    <t>Bruno Valkeniers</t>
  </si>
  <si>
    <t>Valkeniers</t>
  </si>
  <si>
    <t>bruno.valkeniers@telenet.be</t>
  </si>
  <si>
    <t>ocrs.me</t>
  </si>
  <si>
    <t>N9J5B8</t>
  </si>
  <si>
    <t>Sent to bruno.valkeniers@telenet.be on 2026-08-26</t>
  </si>
  <si>
    <t>Caglar Urcan</t>
  </si>
  <si>
    <t>Caglar</t>
  </si>
  <si>
    <t>Urcan</t>
  </si>
  <si>
    <t>caglar@212next.fund</t>
  </si>
  <si>
    <t>212next.fund</t>
  </si>
  <si>
    <t>RDY4W4</t>
  </si>
  <si>
    <t>Sent to caglar@212next.fund on 2026-08-26</t>
  </si>
  <si>
    <t>Cailin Greiner</t>
  </si>
  <si>
    <t>Cailin</t>
  </si>
  <si>
    <t>Greiner</t>
  </si>
  <si>
    <t>cailin.greiner@forward.one</t>
  </si>
  <si>
    <t>DQCCHF</t>
  </si>
  <si>
    <t>Sent to cailin.greiner@forward.one on 2026-08-26</t>
  </si>
  <si>
    <t>Camiel Verschoor</t>
  </si>
  <si>
    <t>Camiel</t>
  </si>
  <si>
    <t>Verschoor</t>
  </si>
  <si>
    <t>camiel@birds.ai</t>
  </si>
  <si>
    <t>birds</t>
  </si>
  <si>
    <t>A3ZDNF</t>
  </si>
  <si>
    <t>Sent to camiel@birds.ai on 2026-08-26</t>
  </si>
  <si>
    <t>Cara Reuner</t>
  </si>
  <si>
    <t>Cara</t>
  </si>
  <si>
    <t>Reuner</t>
  </si>
  <si>
    <t>cara@worldfund.vc</t>
  </si>
  <si>
    <t>Ecosia World Fund</t>
  </si>
  <si>
    <t>4K0NS0</t>
  </si>
  <si>
    <t>Sent to cara@worldfund.vc on 2026-08-26</t>
  </si>
  <si>
    <t>Carmen Lai</t>
  </si>
  <si>
    <t>Carmen</t>
  </si>
  <si>
    <t>Lai</t>
  </si>
  <si>
    <t>ginepro99@gmail.com</t>
  </si>
  <si>
    <t>PerClass</t>
  </si>
  <si>
    <t>DTFHLI</t>
  </si>
  <si>
    <t>Sent to ginepro99@gmail.com on 2026-08-26</t>
  </si>
  <si>
    <t>Carola de Vree</t>
  </si>
  <si>
    <t>de Vree</t>
  </si>
  <si>
    <t>c.devree@tudelft.nl</t>
  </si>
  <si>
    <t>YZGRQZ</t>
  </si>
  <si>
    <t>Sent to c.devree@tudelft.nl on 2026-08-26</t>
  </si>
  <si>
    <t>Casper van Tilburg</t>
  </si>
  <si>
    <t xml:space="preserve">Casper </t>
  </si>
  <si>
    <t>van Tilburg</t>
  </si>
  <si>
    <t>casper@panestry.nl</t>
  </si>
  <si>
    <t>WA6KLV</t>
  </si>
  <si>
    <t>Sent to casper@panestry.nl on 2026-08-26</t>
  </si>
  <si>
    <t>Cees Stoppelenburg</t>
  </si>
  <si>
    <t>Cees</t>
  </si>
  <si>
    <t>Stoppelenburg</t>
  </si>
  <si>
    <t>c.stoppelenburg@mrdh.nl</t>
  </si>
  <si>
    <t>ODBOK1</t>
  </si>
  <si>
    <t>Sent to c.stoppelenburg@mrdh.nl on 2026-08-26</t>
  </si>
  <si>
    <t>Cees van Bladel</t>
  </si>
  <si>
    <t>van Bladel</t>
  </si>
  <si>
    <t>cees@volansrowing.com</t>
  </si>
  <si>
    <t>Volans</t>
  </si>
  <si>
    <t>IB6904</t>
  </si>
  <si>
    <t>Sent to cees@volansrowing.com on 2026-08-26</t>
  </si>
  <si>
    <t>Chantal deniet</t>
  </si>
  <si>
    <t>Chantal</t>
  </si>
  <si>
    <t>deniet</t>
  </si>
  <si>
    <t>chantal.deniet@securitydelta.nl</t>
  </si>
  <si>
    <t>securitydelta</t>
  </si>
  <si>
    <t>XO6T8Q</t>
  </si>
  <si>
    <t>Sent to chantal.deniet@securitydelta.nl on 2026-08-26</t>
  </si>
  <si>
    <t>Chantal Zeegers</t>
  </si>
  <si>
    <t>Zeegers</t>
  </si>
  <si>
    <t>cm.zeegers@rotterdam.nl</t>
  </si>
  <si>
    <t>8HXN6H</t>
  </si>
  <si>
    <t>Sent to cm.zeegers@rotterdam.nl on 2026-08-26</t>
  </si>
  <si>
    <t>Charles De Monchy</t>
  </si>
  <si>
    <t>Charles</t>
  </si>
  <si>
    <t>De Monchy</t>
  </si>
  <si>
    <t>charles@demonchy.com</t>
  </si>
  <si>
    <t>demonchy</t>
  </si>
  <si>
    <t>MJOGJI</t>
  </si>
  <si>
    <t>Sent to charles@demonchy.com on 2026-08-26</t>
  </si>
  <si>
    <t>Charlotte Goos</t>
  </si>
  <si>
    <t>Charlotte</t>
  </si>
  <si>
    <t>Goos</t>
  </si>
  <si>
    <t>charlottegoos@gmail.com</t>
  </si>
  <si>
    <t>Watch UP/SkiSense/V-Go instruments</t>
  </si>
  <si>
    <t>44E01K</t>
  </si>
  <si>
    <t>Sent to charlottegoos@gmail.com on 2026-08-26</t>
  </si>
  <si>
    <t>Chintan Shah</t>
  </si>
  <si>
    <t>Chintan</t>
  </si>
  <si>
    <t>Shah</t>
  </si>
  <si>
    <t>c.shah@tvilight.com</t>
  </si>
  <si>
    <t>tvilight</t>
  </si>
  <si>
    <t>Q7HJTS</t>
  </si>
  <si>
    <t>Sent to c.shah@tvilight.com on 2026-08-26</t>
  </si>
  <si>
    <t>Chris Dawe</t>
  </si>
  <si>
    <t>Dawe</t>
  </si>
  <si>
    <t>chris@effect.ai</t>
  </si>
  <si>
    <t>effect</t>
  </si>
  <si>
    <t>T3G0MF</t>
  </si>
  <si>
    <t>Sent to chris@effect.ai on 2026-08-26</t>
  </si>
  <si>
    <t>Christel Mourik</t>
  </si>
  <si>
    <t>Mourik</t>
  </si>
  <si>
    <t>c.mourik@mrdh.nl</t>
  </si>
  <si>
    <t>BR5KUS</t>
  </si>
  <si>
    <t>Sent to c.mourik@mrdh.nl on 2026-08-26</t>
  </si>
  <si>
    <t>Christian Gonzalez</t>
  </si>
  <si>
    <t>Christian</t>
  </si>
  <si>
    <t>Gonzalez</t>
  </si>
  <si>
    <t>chris@planet-a.com</t>
  </si>
  <si>
    <t>planet-a</t>
  </si>
  <si>
    <t>ANG8GG</t>
  </si>
  <si>
    <t>Sent to chris@planet-a.com on 2026-08-26</t>
  </si>
  <si>
    <t>Christian Prickaerts</t>
  </si>
  <si>
    <t>Prickaerts</t>
  </si>
  <si>
    <t>christian.prickaerts@foxcrypto.com</t>
  </si>
  <si>
    <t>FoxCrypto</t>
  </si>
  <si>
    <t>V0ODZW</t>
  </si>
  <si>
    <t>Sent to christian.prickaerts@foxcrypto.com on 2026-08-26</t>
  </si>
  <si>
    <t>Christian Van Maaren</t>
  </si>
  <si>
    <t>Van Maaren</t>
  </si>
  <si>
    <t>christianvanmaaren@excessmaterialsexchange.com</t>
  </si>
  <si>
    <t>O95M49</t>
  </si>
  <si>
    <t>Sent to christianvanmaaren@excessmaterialsexchange.com on 2026-08-26</t>
  </si>
  <si>
    <t>Cindy Gerhardt</t>
  </si>
  <si>
    <t>Cindy</t>
  </si>
  <si>
    <t>Gerhardt</t>
  </si>
  <si>
    <t>cindy.gerhardt@planet-b.io</t>
  </si>
  <si>
    <t>Z2M3M9</t>
  </si>
  <si>
    <t>Sent to cindy.gerhardt@planet-b.io on 2026-08-26</t>
  </si>
  <si>
    <t>Cinzia Silvestri</t>
  </si>
  <si>
    <t>Cinzia</t>
  </si>
  <si>
    <t>Silvestri</t>
  </si>
  <si>
    <t>cinzia@biondteam.com</t>
  </si>
  <si>
    <t>biondteam</t>
  </si>
  <si>
    <t>PW4MMQ</t>
  </si>
  <si>
    <t>Sent to cinzia@biondteam.com on 2026-08-26</t>
  </si>
  <si>
    <t>Claire Visser</t>
  </si>
  <si>
    <t>claire.visser@tudelft.nl</t>
  </si>
  <si>
    <t>MVUR8F</t>
  </si>
  <si>
    <t>Sent to claire.visser@tudelft.nl on 2026-08-26</t>
  </si>
  <si>
    <t>Clemens van Os</t>
  </si>
  <si>
    <t>Clemens</t>
  </si>
  <si>
    <t>van Os</t>
  </si>
  <si>
    <t>clemens@xpozer.com</t>
  </si>
  <si>
    <t>xpozer</t>
  </si>
  <si>
    <t>43YKU1</t>
  </si>
  <si>
    <t>Sent to clemens@xpozer.com on 2026-08-26</t>
  </si>
  <si>
    <t>Coen ten Herkel</t>
  </si>
  <si>
    <t>Coen</t>
  </si>
  <si>
    <t>ten Herkel</t>
  </si>
  <si>
    <t>c.tenherkel@taniq.com</t>
  </si>
  <si>
    <t>taniq</t>
  </si>
  <si>
    <t>T66EXX</t>
  </si>
  <si>
    <t>Sent to c.tenherkel@taniq.com on 2026-08-26</t>
  </si>
  <si>
    <t>Coen Van Duiven</t>
  </si>
  <si>
    <t>Van Duiven</t>
  </si>
  <si>
    <t>coen@henq.nl</t>
  </si>
  <si>
    <t>henq</t>
  </si>
  <si>
    <t>24XPXG</t>
  </si>
  <si>
    <t>Sent to coen@henq.nl on 2026-08-26</t>
  </si>
  <si>
    <t>Constantijn van Oranje</t>
  </si>
  <si>
    <t>Constantijn</t>
  </si>
  <si>
    <t>van Oranje</t>
  </si>
  <si>
    <t>constantijn@techleap.nl</t>
  </si>
  <si>
    <t>CLQ3M3</t>
  </si>
  <si>
    <t>Sent to constantijn@techleap.nl on 2026-08-26</t>
  </si>
  <si>
    <t>Coos Santing</t>
  </si>
  <si>
    <t>Coos</t>
  </si>
  <si>
    <t>Santing</t>
  </si>
  <si>
    <t>coos.santing@denhaag.nl</t>
  </si>
  <si>
    <t>MNTFY8</t>
  </si>
  <si>
    <t>Sent to coos.santing@denhaag.nl on 2026-08-26</t>
  </si>
  <si>
    <t>Cor Verhoeven</t>
  </si>
  <si>
    <t>Cor</t>
  </si>
  <si>
    <t>Verhoeven</t>
  </si>
  <si>
    <t>cor@offensys.nl</t>
  </si>
  <si>
    <t>73UI8X</t>
  </si>
  <si>
    <t>Sent to cor@offensys.nl on 2026-08-26</t>
  </si>
  <si>
    <t>Corien Staels</t>
  </si>
  <si>
    <t>Corien</t>
  </si>
  <si>
    <t>Staels</t>
  </si>
  <si>
    <t>corien@staels.com</t>
  </si>
  <si>
    <t>9TMVIV</t>
  </si>
  <si>
    <t>Sent to corien@staels.com on 2026-08-26</t>
  </si>
  <si>
    <t>Corina Kuiper</t>
  </si>
  <si>
    <t>Corina</t>
  </si>
  <si>
    <t>Kuiper</t>
  </si>
  <si>
    <t>corina.kuiper@corporateventuringnetwork.com</t>
  </si>
  <si>
    <t>corporateventuringnetwork</t>
  </si>
  <si>
    <t>4Q46AN</t>
  </si>
  <si>
    <t>Sent to corina.kuiper@corporateventuringnetwork.com on 2026-08-26</t>
  </si>
  <si>
    <t>Corne de Bruijn</t>
  </si>
  <si>
    <t>Corne</t>
  </si>
  <si>
    <t>de Bruijn</t>
  </si>
  <si>
    <t>cdebruijn@tandartsdebruijn.nl</t>
  </si>
  <si>
    <t>tandartsdebruijn</t>
  </si>
  <si>
    <t>SRGHXU</t>
  </si>
  <si>
    <t>Sent to cdebruijn@tandartsdebruijn.nl on 2026-08-26</t>
  </si>
  <si>
    <t>Cornelis van de Kamp</t>
  </si>
  <si>
    <t>Cornelis</t>
  </si>
  <si>
    <t>van de Kamp</t>
  </si>
  <si>
    <t>cornelis.van.de.kamp@gmail.com</t>
  </si>
  <si>
    <t>0UAKFA</t>
  </si>
  <si>
    <t>Sent to cornelis.van.de.kamp@gmail.com on 2026-08-26</t>
  </si>
  <si>
    <t>Crijn Bouman</t>
  </si>
  <si>
    <t>Crijn</t>
  </si>
  <si>
    <r>
      <rPr>
        <color rgb="FF0000FF"/>
        <sz val="11.0"/>
        <u/>
      </rPr>
      <t>crijnbouman@gmail.com</t>
    </r>
  </si>
  <si>
    <t>Epyon</t>
  </si>
  <si>
    <t>SZ7318</t>
  </si>
  <si>
    <t>Sent to crijnbouman@gmail.com on 2026-08-26</t>
  </si>
  <si>
    <t>Cristian Meo</t>
  </si>
  <si>
    <t>Cristian</t>
  </si>
  <si>
    <t>Meo</t>
  </si>
  <si>
    <t>cristianmeo@latentworlds.ai</t>
  </si>
  <si>
    <t>21DGJA</t>
  </si>
  <si>
    <t>Sent to cristianmeo@latentworlds.ai on 2026-08-26</t>
  </si>
  <si>
    <t>Cristian DAlessandro</t>
  </si>
  <si>
    <t xml:space="preserve">Cristian </t>
  </si>
  <si>
    <t>DAlessandro</t>
  </si>
  <si>
    <t>cristian@respiq.com</t>
  </si>
  <si>
    <t>Respiro B.V (RespiQ)</t>
  </si>
  <si>
    <t>JXT4LO</t>
  </si>
  <si>
    <t>Sent to cristian@respiq.com on 2026-08-26</t>
  </si>
  <si>
    <t>Daan Blok</t>
  </si>
  <si>
    <t>Blok</t>
  </si>
  <si>
    <t>daan.blok@economicboardzuidholland.nl</t>
  </si>
  <si>
    <t>economicboardzuidholland</t>
  </si>
  <si>
    <t>8OEW59</t>
  </si>
  <si>
    <t>Sent to daan.blok@economicboardzuidholland.nl on 2026-08-26</t>
  </si>
  <si>
    <t>Daan Hooimeijer</t>
  </si>
  <si>
    <t>Hooimeijer</t>
  </si>
  <si>
    <t>daan.hooimeijer@vanoord.com</t>
  </si>
  <si>
    <t>vanoord</t>
  </si>
  <si>
    <t>IPSFFA</t>
  </si>
  <si>
    <t>Sent to daan.hooimeijer@vanoord.com on 2026-08-26</t>
  </si>
  <si>
    <t>Daan Nollen</t>
  </si>
  <si>
    <t>Nollen</t>
  </si>
  <si>
    <t>daan.nollen@dtventures.nl</t>
  </si>
  <si>
    <t>dtventures</t>
  </si>
  <si>
    <t>JBXCRL</t>
  </si>
  <si>
    <t>Sent to daan.nollen@dtventures.nl on 2026-08-26</t>
  </si>
  <si>
    <t>Daan Alkemade</t>
  </si>
  <si>
    <t>Alkemade</t>
  </si>
  <si>
    <t>daan@breeze.social</t>
  </si>
  <si>
    <t>Breeze Social</t>
  </si>
  <si>
    <t>PWT8N6</t>
  </si>
  <si>
    <t>Sent to daan@breeze.social on 2026-08-26</t>
  </si>
  <si>
    <t>Daan Domhof</t>
  </si>
  <si>
    <t>Domhof</t>
  </si>
  <si>
    <t>daan@dentalrobotics.nl</t>
  </si>
  <si>
    <t>dentalrobotics</t>
  </si>
  <si>
    <t>IDBYWJ</t>
  </si>
  <si>
    <t>Sent to daan@dentalrobotics.nl on 2026-08-26</t>
  </si>
  <si>
    <t>Daan de Groot</t>
  </si>
  <si>
    <t>daan@lobster-robotics.com</t>
  </si>
  <si>
    <t>lobster-robotics</t>
  </si>
  <si>
    <t>2RX639</t>
  </si>
  <si>
    <t>Sent to daan@lobster-robotics.com on 2026-08-26</t>
  </si>
  <si>
    <t>Daan van der Wind</t>
  </si>
  <si>
    <t>van der Wind</t>
  </si>
  <si>
    <t>daan@pava.ai</t>
  </si>
  <si>
    <t>PAVA</t>
  </si>
  <si>
    <t>3IZUYM</t>
  </si>
  <si>
    <t>Sent to daan@pava.ai on 2026-08-26</t>
  </si>
  <si>
    <t>Daan Wortel</t>
  </si>
  <si>
    <t xml:space="preserve">Daan </t>
  </si>
  <si>
    <t>Wortel</t>
  </si>
  <si>
    <t>dwortel@duurzaamheidsfabriek.nl</t>
  </si>
  <si>
    <t>duurzaamheidsfabriek</t>
  </si>
  <si>
    <t>1FUPJE</t>
  </si>
  <si>
    <t>Sent to dwortel@duurzaamheidsfabriek.nl on 2026-08-26</t>
  </si>
  <si>
    <t>Dana-Maria Faneker</t>
  </si>
  <si>
    <t>Dana-Maria</t>
  </si>
  <si>
    <t>Faneker</t>
  </si>
  <si>
    <t>dana-maria@captainvr.nl</t>
  </si>
  <si>
    <t>CaptainVR</t>
  </si>
  <si>
    <t>XWCOHP</t>
  </si>
  <si>
    <t>Sent to dana-maria@captainvr.nl on 2026-08-26</t>
  </si>
  <si>
    <t>Daniel van der Gaag</t>
  </si>
  <si>
    <t>van der Gaag</t>
  </si>
  <si>
    <t>D.vd.Gaag@mindef.nl</t>
  </si>
  <si>
    <t>Cyber Warfare Centre, Min Defense</t>
  </si>
  <si>
    <t>EE7W2H</t>
  </si>
  <si>
    <t>Sent to D.vd.Gaag@mindef.nl on 2026-08-26</t>
  </si>
  <si>
    <t>Daniel Gebler</t>
  </si>
  <si>
    <t xml:space="preserve">Daniel </t>
  </si>
  <si>
    <t xml:space="preserve">Gebler </t>
  </si>
  <si>
    <t>daniel.gebler@teampicnic.com</t>
  </si>
  <si>
    <t>teampicnic</t>
  </si>
  <si>
    <t>7HLQVI</t>
  </si>
  <si>
    <t>Sent to daniel.gebler@teampicnic.com on 2026-08-26</t>
  </si>
  <si>
    <t>Danielle Jansen</t>
  </si>
  <si>
    <t>Danielle</t>
  </si>
  <si>
    <t>Jansen</t>
  </si>
  <si>
    <t>danielle.jansen@innovationquarter.nl</t>
  </si>
  <si>
    <t>InnovationQuarter</t>
  </si>
  <si>
    <t>OMD28O</t>
  </si>
  <si>
    <t>Sent to danielle.jansen@innovationquarter.nl on 2026-08-26</t>
  </si>
  <si>
    <t>Danielle Kneppers</t>
  </si>
  <si>
    <t>Kneppers</t>
  </si>
  <si>
    <t>danielle.meth@gmail.com</t>
  </si>
  <si>
    <t>0W27O6</t>
  </si>
  <si>
    <t>Sent to danielle.meth@gmail.com on 2026-08-26</t>
  </si>
  <si>
    <t>Danny Looman</t>
  </si>
  <si>
    <t>Looman</t>
  </si>
  <si>
    <t>danny@lobster-robotics.com</t>
  </si>
  <si>
    <t>Lobster Robotics</t>
  </si>
  <si>
    <t>II9420</t>
  </si>
  <si>
    <t>Sent to danny@lobster-robotics.com on 2026-08-26</t>
  </si>
  <si>
    <t>Danny de Bruijn</t>
  </si>
  <si>
    <t>danny@warp.industries</t>
  </si>
  <si>
    <t>LXH0CS</t>
  </si>
  <si>
    <t>Sent to danny@warp.industries on 2026-08-26</t>
  </si>
  <si>
    <t>Daphne Wijffels</t>
  </si>
  <si>
    <t>Daphne</t>
  </si>
  <si>
    <t>Wijffels</t>
  </si>
  <si>
    <t>wijffels@rdgg.nl</t>
  </si>
  <si>
    <t>Reinier de Graaf Ziekenhuis</t>
  </si>
  <si>
    <t>VSB4FY</t>
  </si>
  <si>
    <t>Sent to wijffels@rdgg.nl on 2026-08-26</t>
  </si>
  <si>
    <t>Daria Khozlova</t>
  </si>
  <si>
    <t>Daria</t>
  </si>
  <si>
    <t>Khozlova</t>
  </si>
  <si>
    <t>dk@deepbreath.tech</t>
  </si>
  <si>
    <t>Deepbreath</t>
  </si>
  <si>
    <t>MXU7LG</t>
  </si>
  <si>
    <t>Sent to dk@deepbreath.tech on 2026-08-26</t>
  </si>
  <si>
    <t>David Peck</t>
  </si>
  <si>
    <t>Peck</t>
  </si>
  <si>
    <t>d.p.peck@tudelft.nl</t>
  </si>
  <si>
    <t>BR23VV</t>
  </si>
  <si>
    <t>Sent to d.p.peck@tudelft.nl on 2026-08-26</t>
  </si>
  <si>
    <t>David Greenberg</t>
  </si>
  <si>
    <t>Greenberg</t>
  </si>
  <si>
    <t>david@eave.io</t>
  </si>
  <si>
    <t>eave</t>
  </si>
  <si>
    <t>WVWCK8</t>
  </si>
  <si>
    <t>Sent to david@eave.io on 2026-08-26</t>
  </si>
  <si>
    <t>David Ordonez</t>
  </si>
  <si>
    <t xml:space="preserve">Ordonez </t>
  </si>
  <si>
    <t>david@nif.fund</t>
  </si>
  <si>
    <t>NIF Fund</t>
  </si>
  <si>
    <t>BNKV3P</t>
  </si>
  <si>
    <t>Sent to david@nif.fund on 2026-08-26</t>
  </si>
  <si>
    <t>David Roodenburg</t>
  </si>
  <si>
    <t>Roodenburg</t>
  </si>
  <si>
    <t>jroodenburg@huisman-nl.com</t>
  </si>
  <si>
    <t>huisman-nl</t>
  </si>
  <si>
    <t>DKEBOM</t>
  </si>
  <si>
    <t>Sent to jroodenburg@huisman-nl.com on 2026-08-26</t>
  </si>
  <si>
    <t>Deborah Mevissen</t>
  </si>
  <si>
    <t>Deborah</t>
  </si>
  <si>
    <t>Mevissen</t>
  </si>
  <si>
    <t>d.m.mevissen@hhs.nl</t>
  </si>
  <si>
    <t>5M40XD</t>
  </si>
  <si>
    <t>Sent to d.m.mevissen@hhs.nl on 2026-08-26</t>
  </si>
  <si>
    <t>Dejan Borota</t>
  </si>
  <si>
    <t>Dejan</t>
  </si>
  <si>
    <t>Borota</t>
  </si>
  <si>
    <t>dejan@mainblades.com</t>
  </si>
  <si>
    <t>mainblades</t>
  </si>
  <si>
    <t>Y0I7ZU</t>
  </si>
  <si>
    <t>Sent to dejan@mainblades.com on 2026-08-26</t>
  </si>
  <si>
    <t>Dennis Huizing</t>
  </si>
  <si>
    <t>Huizing</t>
  </si>
  <si>
    <t>dennis@leapfunder.nl</t>
  </si>
  <si>
    <t>leapfunder</t>
  </si>
  <si>
    <t>VUTF7X</t>
  </si>
  <si>
    <t>Sent to dennis@leapfunder.nl on 2026-08-26</t>
  </si>
  <si>
    <t>Dennis de Klerk</t>
  </si>
  <si>
    <t>dennis@vibestechnology.com</t>
  </si>
  <si>
    <t>PQUVCV</t>
  </si>
  <si>
    <t>Sent to dennis@vibestechnology.com on 2026-08-26</t>
  </si>
  <si>
    <t>Dennis van Rietschoten</t>
  </si>
  <si>
    <t>van Rietschoten</t>
  </si>
  <si>
    <t>DJ.v.Rietschoten@mindef.nl</t>
  </si>
  <si>
    <t>8D86AL</t>
  </si>
  <si>
    <t>Sent to DJ.v.Rietschoten@mindef.nl on 2026-08-26</t>
  </si>
  <si>
    <t>Derk Lutgert</t>
  </si>
  <si>
    <t>Derk</t>
  </si>
  <si>
    <t>Lutgert</t>
  </si>
  <si>
    <t>derk.lutgert@gmail.com</t>
  </si>
  <si>
    <t>Spotlight Invest</t>
  </si>
  <si>
    <t>34L3N3</t>
  </si>
  <si>
    <t>Derk-Jan Van Heerden</t>
  </si>
  <si>
    <t>Derk-Jan</t>
  </si>
  <si>
    <t>Van Heerden</t>
  </si>
  <si>
    <t>dj@aethos.aero</t>
  </si>
  <si>
    <t>Aethos</t>
  </si>
  <si>
    <t>L58SSC</t>
  </si>
  <si>
    <t>Sent to dj@aethos.aero on 2026-08-26</t>
  </si>
  <si>
    <t>Desmond van der Meer</t>
  </si>
  <si>
    <t>Desmond</t>
  </si>
  <si>
    <t>d.s.vandermeer@innovattic.com</t>
  </si>
  <si>
    <t>innovattic</t>
  </si>
  <si>
    <t>MFLJ9H</t>
  </si>
  <si>
    <t>Sent to d.s.vandermeer@innovattic.com on 2026-08-26</t>
  </si>
  <si>
    <t>Devin Malone</t>
  </si>
  <si>
    <t>Devin</t>
  </si>
  <si>
    <t>Malone</t>
  </si>
  <si>
    <t>malone.devin@gmail.com</t>
  </si>
  <si>
    <t>Straw Dog (One Nights Tent )</t>
  </si>
  <si>
    <t>7HL229</t>
  </si>
  <si>
    <t>Sent to malone.devin@gmail.com on 2026-08-26</t>
  </si>
  <si>
    <t>Dick Van Driel</t>
  </si>
  <si>
    <t>Van Driel</t>
  </si>
  <si>
    <t>dick@nieuwezomer.nl</t>
  </si>
  <si>
    <t>RKM3ZN</t>
  </si>
  <si>
    <t>Sent to dick@nieuwezomer.nl on 2026-08-26</t>
  </si>
  <si>
    <t>Diederik van Dommelen</t>
  </si>
  <si>
    <t>van Dommelen</t>
  </si>
  <si>
    <t>dj.vandommelen@raadrotterdam.nl</t>
  </si>
  <si>
    <t>raadrotterdam</t>
  </si>
  <si>
    <t>TV5RUG</t>
  </si>
  <si>
    <t>Sent to dj.vandommelen@raadrotterdam.nl on 2026-08-26</t>
  </si>
  <si>
    <t>Diederik Rasenberg</t>
  </si>
  <si>
    <t>Rasenberg</t>
  </si>
  <si>
    <t>dwmrasenberg@gmail.com</t>
  </si>
  <si>
    <t>Sensible (MedCore)</t>
  </si>
  <si>
    <t>O124SZ</t>
  </si>
  <si>
    <t>Sent to dwmrasenberg@gmail.com on 2026-08-26</t>
  </si>
  <si>
    <t>Dijlan van Vlimmeren</t>
  </si>
  <si>
    <t>Dijlan</t>
  </si>
  <si>
    <t>van Vlimmeren</t>
  </si>
  <si>
    <t>tekstbureaupannacotta@gmail.com</t>
  </si>
  <si>
    <t>AD</t>
  </si>
  <si>
    <t>AA2HHA</t>
  </si>
  <si>
    <t>Sent to tekstbureaupannacotta@gmail.com on 2026-08-26</t>
  </si>
  <si>
    <t>Dimitri Hehanussa</t>
  </si>
  <si>
    <t>Hehanussa</t>
  </si>
  <si>
    <t>dimitri.hehanussa@tno.nl</t>
  </si>
  <si>
    <t>8P1WCY</t>
  </si>
  <si>
    <t>Sent to dimitri.hehanussa@tno.nl on 2026-08-26</t>
  </si>
  <si>
    <t>Dimitrie Morrison</t>
  </si>
  <si>
    <t>Dimitrie</t>
  </si>
  <si>
    <t>Morrison</t>
  </si>
  <si>
    <t>dep.morrison@pzh.nl</t>
  </si>
  <si>
    <t>VS27DR</t>
  </si>
  <si>
    <t>Sent to dep.morrison@pzh.nl on 2026-08-26</t>
  </si>
  <si>
    <t>Dimitrios Zarouchas</t>
  </si>
  <si>
    <t>Dimitrios</t>
  </si>
  <si>
    <t>Zarouchas</t>
  </si>
  <si>
    <t>d.zarouchas@tudelft.nl</t>
  </si>
  <si>
    <t>AIMS</t>
  </si>
  <si>
    <t>WVTOF7</t>
  </si>
  <si>
    <t>Sent to d.zarouchas@tudelft.nl on 2026-08-26</t>
  </si>
  <si>
    <t>Dimmes Doornhein</t>
  </si>
  <si>
    <t>Dimmes</t>
  </si>
  <si>
    <t>Doornhein</t>
  </si>
  <si>
    <t>dimmes@me.com</t>
  </si>
  <si>
    <t>VP5HMA</t>
  </si>
  <si>
    <t>Sent to dimmes@me.com on 2026-08-26</t>
  </si>
  <si>
    <t>Dirk Schraven</t>
  </si>
  <si>
    <t>Schraven</t>
  </si>
  <si>
    <t>d.schraven@erasmusmc.nl</t>
  </si>
  <si>
    <t>erasmusmc</t>
  </si>
  <si>
    <t>1ERF5J</t>
  </si>
  <si>
    <t>Sent to d.schraven@erasmusmc.nl on 2026-08-26</t>
  </si>
  <si>
    <t>Dirk de Bilde</t>
  </si>
  <si>
    <t>de Bilde</t>
  </si>
  <si>
    <t>dirk.de_bilde@siemens.com</t>
  </si>
  <si>
    <t>siemens</t>
  </si>
  <si>
    <t>ULP4FR</t>
  </si>
  <si>
    <t>Sent to dirk.de_bilde@siemens.com on 2026-08-26</t>
  </si>
  <si>
    <t>Dirkjan Walstra</t>
  </si>
  <si>
    <t>Dirkjan</t>
  </si>
  <si>
    <t>Walstra</t>
  </si>
  <si>
    <t>dirkjan.walstra@deltares.nl</t>
  </si>
  <si>
    <t>54BQAL</t>
  </si>
  <si>
    <t>Sent to dirkjan.walstra@deltares.nl on 2026-08-26</t>
  </si>
  <si>
    <t>Dogan Altundag</t>
  </si>
  <si>
    <t>Dogan</t>
  </si>
  <si>
    <t>Altundag</t>
  </si>
  <si>
    <t>dogan@geosignum.nl</t>
  </si>
  <si>
    <t>geosignum</t>
  </si>
  <si>
    <t>4BKXB7</t>
  </si>
  <si>
    <t>Sent to dogan@geosignum.nl on 2026-08-26</t>
  </si>
  <si>
    <t>Dominique Balassi</t>
  </si>
  <si>
    <t>Dominique</t>
  </si>
  <si>
    <t>Balassi</t>
  </si>
  <si>
    <t>d.balassi@v-ems.com</t>
  </si>
  <si>
    <t>VEMS</t>
  </si>
  <si>
    <t>U9TMLE</t>
  </si>
  <si>
    <t>Sent to d.balassi@v-ems.com on 2026-08-26</t>
  </si>
  <si>
    <t>Dominique Kwaks</t>
  </si>
  <si>
    <t xml:space="preserve">Dominique </t>
  </si>
  <si>
    <t>Kwaks</t>
  </si>
  <si>
    <t>dom@shapewave.nl</t>
  </si>
  <si>
    <t>shapewave</t>
  </si>
  <si>
    <t>82XH5E</t>
  </si>
  <si>
    <t>Sent to dom@shapewave.nl on 2026-08-26</t>
  </si>
  <si>
    <t>Dora Tempelaars-Busa</t>
  </si>
  <si>
    <t>Dora</t>
  </si>
  <si>
    <t>Tempelaars-Busa</t>
  </si>
  <si>
    <t>busadora@outlook.com</t>
  </si>
  <si>
    <t>EJVWYE</t>
  </si>
  <si>
    <t>Sent to busadora@outlook.com on 2026-08-26</t>
  </si>
  <si>
    <t>Dorus Galama</t>
  </si>
  <si>
    <t>Dorus</t>
  </si>
  <si>
    <t>Galama</t>
  </si>
  <si>
    <t>dorus@gerrardstreet.nl</t>
  </si>
  <si>
    <t>Repeat (Gerrard Street)</t>
  </si>
  <si>
    <t>9LYWNN</t>
  </si>
  <si>
    <t>Sent to dorus@gerrardstreet.nl on 2026-08-26</t>
  </si>
  <si>
    <t>Douwe van de Wall-Bake</t>
  </si>
  <si>
    <t>Douwe</t>
  </si>
  <si>
    <t>van de Wall-Bake</t>
  </si>
  <si>
    <t>d.vandenwallbake@tbi.nl</t>
  </si>
  <si>
    <t>tbi</t>
  </si>
  <si>
    <t>BQMDW2</t>
  </si>
  <si>
    <t>Sent to d.vandenwallbake@tbi.nl on 2026-08-26</t>
  </si>
  <si>
    <t>Douwe jacobs</t>
  </si>
  <si>
    <t>jacobs</t>
  </si>
  <si>
    <t>douwe@ape.amsterdam</t>
  </si>
  <si>
    <t>FLUX CHAIRS</t>
  </si>
  <si>
    <t>5Q4R3N</t>
  </si>
  <si>
    <t>Sent to douwe@ape.amsterdam on 2026-08-26</t>
  </si>
  <si>
    <t>Douwe Jippes</t>
  </si>
  <si>
    <t>Jippes</t>
  </si>
  <si>
    <t>douwe@healthy.capital</t>
  </si>
  <si>
    <t>healthy.capital</t>
  </si>
  <si>
    <t>NMEDP7</t>
  </si>
  <si>
    <t>Sent to douwe@healthy.capital on 2026-08-26</t>
  </si>
  <si>
    <t>Dries Gisolf</t>
  </si>
  <si>
    <t>Dries</t>
  </si>
  <si>
    <t>Gisolf</t>
  </si>
  <si>
    <t>gisolf@direc.nl</t>
  </si>
  <si>
    <t>direc</t>
  </si>
  <si>
    <t>YGAQCO</t>
  </si>
  <si>
    <t>Sent to gisolf@direc.nl on 2026-08-26</t>
  </si>
  <si>
    <t>Duke Urbanik</t>
  </si>
  <si>
    <t>Duke</t>
  </si>
  <si>
    <t>Urbanik</t>
  </si>
  <si>
    <t>Duke@mastersofscale.nl</t>
  </si>
  <si>
    <t>WT0UNU</t>
  </si>
  <si>
    <t>Sent to Duke@mastersofscale.nl on 2026-08-26</t>
  </si>
  <si>
    <t>Dylan Hirsch</t>
  </si>
  <si>
    <t>Dylan</t>
  </si>
  <si>
    <t>Hirsch</t>
  </si>
  <si>
    <t>dylan.hirsch@loxsolution.com</t>
  </si>
  <si>
    <t>MV2TI5</t>
  </si>
  <si>
    <t>Sent to dylan.hirsch@loxsolution.com on 2026-08-26</t>
  </si>
  <si>
    <t>Eddie Van Breukelen</t>
  </si>
  <si>
    <t>Eddie</t>
  </si>
  <si>
    <t>Van Breukelen</t>
  </si>
  <si>
    <r>
      <rPr>
        <color rgb="FF1155CC"/>
        <sz val="11.0"/>
        <u/>
      </rPr>
      <t>eddie@eddievanbreukelen.n</t>
    </r>
    <r>
      <rPr>
        <color rgb="FF0000FF"/>
        <sz val="11.0"/>
        <u/>
      </rPr>
      <t>l</t>
    </r>
  </si>
  <si>
    <t>Innovative Solutions in Space B.V.</t>
  </si>
  <si>
    <t>R7Y01N</t>
  </si>
  <si>
    <t>Sent to eddie@eddievanbreukelen.nl on 2026-08-26</t>
  </si>
  <si>
    <t>Edward SeaState5</t>
  </si>
  <si>
    <t>Edward</t>
  </si>
  <si>
    <t>SeaState5</t>
  </si>
  <si>
    <t>eb@seastate5.com</t>
  </si>
  <si>
    <t>PL4TVT</t>
  </si>
  <si>
    <t>Sent to eb@seastate5.com on 2026-08-26</t>
  </si>
  <si>
    <t>Edward de Jager</t>
  </si>
  <si>
    <t>de Jager</t>
  </si>
  <si>
    <t>edward@unknowngroup.com</t>
  </si>
  <si>
    <t>EXM7PG</t>
  </si>
  <si>
    <t>Sent to edward@unknowngroup.com on 2026-08-26</t>
  </si>
  <si>
    <t>Edwin Blokker</t>
  </si>
  <si>
    <t>Edwin</t>
  </si>
  <si>
    <t>e.blokker@blokkergroup.com</t>
  </si>
  <si>
    <t>GKI2ZT</t>
  </si>
  <si>
    <t>Sent to e.blokker@blokkergroup.com on 2026-08-26</t>
  </si>
  <si>
    <t>Edwin van der Heide</t>
  </si>
  <si>
    <t>van der Heide</t>
  </si>
  <si>
    <t>edwin@mcnetiq.nl</t>
  </si>
  <si>
    <t>mcnetiq</t>
  </si>
  <si>
    <t>NJH6EU</t>
  </si>
  <si>
    <t>Sent to edwin@mcnetiq.nl on 2026-08-26</t>
  </si>
  <si>
    <t>edwin@thehaguetech.com</t>
  </si>
  <si>
    <t>K5WJKY</t>
  </si>
  <si>
    <t>Sent to edwin@thehaguetech.com on 2026-08-26</t>
  </si>
  <si>
    <t>Edzo van den Berg</t>
  </si>
  <si>
    <t>Edzo</t>
  </si>
  <si>
    <t>van den Berg</t>
  </si>
  <si>
    <t>freijberg@gmail.com</t>
  </si>
  <si>
    <t>R7M74E</t>
  </si>
  <si>
    <t>Sent to freijberg@gmail.com on 2026-08-26</t>
  </si>
  <si>
    <t>Eef Lamers</t>
  </si>
  <si>
    <t>Eef</t>
  </si>
  <si>
    <t>Lamers</t>
  </si>
  <si>
    <t>eef.lamers@micro-cosmos.nl</t>
  </si>
  <si>
    <t>Micro Cosmos - A better environment for patients</t>
  </si>
  <si>
    <t>E2TWWA</t>
  </si>
  <si>
    <t>Sent to eef.lamers@micro-cosmos.nl on 2026-08-26</t>
  </si>
  <si>
    <t>Eelko Ronner</t>
  </si>
  <si>
    <t>Eelko</t>
  </si>
  <si>
    <t>Ronner</t>
  </si>
  <si>
    <t>eelko.ronner@corbotics.com</t>
  </si>
  <si>
    <t>1PY7D4</t>
  </si>
  <si>
    <t>Sent to eelko.ronner@corbotics.com on 2026-08-26</t>
  </si>
  <si>
    <t>Egbert Hendriks</t>
  </si>
  <si>
    <t>Egbert</t>
  </si>
  <si>
    <t>Hendriks</t>
  </si>
  <si>
    <t>ephendriks@ephh.nl</t>
  </si>
  <si>
    <t>ephh</t>
  </si>
  <si>
    <t>3273GH</t>
  </si>
  <si>
    <t>Sent to ephendriks@ephh.nl on 2026-08-26</t>
  </si>
  <si>
    <t>Eijnden</t>
  </si>
  <si>
    <t>meike.vandeneijnden@tno.nl</t>
  </si>
  <si>
    <t>UU8OX7</t>
  </si>
  <si>
    <t>Sent to meike.vandeneijnden@tno.nl on 2026-08-26</t>
  </si>
  <si>
    <t>Elena Marselis</t>
  </si>
  <si>
    <t>Elena</t>
  </si>
  <si>
    <t>Marselis</t>
  </si>
  <si>
    <r>
      <rPr>
        <color rgb="FF1155CC"/>
        <sz val="11.0"/>
        <u/>
      </rPr>
      <t>elena.marselis@gmail.com</t>
    </r>
  </si>
  <si>
    <t>Signify</t>
  </si>
  <si>
    <t>01IW6J</t>
  </si>
  <si>
    <t>Sent to elena.marselis@gmail.com on 2026-08-26</t>
  </si>
  <si>
    <t>Eliane Khoury</t>
  </si>
  <si>
    <t>Eliane</t>
  </si>
  <si>
    <t>Khoury</t>
  </si>
  <si>
    <t>e.khoury@vfatechnology.com</t>
  </si>
  <si>
    <t>vfatechnology</t>
  </si>
  <si>
    <t>4HJ8SQ</t>
  </si>
  <si>
    <t>Sent to e.khoury@vfatechnology.com on 2026-08-26</t>
  </si>
  <si>
    <t>Eline de Haan</t>
  </si>
  <si>
    <t>Eline</t>
  </si>
  <si>
    <t>de Haan</t>
  </si>
  <si>
    <t>eline@rubio.vc</t>
  </si>
  <si>
    <t>rubio</t>
  </si>
  <si>
    <t>DIA31X</t>
  </si>
  <si>
    <t>Sent to eline@rubio.vc on 2026-08-26</t>
  </si>
  <si>
    <t>Eline van Beest</t>
  </si>
  <si>
    <t xml:space="preserve">Eline </t>
  </si>
  <si>
    <t>van Beest</t>
  </si>
  <si>
    <t>elinevanbeest@outlook.com</t>
  </si>
  <si>
    <t>Thuja</t>
  </si>
  <si>
    <t>8N6QHA</t>
  </si>
  <si>
    <t>Sent to elinevanbeest@outlook.com on 2026-08-26</t>
  </si>
  <si>
    <t>Elke Evers</t>
  </si>
  <si>
    <t>Elke</t>
  </si>
  <si>
    <t>Evers</t>
  </si>
  <si>
    <t>elke.evers@rvo.nl</t>
  </si>
  <si>
    <t>WEX9SB</t>
  </si>
  <si>
    <t>Sent to elke.evers@rvo.nl on 2026-08-26</t>
  </si>
  <si>
    <t>Elke van de Graaf</t>
  </si>
  <si>
    <t>van de Graaf</t>
  </si>
  <si>
    <t>elke.vandegraaf@rvo.nl</t>
  </si>
  <si>
    <t>RV3KUM</t>
  </si>
  <si>
    <t>Sent to elke.vandegraaf@rvo.nl on 2026-08-26</t>
  </si>
  <si>
    <t>Ellen Smit</t>
  </si>
  <si>
    <t>ellen.smit@rotterdamsquare.nl</t>
  </si>
  <si>
    <t>rotterdamsquare</t>
  </si>
  <si>
    <t>7DND83</t>
  </si>
  <si>
    <t>Sent to ellen.smit@rotterdamsquare.nl on 2026-08-26</t>
  </si>
  <si>
    <t>Ellen van Schoten</t>
  </si>
  <si>
    <t>van Schoten</t>
  </si>
  <si>
    <r>
      <rPr>
        <color rgb="FF1155CC"/>
        <sz val="11.0"/>
        <u/>
      </rPr>
      <t>ellen.vanschoten@eur.nl</t>
    </r>
  </si>
  <si>
    <t>DXP8LF</t>
  </si>
  <si>
    <t>Sent to ellen.vanschoten@eur.nl on 2026-08-26</t>
  </si>
  <si>
    <t>Ellen Mok</t>
  </si>
  <si>
    <t>Mok</t>
  </si>
  <si>
    <t>ellen@mokadvies.nl</t>
  </si>
  <si>
    <t>mokadvies</t>
  </si>
  <si>
    <t>274FRS</t>
  </si>
  <si>
    <t>Sent to ellen@mokadvies.nl on 2026-08-26</t>
  </si>
  <si>
    <t>Ellen van den Ende-Schenkeveld</t>
  </si>
  <si>
    <t>van den Ende-Schenkeveld</t>
  </si>
  <si>
    <t>p.c.m.schenkeveld@tudelft.nl</t>
  </si>
  <si>
    <t>RVBRSO</t>
  </si>
  <si>
    <t>Sent to p.c.m.schenkeveld@tudelft.nl on 2026-08-26</t>
  </si>
  <si>
    <t>Ellen Wang</t>
  </si>
  <si>
    <t xml:space="preserve">Ellen </t>
  </si>
  <si>
    <t>Wang</t>
  </si>
  <si>
    <t>ellenwang@sentechai.com</t>
  </si>
  <si>
    <t>sentechai</t>
  </si>
  <si>
    <t>ZE9IVN</t>
  </si>
  <si>
    <t>Sent to ellenwang@sentechai.com on 2026-08-26</t>
  </si>
  <si>
    <t>Elzan Godlewski</t>
  </si>
  <si>
    <t>Elzan</t>
  </si>
  <si>
    <t>Godlewski</t>
  </si>
  <si>
    <t>elzan@kopa.vc</t>
  </si>
  <si>
    <t>HM52F7</t>
  </si>
  <si>
    <t>Sent to elzan@kopa.vc on 2026-08-26</t>
  </si>
  <si>
    <t>Emma Schepers</t>
  </si>
  <si>
    <t>Emma</t>
  </si>
  <si>
    <t>Schepers</t>
  </si>
  <si>
    <t>emma.schepers@verve.vc</t>
  </si>
  <si>
    <t>verve-capital</t>
  </si>
  <si>
    <t>C4DS2O</t>
  </si>
  <si>
    <t>Sent to emma.schepers@verve.vc on 2026-08-26</t>
  </si>
  <si>
    <t>Emma Wong</t>
  </si>
  <si>
    <t>EWong@arnold-siedsma.nl</t>
  </si>
  <si>
    <t>4WTYAU</t>
  </si>
  <si>
    <t>Sent to EWong@arnold-siedsma.nl on 2026-08-26</t>
  </si>
  <si>
    <t>Ena Voûte</t>
  </si>
  <si>
    <t>Ena</t>
  </si>
  <si>
    <t>Voûte</t>
  </si>
  <si>
    <t>m.a.voute@tudelft.nl</t>
  </si>
  <si>
    <t>L552TD</t>
  </si>
  <si>
    <t>Sent to m.a.voute@tudelft.nl on 2026-08-26</t>
  </si>
  <si>
    <t>Engbert Wilmink</t>
  </si>
  <si>
    <t>Engbert</t>
  </si>
  <si>
    <t>Wilmink</t>
  </si>
  <si>
    <t>ewi@w-po.nl</t>
  </si>
  <si>
    <t>w-po</t>
  </si>
  <si>
    <t>HYZOXW</t>
  </si>
  <si>
    <t>Sent to ewi@w-po.nl on 2026-08-26</t>
  </si>
  <si>
    <t>Eric Smit</t>
  </si>
  <si>
    <t>Eric</t>
  </si>
  <si>
    <t>e.p.smit@t-minus.nl</t>
  </si>
  <si>
    <t>t-minus</t>
  </si>
  <si>
    <t>015MWB</t>
  </si>
  <si>
    <t>Sent to e.p.smit@t-minus.nl on 2026-08-26</t>
  </si>
  <si>
    <t>Eric Poot</t>
  </si>
  <si>
    <t>Poot</t>
  </si>
  <si>
    <t>e.poot@delphy.nl</t>
  </si>
  <si>
    <t>delphy</t>
  </si>
  <si>
    <t>IGIG0M</t>
  </si>
  <si>
    <t>Sent to e.poot@delphy.nl on 2026-08-26</t>
  </si>
  <si>
    <t>Eric Both</t>
  </si>
  <si>
    <t>Both</t>
  </si>
  <si>
    <t>ebh@ecginternational.eu</t>
  </si>
  <si>
    <t>ecginternational</t>
  </si>
  <si>
    <t>20IOPW</t>
  </si>
  <si>
    <t>Sent to ebh@ecginternational.eu on 2026-08-26</t>
  </si>
  <si>
    <t>Eric de Groot</t>
  </si>
  <si>
    <t>eric.degroot@tribess.com</t>
  </si>
  <si>
    <t>HAXZZI</t>
  </si>
  <si>
    <t>Sent to eric.degroot@tribess.com on 2026-08-26</t>
  </si>
  <si>
    <t>Eric Terry</t>
  </si>
  <si>
    <t>Terry</t>
  </si>
  <si>
    <t>eric.terry@actiflow.com</t>
  </si>
  <si>
    <t>actiflow</t>
  </si>
  <si>
    <t>3T3418</t>
  </si>
  <si>
    <t>Sent to eric.terry@actiflow.com on 2026-08-26</t>
  </si>
  <si>
    <t>Eric Gu</t>
  </si>
  <si>
    <t>Gu</t>
  </si>
  <si>
    <t>eric@arteliers.work</t>
  </si>
  <si>
    <t>Ailixr</t>
  </si>
  <si>
    <t>I7U0XA</t>
  </si>
  <si>
    <t>Sent to eric@arteliers.work on 2026-08-26</t>
  </si>
  <si>
    <t>Eric Pasma</t>
  </si>
  <si>
    <t>Pasma</t>
  </si>
  <si>
    <t>eric@vibestechnology.com</t>
  </si>
  <si>
    <t>HJ8ATM</t>
  </si>
  <si>
    <t>Sent to eric@vibestechnology.com on 2026-08-26</t>
  </si>
  <si>
    <t>Eric Heng Gu</t>
  </si>
  <si>
    <t xml:space="preserve">Eric </t>
  </si>
  <si>
    <t>Heng Gu</t>
  </si>
  <si>
    <t>h.gu@tudelft.nl</t>
  </si>
  <si>
    <t>DTDHMU</t>
  </si>
  <si>
    <t>Sent to h.gu@tudelft.nl on 2026-08-26</t>
  </si>
  <si>
    <t>Erik van der Wal</t>
  </si>
  <si>
    <t>van der Wal</t>
  </si>
  <si>
    <t>e.vanderwal@hyerpower.nl</t>
  </si>
  <si>
    <t>DYRPVP</t>
  </si>
  <si>
    <t>Sent to e.vanderwal@hyerpower.nl on 2026-08-26</t>
  </si>
  <si>
    <t>Erik Kraaijeveld</t>
  </si>
  <si>
    <t>Kraaijeveld</t>
  </si>
  <si>
    <t>erik.kraaijeveld@ciwi.earth</t>
  </si>
  <si>
    <t>ZCF2JS</t>
  </si>
  <si>
    <t>Sent to erik.kraaijeveld@ciwi.earth on 2026-08-26</t>
  </si>
  <si>
    <t>Erik Verboom</t>
  </si>
  <si>
    <t>Verboom</t>
  </si>
  <si>
    <t>erik@albatros.digital</t>
  </si>
  <si>
    <t>albatros.digital</t>
  </si>
  <si>
    <t>AIKUS8</t>
  </si>
  <si>
    <t>Sent to erik@albatros.digital on 2026-08-26</t>
  </si>
  <si>
    <t>Erik Peters</t>
  </si>
  <si>
    <t>Peters</t>
  </si>
  <si>
    <t>erikpeters1@icloud.com</t>
  </si>
  <si>
    <t>Alert Solutions</t>
  </si>
  <si>
    <t>OZUJBY</t>
  </si>
  <si>
    <t>Sent to erikpeters1@icloud.com on 2026-08-26</t>
  </si>
  <si>
    <t>Erik van Oorschot</t>
  </si>
  <si>
    <t>hsm.van.oorschot@dordrecht.nl</t>
  </si>
  <si>
    <t>dordrecht</t>
  </si>
  <si>
    <t>GLPH5E</t>
  </si>
  <si>
    <t>Sent to hsm.van.oorschot@dordrecht.nl on 2026-08-26</t>
  </si>
  <si>
    <t>Ernst Van Bruggen</t>
  </si>
  <si>
    <t>Van Bruggen</t>
  </si>
  <si>
    <t>ernst@source.ag</t>
  </si>
  <si>
    <t>Source</t>
  </si>
  <si>
    <t>RJSH8U</t>
  </si>
  <si>
    <t>Sent to ernst@source.ag on 2026-08-26</t>
  </si>
  <si>
    <t>Ernst van der Putten</t>
  </si>
  <si>
    <t>van der Putten</t>
  </si>
  <si>
    <t>ernst@vanderputten.com</t>
  </si>
  <si>
    <t>vanderputten</t>
  </si>
  <si>
    <t>VM1MJS</t>
  </si>
  <si>
    <t>Sent to ernst@vanderputten.com on 2026-08-26</t>
  </si>
  <si>
    <t>Erwin Buckers</t>
  </si>
  <si>
    <t>Erwin</t>
  </si>
  <si>
    <t>Buckers</t>
  </si>
  <si>
    <t>buckers@chainels.com</t>
  </si>
  <si>
    <t>C3H29Q</t>
  </si>
  <si>
    <t>Sent to buckers@chainels.com on 2026-08-26</t>
  </si>
  <si>
    <t>Esther Peters</t>
  </si>
  <si>
    <t>Esther</t>
  </si>
  <si>
    <t>epeters@leidenbiosciencepark.nl</t>
  </si>
  <si>
    <t>leidenbiosciencepark</t>
  </si>
  <si>
    <t>UOKUHR</t>
  </si>
  <si>
    <t>Sent to epeters@leidenbiosciencepark.nl on 2026-08-26</t>
  </si>
  <si>
    <t>Esther van der Meulen</t>
  </si>
  <si>
    <t>van der Meulen</t>
  </si>
  <si>
    <t>esther@techleap.nl</t>
  </si>
  <si>
    <t>PYZ2PN</t>
  </si>
  <si>
    <t>Sent to esther@techleap.nl on 2026-08-26</t>
  </si>
  <si>
    <t>Eva Post</t>
  </si>
  <si>
    <t>Eva</t>
  </si>
  <si>
    <t>eva.post@graduate.nl</t>
  </si>
  <si>
    <t>CQ45EX</t>
  </si>
  <si>
    <t>Sent to eva.post@graduate.nl on 2026-08-26</t>
  </si>
  <si>
    <t>Eva Van Overmeire</t>
  </si>
  <si>
    <t>Van Overmeire</t>
  </si>
  <si>
    <t>eva.vanovermeire@korys.be</t>
  </si>
  <si>
    <t>korys</t>
  </si>
  <si>
    <t>UN3K5X</t>
  </si>
  <si>
    <t>Sent to eva.vanovermeire@korys.be on 2026-08-26</t>
  </si>
  <si>
    <t>Evelien de Vries</t>
  </si>
  <si>
    <t>evelien.de.vries@asml.com</t>
  </si>
  <si>
    <t>JJHLPM</t>
  </si>
  <si>
    <t>Sent to evelien.de.vries@asml.com on 2026-08-26</t>
  </si>
  <si>
    <t>Evgeny Uslamin</t>
  </si>
  <si>
    <t>Uslamin</t>
  </si>
  <si>
    <t>e.uslamin@cyberhydra.nl</t>
  </si>
  <si>
    <t>cyberhydra</t>
  </si>
  <si>
    <t>UA9VLQ</t>
  </si>
  <si>
    <t>Sent to e.uslamin@cyberhydra.nl on 2026-08-26</t>
  </si>
  <si>
    <t>Ewoud Volbeda</t>
  </si>
  <si>
    <t>Ewoud</t>
  </si>
  <si>
    <t>Volbeda</t>
  </si>
  <si>
    <t>ea.volbeda@mindef.nl</t>
  </si>
  <si>
    <t>FTM8CR</t>
  </si>
  <si>
    <t>Sent to ea.volbeda@mindef.nl on 2026-08-26</t>
  </si>
  <si>
    <t>Ewoud de Kok</t>
  </si>
  <si>
    <t>de Kok</t>
  </si>
  <si>
    <t>ewoud@feedbackfruits.com</t>
  </si>
  <si>
    <t>7ZBPW6</t>
  </si>
  <si>
    <t>Sent to ewoud@feedbackfruits.com on 2026-08-26</t>
  </si>
  <si>
    <t>fabian faul</t>
  </si>
  <si>
    <t>fabian</t>
  </si>
  <si>
    <t>faul</t>
  </si>
  <si>
    <t>fabian.faul@nxp.com</t>
  </si>
  <si>
    <t>4Q9648</t>
  </si>
  <si>
    <t>Sent to fabian.faul@nxp.com on 2026-08-26</t>
  </si>
  <si>
    <t>Fabian Oberndorfer</t>
  </si>
  <si>
    <t>Oberndorfer</t>
  </si>
  <si>
    <t>fabian.oberndorfer@supplyz.eu</t>
  </si>
  <si>
    <t>R2NZNI</t>
  </si>
  <si>
    <t>Sent to fabian.oberndorfer@supplyz.eu on 2026-08-26</t>
  </si>
  <si>
    <t>Fabian König</t>
  </si>
  <si>
    <t>König</t>
  </si>
  <si>
    <t>fabian@pt1.vc</t>
  </si>
  <si>
    <t>PropTech1 Ventures</t>
  </si>
  <si>
    <t>I692F2</t>
  </si>
  <si>
    <t>Sent to fabian@pt1.vc on 2026-08-26</t>
  </si>
  <si>
    <t>Fabienne van der Klugt-Gram</t>
  </si>
  <si>
    <t>Fabienne</t>
  </si>
  <si>
    <t>van der Klugt-Gram</t>
  </si>
  <si>
    <t>fabienne@hortiheroes.com</t>
  </si>
  <si>
    <t>hortiheroes</t>
  </si>
  <si>
    <t>8AQD2K</t>
  </si>
  <si>
    <t>Sent to fabienne@hortiheroes.com on 2026-08-26</t>
  </si>
  <si>
    <t>Fabiola Polli</t>
  </si>
  <si>
    <t>Fabiola</t>
  </si>
  <si>
    <t>Polli</t>
  </si>
  <si>
    <t>fabiola.polli@gmail.com</t>
  </si>
  <si>
    <t>NI3F34</t>
  </si>
  <si>
    <t>Sent to fabiola.polli@gmail.com on 2026-08-26</t>
  </si>
  <si>
    <t>Faizel Ghazi</t>
  </si>
  <si>
    <t>Faizel</t>
  </si>
  <si>
    <t>Ghazi</t>
  </si>
  <si>
    <t>faizel@ualise.com</t>
  </si>
  <si>
    <t>ZSMXUJ</t>
  </si>
  <si>
    <t>Sent to faizel@ualise.com on 2026-08-26</t>
  </si>
  <si>
    <t>Felix Wassmann</t>
  </si>
  <si>
    <t>Felix</t>
  </si>
  <si>
    <t>Wassmann</t>
  </si>
  <si>
    <t>felix.wassmann@resoniks.com</t>
  </si>
  <si>
    <t>RESONIKS (SUPPLYZ)</t>
  </si>
  <si>
    <t>J6OL5C</t>
  </si>
  <si>
    <t>Sent to felix.wassmann@resoniks.com on 2026-08-26</t>
  </si>
  <si>
    <t>Femke Verdegaal</t>
  </si>
  <si>
    <t>Femke</t>
  </si>
  <si>
    <t>Verdegaal</t>
  </si>
  <si>
    <t>f.m.verdegaal@tudelft.nl</t>
  </si>
  <si>
    <t>O38HHS</t>
  </si>
  <si>
    <t>Sent to f.m.verdegaal@tudelft.nl on 2026-08-26</t>
  </si>
  <si>
    <t>Femke Brenninkmeijer</t>
  </si>
  <si>
    <t>Brenninkmeijer</t>
  </si>
  <si>
    <t>femke.brenninkmeijer@nprc.nl</t>
  </si>
  <si>
    <t>nprc</t>
  </si>
  <si>
    <t>2PDP6P</t>
  </si>
  <si>
    <t>Sent to femke.brenninkmeijer@nprc.nl on 2026-08-26</t>
  </si>
  <si>
    <t>Femke Markus</t>
  </si>
  <si>
    <t>Markus</t>
  </si>
  <si>
    <t>femke.markus@spring-associates.com</t>
  </si>
  <si>
    <t>spring-associates</t>
  </si>
  <si>
    <t>VB6JRE</t>
  </si>
  <si>
    <t>Sent to femke.markus@spring-associates.com on 2026-08-26</t>
  </si>
  <si>
    <t>Femke Delissen</t>
  </si>
  <si>
    <t>Delissen</t>
  </si>
  <si>
    <t>femke@pava.ai</t>
  </si>
  <si>
    <t>5V3LAH</t>
  </si>
  <si>
    <t>Sent to femke@pava.ai on 2026-08-26</t>
  </si>
  <si>
    <t>Ferdinand Grapperhaus</t>
  </si>
  <si>
    <t>Ferdinand</t>
  </si>
  <si>
    <t>Grapperhaus</t>
  </si>
  <si>
    <t>f.grapperhaus@next-sense.com</t>
  </si>
  <si>
    <t>PhySee (Powerwindow)</t>
  </si>
  <si>
    <t>DURQOZ</t>
  </si>
  <si>
    <t>Sent to f.grapperhaus@next-sense.com on 2026-08-26</t>
  </si>
  <si>
    <t>Ferrie Forster</t>
  </si>
  <si>
    <t>Ferrie</t>
  </si>
  <si>
    <t>Forster</t>
  </si>
  <si>
    <t>ferrie.forster@economicboardzuidholland.nl</t>
  </si>
  <si>
    <t>VQFBSB</t>
  </si>
  <si>
    <t>Sent to ferrie.forster@economicboardzuidholland.nl on 2026-08-26</t>
  </si>
  <si>
    <t>Ferrie Förster</t>
  </si>
  <si>
    <t>Förster</t>
  </si>
  <si>
    <t>ferrie.forster@innovationquarter.nl</t>
  </si>
  <si>
    <t>59G5LD</t>
  </si>
  <si>
    <t>Sent to ferrie.forster@innovationquarter.nl on 2026-08-26</t>
  </si>
  <si>
    <t>Ferry Tillekens</t>
  </si>
  <si>
    <t>Ferry</t>
  </si>
  <si>
    <t>Tillekens</t>
  </si>
  <si>
    <t>ferry.tillekens@denhaag.nl</t>
  </si>
  <si>
    <t>4W9YBQ</t>
  </si>
  <si>
    <t>Sent to ferry.tillekens@denhaag.nl on 2026-08-26</t>
  </si>
  <si>
    <t>Fiebke Opdemacks</t>
  </si>
  <si>
    <t>Fiebke</t>
  </si>
  <si>
    <t>Opdemacks</t>
  </si>
  <si>
    <t>fiebke.opdemacks@novuqare.nl</t>
  </si>
  <si>
    <t>Novuqare Pelvic Health (Maxam Medical)</t>
  </si>
  <si>
    <t>JT48HG</t>
  </si>
  <si>
    <t>Sent to fiebke.opdemacks@novuqare.nl on 2026-08-26</t>
  </si>
  <si>
    <t>Flip Van Haren</t>
  </si>
  <si>
    <t>Flip</t>
  </si>
  <si>
    <t>Van Haren</t>
  </si>
  <si>
    <t>flip@shareworks.nl</t>
  </si>
  <si>
    <t>Projectcampus (Shareworks)</t>
  </si>
  <si>
    <t>MVEXHW</t>
  </si>
  <si>
    <t>Sent to flip@shareworks.nl on 2026-08-26</t>
  </si>
  <si>
    <t>Fliz</t>
  </si>
  <si>
    <t>filiz@tvilight.com</t>
  </si>
  <si>
    <t>ZR6UE1</t>
  </si>
  <si>
    <t>Sent to filiz@tvilight.com on 2026-08-26</t>
  </si>
  <si>
    <t>Flo Pattiwael</t>
  </si>
  <si>
    <t>Flo</t>
  </si>
  <si>
    <t>Pattiwael</t>
  </si>
  <si>
    <t>flo@photonventures.vc</t>
  </si>
  <si>
    <t>Photon Ventures</t>
  </si>
  <si>
    <t>6OZMTP</t>
  </si>
  <si>
    <t>Sent to flo@photonventures.vc on 2026-08-26</t>
  </si>
  <si>
    <t>Floor van Wingerden</t>
  </si>
  <si>
    <t>Floor</t>
  </si>
  <si>
    <t>van Wingerden</t>
  </si>
  <si>
    <t>f.vwingerden@perpetuum.net</t>
  </si>
  <si>
    <t>perpetuum</t>
  </si>
  <si>
    <t>OG1KLF</t>
  </si>
  <si>
    <t>Sent to f.vwingerden@perpetuum.net on 2026-08-26</t>
  </si>
  <si>
    <t>Florentine Fockema</t>
  </si>
  <si>
    <t>Florentine</t>
  </si>
  <si>
    <t>Fockema</t>
  </si>
  <si>
    <t>florentine.fockema@shiftinvest.com</t>
  </si>
  <si>
    <t>shiftinvest</t>
  </si>
  <si>
    <t>HFWB02</t>
  </si>
  <si>
    <t>Sent to florentine.fockema@shiftinvest.com on 2026-08-26</t>
  </si>
  <si>
    <t>Florian Ludwig</t>
  </si>
  <si>
    <t>Florian</t>
  </si>
  <si>
    <t>Ludwig</t>
  </si>
  <si>
    <t>fl@thujacapital.com</t>
  </si>
  <si>
    <t>thujacapital</t>
  </si>
  <si>
    <t>BVQBI2</t>
  </si>
  <si>
    <t>Sent to fl@thujacapital.com on 2026-08-26</t>
  </si>
  <si>
    <t>Florian Schneider</t>
  </si>
  <si>
    <t>florian.j.schneider@gmail.com</t>
  </si>
  <si>
    <t>XI3R79</t>
  </si>
  <si>
    <t>Sent to florian.j.schneider@gmail.com on 2026-08-26</t>
  </si>
  <si>
    <t>Florian Obst</t>
  </si>
  <si>
    <t>Obst</t>
  </si>
  <si>
    <t>florian.obst@speedinvest.com</t>
  </si>
  <si>
    <t>1I1DTG</t>
  </si>
  <si>
    <t>Sent to florian.obst@speedinvest.com on 2026-08-26</t>
  </si>
  <si>
    <t>Florian Arthur Witsenburg</t>
  </si>
  <si>
    <t>Arthur Witsenburg</t>
  </si>
  <si>
    <t>florian@tygron.com</t>
  </si>
  <si>
    <t>tygron</t>
  </si>
  <si>
    <t>UGL1RC</t>
  </si>
  <si>
    <t>Sent to florian@tygron.com on 2026-08-26</t>
  </si>
  <si>
    <t>Florijn de Graaf</t>
  </si>
  <si>
    <t>Florijn</t>
  </si>
  <si>
    <t>florijn@smarthoods.eu</t>
  </si>
  <si>
    <t>smarthoods</t>
  </si>
  <si>
    <t>DM3LP0</t>
  </si>
  <si>
    <t>Sent to florijn@smarthoods.eu on 2026-08-26</t>
  </si>
  <si>
    <t>Floris Achterberg</t>
  </si>
  <si>
    <t>Achterberg</t>
  </si>
  <si>
    <t>fachterberg@villari.nl</t>
  </si>
  <si>
    <t>2W9W0O</t>
  </si>
  <si>
    <t>Sent to fachterberg@villari.nl on 2026-08-26</t>
  </si>
  <si>
    <t>Francesca Devrient</t>
  </si>
  <si>
    <t>Francesca</t>
  </si>
  <si>
    <t>Devrient</t>
  </si>
  <si>
    <t>fdevrient@gmail.com</t>
  </si>
  <si>
    <t>XCMC7Z</t>
  </si>
  <si>
    <t>Sent to fdevrient@gmail.com on 2026-08-26</t>
  </si>
  <si>
    <t>Frank Groeneveld</t>
  </si>
  <si>
    <t>f.groenevelt@kplusv.nl</t>
  </si>
  <si>
    <t>kplusv</t>
  </si>
  <si>
    <t>19SSXA</t>
  </si>
  <si>
    <t>Sent to f.groenevelt@kplusv.nl on 2026-08-26</t>
  </si>
  <si>
    <t>Frank Schuyer</t>
  </si>
  <si>
    <t>Schuyer</t>
  </si>
  <si>
    <t>f.schuyer@outlook.com</t>
  </si>
  <si>
    <t>UC6GES</t>
  </si>
  <si>
    <t>Sent to f.schuyer@outlook.com on 2026-08-26</t>
  </si>
  <si>
    <t>Frank Anema</t>
  </si>
  <si>
    <t>Anema</t>
  </si>
  <si>
    <r>
      <rPr>
        <color rgb="FF1155CC"/>
        <u/>
      </rPr>
      <t>frankanema@gmail.com</t>
    </r>
  </si>
  <si>
    <t>sd-insights</t>
  </si>
  <si>
    <t>JNE3LM</t>
  </si>
  <si>
    <t>Sent to frankanema@gmail.com on 2026-08-26</t>
  </si>
  <si>
    <t>Frank van Os</t>
  </si>
  <si>
    <t>frankvanos1@gmail.com</t>
  </si>
  <si>
    <t>6K377I</t>
  </si>
  <si>
    <t>Sent to frankvanos1@gmail.com on 2026-08-26</t>
  </si>
  <si>
    <t>Frank Smallegange</t>
  </si>
  <si>
    <t xml:space="preserve">Frank </t>
  </si>
  <si>
    <t>Smallegange</t>
  </si>
  <si>
    <t>info@FrankSmallegange.nl</t>
  </si>
  <si>
    <t>franksmallegange</t>
  </si>
  <si>
    <t>S6X0CS</t>
  </si>
  <si>
    <t>Sent to info@FrankSmallegange.nl on 2026-08-26</t>
  </si>
  <si>
    <t>Frank-Jan Van Waveren</t>
  </si>
  <si>
    <t>Frank-Jan</t>
  </si>
  <si>
    <t>Van Waveren</t>
  </si>
  <si>
    <t>frank-jan@exo-l.com</t>
  </si>
  <si>
    <t>EXO-L</t>
  </si>
  <si>
    <t>2CG3TD</t>
  </si>
  <si>
    <t>Sent to frank-jan@exo-l.com on 2026-08-26</t>
  </si>
  <si>
    <t>Frans Bakker</t>
  </si>
  <si>
    <t>f.bakker@ploum.nl</t>
  </si>
  <si>
    <t>ploum</t>
  </si>
  <si>
    <t>VHEM1W</t>
  </si>
  <si>
    <t>Sent to f.bakker@ploum.nl on 2026-08-26</t>
  </si>
  <si>
    <t>Frans van Houten</t>
  </si>
  <si>
    <t>van Houten</t>
  </si>
  <si>
    <t>frans.a.van.houten@gmail.com</t>
  </si>
  <si>
    <t>K5YOKN</t>
  </si>
  <si>
    <t>Sent to frans.a.van.houten@gmail.com on 2026-08-26</t>
  </si>
  <si>
    <t>Frans Haafkens</t>
  </si>
  <si>
    <t>Haafkens</t>
  </si>
  <si>
    <t>frans.haafkens@i4hi.nl</t>
  </si>
  <si>
    <t>i4hi</t>
  </si>
  <si>
    <t>K5DLGF</t>
  </si>
  <si>
    <t xml:space="preserve">Couldn't make it </t>
  </si>
  <si>
    <t>Frans Duijnen</t>
  </si>
  <si>
    <t>Duijnen</t>
  </si>
  <si>
    <t>f.vanduijnen@freepack.nl</t>
  </si>
  <si>
    <t>Xinas (Delight Interactive Solutions)</t>
  </si>
  <si>
    <t>843RCM</t>
  </si>
  <si>
    <t>Sent to frans@delightsolutions.com on 2026-08-26</t>
  </si>
  <si>
    <t>Frans ter Laan</t>
  </si>
  <si>
    <t>ter Laan</t>
  </si>
  <si>
    <t>terlaanfrans@gmail.com</t>
  </si>
  <si>
    <t>Mentor NEC</t>
  </si>
  <si>
    <t>4DLXD6</t>
  </si>
  <si>
    <t>Sent to terlaanfrans@gmail.com on 2026-08-26</t>
  </si>
  <si>
    <t>Frans Jan Buters</t>
  </si>
  <si>
    <t>Frans Jan</t>
  </si>
  <si>
    <t>Buters</t>
  </si>
  <si>
    <t>fjbuters@me.com</t>
  </si>
  <si>
    <t>angel</t>
  </si>
  <si>
    <t>ZW7W69</t>
  </si>
  <si>
    <t>Sent to fjbuters@me.com on 2026-08-26</t>
  </si>
  <si>
    <t>Fred Herrebout</t>
  </si>
  <si>
    <t>Fred</t>
  </si>
  <si>
    <t>Herrebout</t>
  </si>
  <si>
    <t>a.m.herrebout@tudelft.nl</t>
  </si>
  <si>
    <t>GEO0OG</t>
  </si>
  <si>
    <t>Sent to a.m.herrebout@tudelft.nl on 2026-08-26</t>
  </si>
  <si>
    <t>Fred van Beuningen</t>
  </si>
  <si>
    <t>van Beuningen</t>
  </si>
  <si>
    <t>fbeuningen@chrysalix.com</t>
  </si>
  <si>
    <t>GH1S9O</t>
  </si>
  <si>
    <t>Sent to fbeuningen@chrysalix.com on 2026-08-26</t>
  </si>
  <si>
    <t>fred@aqysta.com</t>
  </si>
  <si>
    <t>Aqysta</t>
  </si>
  <si>
    <t>N8R9F1</t>
  </si>
  <si>
    <t>Sent to fred@aqysta.com on 2026-08-26</t>
  </si>
  <si>
    <t>Frederic Petrignani</t>
  </si>
  <si>
    <t>Frederic</t>
  </si>
  <si>
    <t>Petrignani</t>
  </si>
  <si>
    <r>
      <rPr>
        <color rgb="FF1155CC"/>
        <sz val="11.0"/>
        <u/>
      </rPr>
      <t>frederic.petrignani@gmail.com</t>
    </r>
  </si>
  <si>
    <t>4SDZ31</t>
  </si>
  <si>
    <t>Sent to frederic.petrignani@gmail.com on 2026-08-26</t>
  </si>
  <si>
    <t>Frederik Hogenbosch</t>
  </si>
  <si>
    <t>Hogenbosch</t>
  </si>
  <si>
    <t>frederik@shoresystems.nl</t>
  </si>
  <si>
    <t>shoresystems</t>
  </si>
  <si>
    <t>F1IXEQ</t>
  </si>
  <si>
    <t>Sent to frederik@shoresystems.nl on 2026-08-26</t>
  </si>
  <si>
    <t>Freek Zindel</t>
  </si>
  <si>
    <t>Zindel</t>
  </si>
  <si>
    <t>freek@aanmelder.nl</t>
  </si>
  <si>
    <t>aanmelder</t>
  </si>
  <si>
    <t>I5MJ3X</t>
  </si>
  <si>
    <t>Sent to freek@aanmelder.nl on 2026-08-26</t>
  </si>
  <si>
    <t>Friso Jiskoot</t>
  </si>
  <si>
    <t>Friso</t>
  </si>
  <si>
    <t>Jiskoot</t>
  </si>
  <si>
    <t>jiskoot@investion.net</t>
  </si>
  <si>
    <t>Investion</t>
  </si>
  <si>
    <t>XZFMN0</t>
  </si>
  <si>
    <t>Sent to jiskoot@investion.net on 2026-08-26</t>
  </si>
  <si>
    <t>Frits Heukers</t>
  </si>
  <si>
    <t>Frits</t>
  </si>
  <si>
    <t>Heukers</t>
  </si>
  <si>
    <t>ofhc.heukers@mindef.nl</t>
  </si>
  <si>
    <t>TYR8IM</t>
  </si>
  <si>
    <t>Sent to ofhc.heukers@mindef.nl on 2026-08-26</t>
  </si>
  <si>
    <t>Gandert Van Raemdonck</t>
  </si>
  <si>
    <t>Gandert</t>
  </si>
  <si>
    <t>Van Raemdonck</t>
  </si>
  <si>
    <t>gandert.vanraemdonck@gmail.com</t>
  </si>
  <si>
    <t>684C7V</t>
  </si>
  <si>
    <t>Sent to gandert.vanraemdonck@gmail.com on 2026-08-26</t>
  </si>
  <si>
    <t>Gareth Wakeling</t>
  </si>
  <si>
    <t>Gareth</t>
  </si>
  <si>
    <t>Wakeling</t>
  </si>
  <si>
    <t>g.m.wakeling@tudelft.nl</t>
  </si>
  <si>
    <t>SJCCGA</t>
  </si>
  <si>
    <t>Sent to g.m.wakeling@tudelft.nl on 2026-08-26</t>
  </si>
  <si>
    <t>Gaurav Genani</t>
  </si>
  <si>
    <t>Gaurav</t>
  </si>
  <si>
    <t>Genani</t>
  </si>
  <si>
    <t>g.genani@skelex.com</t>
  </si>
  <si>
    <t>SkelEx</t>
  </si>
  <si>
    <t>Z7LLBP</t>
  </si>
  <si>
    <t>Sent to g.genani@skelex.com on 2026-08-26</t>
  </si>
  <si>
    <t>Geert de Vos</t>
  </si>
  <si>
    <t>de Vos</t>
  </si>
  <si>
    <t>geert@mediadistillery.tv</t>
  </si>
  <si>
    <t>VWUFRS</t>
  </si>
  <si>
    <t>Sent to geert@mediadistillery.tv on 2026-08-26</t>
  </si>
  <si>
    <t>Geert Jan Smits</t>
  </si>
  <si>
    <t xml:space="preserve">Geert Jan </t>
  </si>
  <si>
    <t>geertjan.smits@startupscorecard.nl</t>
  </si>
  <si>
    <t>startupscorecard</t>
  </si>
  <si>
    <t>BJLD98</t>
  </si>
  <si>
    <t>Sent to geertjan.smits@startupscorecard.nl on 2026-08-26</t>
  </si>
  <si>
    <t>Geert-Jan Houben</t>
  </si>
  <si>
    <t>Geert-Jan</t>
  </si>
  <si>
    <t>Houben</t>
  </si>
  <si>
    <t>g.j.p.m.houben@tudelft.nl</t>
  </si>
  <si>
    <t>UOEW3I</t>
  </si>
  <si>
    <t>Sent to g.j.p.m.houben@tudelft.nl on 2026-08-26</t>
  </si>
  <si>
    <t>Geertjan Smits</t>
  </si>
  <si>
    <t>Geertjan</t>
  </si>
  <si>
    <t>geertjan@dutchoperatorfund.nl</t>
  </si>
  <si>
    <t>dutchoperatorfund</t>
  </si>
  <si>
    <t>MCVO17</t>
  </si>
  <si>
    <t>Sent to geertjan@dutchoperatorfund.nl on 2026-08-26</t>
  </si>
  <si>
    <t>Ger van Jeveren</t>
  </si>
  <si>
    <t>Ger</t>
  </si>
  <si>
    <t>van Jeveren</t>
  </si>
  <si>
    <t>gvanjeveren@gmail.com</t>
  </si>
  <si>
    <t>WHVKBB</t>
  </si>
  <si>
    <t>Sent to gvanjeveren@gmail.com on 2026-08-26</t>
  </si>
  <si>
    <t>Gerard van Smeden</t>
  </si>
  <si>
    <t>Gerard</t>
  </si>
  <si>
    <t>van Smeden</t>
  </si>
  <si>
    <t>g.vansmeden@tudelft.nl</t>
  </si>
  <si>
    <t>PJOSJN</t>
  </si>
  <si>
    <t>Sent to g.vansmeden@tudelft.nl on 2026-08-26</t>
  </si>
  <si>
    <t>Gerard Kool</t>
  </si>
  <si>
    <t>Kool</t>
  </si>
  <si>
    <t>gerard@oomph.industries</t>
  </si>
  <si>
    <t>Senz</t>
  </si>
  <si>
    <t>G4YZXG</t>
  </si>
  <si>
    <t>Sent to gerard@oomph.industries on 2026-08-26</t>
  </si>
  <si>
    <t>Gerard Van Swieten</t>
  </si>
  <si>
    <t>Van Swieten</t>
  </si>
  <si>
    <t>vanswieten@tenzingalpha.com</t>
  </si>
  <si>
    <t>tenzingalpha</t>
  </si>
  <si>
    <t>E73NGA</t>
  </si>
  <si>
    <t>Sent to vanswieten@tenzingalpha.com on 2026-08-26</t>
  </si>
  <si>
    <t>Gérard Brockhoff</t>
  </si>
  <si>
    <t>Gérard</t>
  </si>
  <si>
    <t>Brockhoff</t>
  </si>
  <si>
    <t>gbrockhoff@adstrat.com</t>
  </si>
  <si>
    <t>adstrat</t>
  </si>
  <si>
    <t>M8OI46</t>
  </si>
  <si>
    <t>Sent to gbrockhoff@adstrat.com on 2026-08-26</t>
  </si>
  <si>
    <t>Gerben Maarleveld</t>
  </si>
  <si>
    <t>Gerben</t>
  </si>
  <si>
    <t>Maarleveld</t>
  </si>
  <si>
    <t>g.maarleveld@moore-drv.nl</t>
  </si>
  <si>
    <t>moore-drv</t>
  </si>
  <si>
    <t>DE4C48</t>
  </si>
  <si>
    <t>Sent to g.maarleveld@moore-drv.nl on 2026-08-26</t>
  </si>
  <si>
    <t>Gerben Groothuis</t>
  </si>
  <si>
    <t>Groothuis</t>
  </si>
  <si>
    <t>gerben.groothuis@twente-airport.nl</t>
  </si>
  <si>
    <t>AELS</t>
  </si>
  <si>
    <t>Y1ISK3</t>
  </si>
  <si>
    <t>Sent to gerben.groothuis@twente-airport.nl on 2026-08-26</t>
  </si>
  <si>
    <t>Gerben Harteveld</t>
  </si>
  <si>
    <t>Harteveld</t>
  </si>
  <si>
    <t>gerben.harteveld@c-cube-international.com</t>
  </si>
  <si>
    <t>c-cube-international</t>
  </si>
  <si>
    <t>3LLRQ2</t>
  </si>
  <si>
    <t>Sent to gerben.harteveld@c-cube-international.com on 2026-08-26</t>
  </si>
  <si>
    <t>Gert Hans Berghuis</t>
  </si>
  <si>
    <t>Gert Hans</t>
  </si>
  <si>
    <t>Berghuis</t>
  </si>
  <si>
    <t>G.H.Berghuis@tudelft.nl</t>
  </si>
  <si>
    <t>Sent to G.H.Berghuis@tudelft.nl on 2026-08-26</t>
  </si>
  <si>
    <t>Gert Jan van der Hoeven</t>
  </si>
  <si>
    <t>Gert Jan</t>
  </si>
  <si>
    <t>van der Hoeven</t>
  </si>
  <si>
    <t>gj.vdhoeven@h2ep.nl</t>
  </si>
  <si>
    <t>h2ep</t>
  </si>
  <si>
    <t>VNARH1</t>
  </si>
  <si>
    <t>Sent to gj.vdhoeven@h2ep.nl on 2026-08-26</t>
  </si>
  <si>
    <t>Gert-Jan Vaessen</t>
  </si>
  <si>
    <t>Gert-Jan</t>
  </si>
  <si>
    <t>Vaessen</t>
  </si>
  <si>
    <t>gert-jan.vaessen@invest-nl.nl</t>
  </si>
  <si>
    <t>0CALSD</t>
  </si>
  <si>
    <t>Sent to gert-jan.vaessen@invest-nl.nl on 2026-08-26</t>
  </si>
  <si>
    <t>Gerwin Voorsluijs</t>
  </si>
  <si>
    <t>Voorsluijs</t>
  </si>
  <si>
    <t>g.m.voorsluijs@delftdynamics.nl</t>
  </si>
  <si>
    <t>IJ7Q68</t>
  </si>
  <si>
    <t>Sent to g.m.voorsluijs@delftdynamics.nl on 2026-08-26</t>
  </si>
  <si>
    <t>Gijs van der Hulst</t>
  </si>
  <si>
    <t>van der Hulst</t>
  </si>
  <si>
    <t>gijs@positron.vc</t>
  </si>
  <si>
    <t>positron</t>
  </si>
  <si>
    <t>EHD4OF</t>
  </si>
  <si>
    <t>Sent to gijs@positron.vc on 2026-08-26</t>
  </si>
  <si>
    <t>Gijs den Butter</t>
  </si>
  <si>
    <t>den Butter</t>
  </si>
  <si>
    <t>gijs@senseglove.com</t>
  </si>
  <si>
    <t>senseglove</t>
  </si>
  <si>
    <t>WWZZ49</t>
  </si>
  <si>
    <t>Sent to gijs@senseglove.com on 2026-08-26</t>
  </si>
  <si>
    <t>Gilbert Ruegg</t>
  </si>
  <si>
    <t>Gilbert</t>
  </si>
  <si>
    <t>Ruegg</t>
  </si>
  <si>
    <t>gilbert.ruegg@energyadvisors.nl</t>
  </si>
  <si>
    <t>AFKY0R</t>
  </si>
  <si>
    <t>Sent to gilbert.ruegg@energyadvisors.nl on 2026-08-26</t>
  </si>
  <si>
    <t>Gizem Yagiz</t>
  </si>
  <si>
    <t>Gizem</t>
  </si>
  <si>
    <t>Yagiz</t>
  </si>
  <si>
    <t>gizem@212next.fund</t>
  </si>
  <si>
    <t>KBSH4O</t>
  </si>
  <si>
    <t>Sent to gizem@212next.fund on 2026-08-26</t>
  </si>
  <si>
    <t>Graham Smith</t>
  </si>
  <si>
    <t>Graham</t>
  </si>
  <si>
    <r>
      <rPr>
        <color rgb="FF1155CC"/>
        <sz val="11.0"/>
        <u/>
      </rPr>
      <t>graham.smithwebchair@gmail.com</t>
    </r>
  </si>
  <si>
    <t>WebChair</t>
  </si>
  <si>
    <t>9YEKY8</t>
  </si>
  <si>
    <t>Sent to graham.smithwebchair@gmail.com on 2026-08-26</t>
  </si>
  <si>
    <t>Greet den holder</t>
  </si>
  <si>
    <t>Greet</t>
  </si>
  <si>
    <t>den holder</t>
  </si>
  <si>
    <t>g.denholder@minezk.nl</t>
  </si>
  <si>
    <t>minezk</t>
  </si>
  <si>
    <t>FLG0D6</t>
  </si>
  <si>
    <t>Sent to g.denholder@minezk.nl on 2026-08-26</t>
  </si>
  <si>
    <t>Greg De Temmerman</t>
  </si>
  <si>
    <t>Greg</t>
  </si>
  <si>
    <t>De Temmerman</t>
  </si>
  <si>
    <t>greg@techleap.nl</t>
  </si>
  <si>
    <t>6K4BXW</t>
  </si>
  <si>
    <t>Sent to greg@techleap.nl on 2026-08-26</t>
  </si>
  <si>
    <t>Guido Hendriks</t>
  </si>
  <si>
    <t>Guido</t>
  </si>
  <si>
    <t>guido.hendriks@gyromotics.com</t>
  </si>
  <si>
    <t>gyromotics</t>
  </si>
  <si>
    <t>1ATD7O</t>
  </si>
  <si>
    <t>Sent to guido.hendriks@gyromotics.com on 2026-08-26</t>
  </si>
  <si>
    <t>Guido Sluijsmans</t>
  </si>
  <si>
    <t>Sluijsmans</t>
  </si>
  <si>
    <t>guido@nextdriver.nl</t>
  </si>
  <si>
    <t>nextdriver</t>
  </si>
  <si>
    <t>VE1JK8</t>
  </si>
  <si>
    <t>Sent to guido@nextdriver.nl on 2026-08-26</t>
  </si>
  <si>
    <t>Guido Helmerhorst</t>
  </si>
  <si>
    <t>Helmerhorst</t>
  </si>
  <si>
    <t>guido@warpvr.com</t>
  </si>
  <si>
    <t>Warp vr</t>
  </si>
  <si>
    <t>85XN53</t>
  </si>
  <si>
    <t>Sent to guido@warpvr.com on 2026-08-26</t>
  </si>
  <si>
    <t>Guntur Sandino</t>
  </si>
  <si>
    <t>Guntur</t>
  </si>
  <si>
    <t>Sandino</t>
  </si>
  <si>
    <t>mgsandino@clevr.net</t>
  </si>
  <si>
    <t>clevr.net</t>
  </si>
  <si>
    <t>Q1RX6A</t>
  </si>
  <si>
    <t>Sent to mgsandino@clevr.net on 2026-08-26</t>
  </si>
  <si>
    <t>Guus Stevens</t>
  </si>
  <si>
    <t>g.stevens@benedictpeax.com</t>
  </si>
  <si>
    <t>8798QB</t>
  </si>
  <si>
    <t>Sent to g.stevens@benedictpeax.com on 2026-08-26</t>
  </si>
  <si>
    <t>Guus Coolegem</t>
  </si>
  <si>
    <t>Coolegem</t>
  </si>
  <si>
    <t>guus.coolegem@c-cube-international.com</t>
  </si>
  <si>
    <t>I7Y3GA</t>
  </si>
  <si>
    <t>Sent to guus.coolegem@c-cube-international.com on 2026-08-26</t>
  </si>
  <si>
    <t>Gwen van Overbeke</t>
  </si>
  <si>
    <t>Gwen</t>
  </si>
  <si>
    <t>van Overbeke</t>
  </si>
  <si>
    <t>gvoverbeke@delft.nl</t>
  </si>
  <si>
    <t>83C480</t>
  </si>
  <si>
    <t>Sent to gvoverbeke@delft.nl on 2026-08-26</t>
  </si>
  <si>
    <t>Hajo de Boer</t>
  </si>
  <si>
    <t>Hajo</t>
  </si>
  <si>
    <t>de Boer</t>
  </si>
  <si>
    <t>hajodeboer@ziggo.nl</t>
  </si>
  <si>
    <t>changekitchen</t>
  </si>
  <si>
    <t>0LP7CI</t>
  </si>
  <si>
    <t>Sent to hajodeboer@ziggo.nl on 2026-08-26</t>
  </si>
  <si>
    <t>Hanneke Franken</t>
  </si>
  <si>
    <t>Hanneke</t>
  </si>
  <si>
    <t>Franken</t>
  </si>
  <si>
    <t>hanneke.franken@fme.nl</t>
  </si>
  <si>
    <t>SDAVEC</t>
  </si>
  <si>
    <t>Sent to hanneke.franken@fme.nl on 2026-08-26</t>
  </si>
  <si>
    <t>Hanneke vanZanten</t>
  </si>
  <si>
    <t>vanZanten</t>
  </si>
  <si>
    <t>j.van.zanten@rocmondriaan.nl</t>
  </si>
  <si>
    <t>Zanten</t>
  </si>
  <si>
    <t>K9R0U0</t>
  </si>
  <si>
    <t>Sent to j.van.zanten@rocmondriaan.nl on 2026-08-26</t>
  </si>
  <si>
    <t>Hans Antonissen</t>
  </si>
  <si>
    <t>Antonissen</t>
  </si>
  <si>
    <t>hans.antonissen@demcon.com</t>
  </si>
  <si>
    <t>DEMCON</t>
  </si>
  <si>
    <t>DB7AGM</t>
  </si>
  <si>
    <t>Sent to hans.antonissen@demcon.com on 2026-08-26</t>
  </si>
  <si>
    <t>Hans Dreijklufft</t>
  </si>
  <si>
    <t>Dreijklufft</t>
  </si>
  <si>
    <t>hans.dreijklufft@innovationquarter.nl</t>
  </si>
  <si>
    <t>Innovationquarter</t>
  </si>
  <si>
    <t>43SCGR</t>
  </si>
  <si>
    <t>Sent to hans.dreijklufft@innovationquarter.nl on 2026-08-26</t>
  </si>
  <si>
    <t>Hans Koene</t>
  </si>
  <si>
    <t>hans.koene@sealedcycle.nl</t>
  </si>
  <si>
    <t>sealedcycle</t>
  </si>
  <si>
    <t>TX6K28</t>
  </si>
  <si>
    <t>Sent to hans.koene@sealedcycle.nl on 2026-08-26</t>
  </si>
  <si>
    <t>Hans Quivooij</t>
  </si>
  <si>
    <t>Quivooij</t>
  </si>
  <si>
    <r>
      <rPr>
        <color rgb="FF1155CC"/>
        <u/>
      </rPr>
      <t>hans.quivooij@damen.com</t>
    </r>
  </si>
  <si>
    <t>mentor/expert</t>
  </si>
  <si>
    <t>BQ4PL9</t>
  </si>
  <si>
    <t>Sent to hans.quivooij@damen.com on 2026-08-26</t>
  </si>
  <si>
    <t>Hans Scheffer</t>
  </si>
  <si>
    <t>Scheffer</t>
  </si>
  <si>
    <t>hans@helloprint.com</t>
  </si>
  <si>
    <t>helloprint</t>
  </si>
  <si>
    <t>PM3K9F</t>
  </si>
  <si>
    <t>Sent to hans@helloprint.com on 2026-08-26</t>
  </si>
  <si>
    <t>Hans Brouwer</t>
  </si>
  <si>
    <t>hbrouwer@inchip.nl</t>
  </si>
  <si>
    <t>inchip</t>
  </si>
  <si>
    <t>WKXD5P</t>
  </si>
  <si>
    <t>Sent to hbrouwer@inchip.nl on 2026-08-26</t>
  </si>
  <si>
    <t>Hans Wamelink</t>
  </si>
  <si>
    <t>Wamelink</t>
  </si>
  <si>
    <t>j.w.f.wamelink@tudelft.nl</t>
  </si>
  <si>
    <t>OTN6Z2</t>
  </si>
  <si>
    <t>Sent to j.w.f.wamelink@tudelft.nl on 2026-08-26</t>
  </si>
  <si>
    <t>Hans Boumans</t>
  </si>
  <si>
    <t xml:space="preserve">Hans </t>
  </si>
  <si>
    <t>Boumans</t>
  </si>
  <si>
    <t>hans.boumans@tno.nl</t>
  </si>
  <si>
    <t>T406J5</t>
  </si>
  <si>
    <t>Sent to hans.boumans@tno.nl on 2026-08-26</t>
  </si>
  <si>
    <t>Harm de Vries</t>
  </si>
  <si>
    <t>Harm</t>
  </si>
  <si>
    <t>hv@innovationindustries.com</t>
  </si>
  <si>
    <t>PXA3BP</t>
  </si>
  <si>
    <t>Sent to hv@innovationindustries.com on 2026-08-26</t>
  </si>
  <si>
    <t>Harmen Jonker</t>
  </si>
  <si>
    <t>Harmen</t>
  </si>
  <si>
    <t>harmen.jonker@whiffle.nl</t>
  </si>
  <si>
    <t>whiffle</t>
  </si>
  <si>
    <t>UAHJDR</t>
  </si>
  <si>
    <t>Sent to harmen.jonker@whiffle.nl on 2026-08-26</t>
  </si>
  <si>
    <t>Harry de Vries</t>
  </si>
  <si>
    <t>h.devries@acoustic-insight.com</t>
  </si>
  <si>
    <t>acoustic-insight</t>
  </si>
  <si>
    <t>0RQF0Y</t>
  </si>
  <si>
    <t>Sent to h.devries@acoustic-insight.com on 2026-08-26</t>
  </si>
  <si>
    <t>Harry Wientjens</t>
  </si>
  <si>
    <t>Wientjens</t>
  </si>
  <si>
    <t>harry.wientjens@rabobank.nl</t>
  </si>
  <si>
    <t>V4HBKO</t>
  </si>
  <si>
    <t>Sent to harry.wientjens@rabobank.nl on 2026-08-26</t>
  </si>
  <si>
    <t>Hayley Every</t>
  </si>
  <si>
    <t>Hayley</t>
  </si>
  <si>
    <t>Every</t>
  </si>
  <si>
    <t>hayley.every@eithealth.eu</t>
  </si>
  <si>
    <t>eithealth</t>
  </si>
  <si>
    <t>QCCKFL</t>
  </si>
  <si>
    <t>Sent to hayley.every@eithealth.eu on 2026-08-26</t>
  </si>
  <si>
    <t>Hein Koelman</t>
  </si>
  <si>
    <t>Koelman</t>
  </si>
  <si>
    <t>h.w.j.m.koelman@tudelft.nl</t>
  </si>
  <si>
    <t>5UCH13</t>
  </si>
  <si>
    <t>Sent to h.w.j.m.koelman@tudelft.nl on 2026-08-26</t>
  </si>
  <si>
    <t>Hein Olthof</t>
  </si>
  <si>
    <t>Olthof</t>
  </si>
  <si>
    <t>h.w.olthof@t-minus.nl</t>
  </si>
  <si>
    <t>D46D31</t>
  </si>
  <si>
    <t>Sent to h.w.olthof@t-minus.nl on 2026-08-26</t>
  </si>
  <si>
    <t>Hein de Jong</t>
  </si>
  <si>
    <t>hein@ten.investments</t>
  </si>
  <si>
    <t>ten.investments</t>
  </si>
  <si>
    <t>DM1QX9</t>
  </si>
  <si>
    <t>Sent to hein@ten.investments on 2026-08-26</t>
  </si>
  <si>
    <t>Heleen Geerts</t>
  </si>
  <si>
    <t>Heleen</t>
  </si>
  <si>
    <t>Geerts</t>
  </si>
  <si>
    <t>h.geerts@hhs.nl</t>
  </si>
  <si>
    <t>DQJL3Q</t>
  </si>
  <si>
    <t>Sent to h.geerts@hhs.nl on 2026-08-26</t>
  </si>
  <si>
    <t>Heleen Van Oord</t>
  </si>
  <si>
    <t>Van Oord</t>
  </si>
  <si>
    <t>heleen@duravanoord.com</t>
  </si>
  <si>
    <t>duravanoord; heleen</t>
  </si>
  <si>
    <t>B7KC3Y</t>
  </si>
  <si>
    <t>Sent to heleen@duravanoord.com on 2026-08-26</t>
  </si>
  <si>
    <t>Helena Pluimes</t>
  </si>
  <si>
    <t>Helena</t>
  </si>
  <si>
    <t>Pluimes</t>
  </si>
  <si>
    <t>helena.pluimes@tfhc.nl</t>
  </si>
  <si>
    <t>tfhc</t>
  </si>
  <si>
    <t>5R87A2</t>
  </si>
  <si>
    <t>Sent to helena.pluimes@tfhc.nl on 2026-08-26</t>
  </si>
  <si>
    <t>Hélène van Rijn</t>
  </si>
  <si>
    <t>Hélène</t>
  </si>
  <si>
    <t>h.vanrijn@mrdh.nl</t>
  </si>
  <si>
    <t>T5ENI6</t>
  </si>
  <si>
    <t>Sent to h.vanrijn@mrdh.nl on 2026-08-26</t>
  </si>
  <si>
    <t>Hélène Toet</t>
  </si>
  <si>
    <t>Toet</t>
  </si>
  <si>
    <t>helene.toet@denhaag.nl</t>
  </si>
  <si>
    <t>HCKO1X</t>
  </si>
  <si>
    <t>Sent to helene.toet@denhaag.nl on 2026-08-26</t>
  </si>
  <si>
    <t>Hendrik KplusV</t>
  </si>
  <si>
    <t>KplusV</t>
  </si>
  <si>
    <t>vandermeulen@kplusv.nl</t>
  </si>
  <si>
    <t>RWUDYW</t>
  </si>
  <si>
    <t>Sent to vandermeulen@kplusv.nl on 2026-08-26</t>
  </si>
  <si>
    <t>Henk Stadhouders</t>
  </si>
  <si>
    <t>Stadhouders</t>
  </si>
  <si>
    <t>henk.stadhouders@vdletg.com</t>
  </si>
  <si>
    <t>VDL</t>
  </si>
  <si>
    <t>SIJPS4</t>
  </si>
  <si>
    <t>Sent to henk.stadhouders@vdletg.com on 2026-08-26</t>
  </si>
  <si>
    <t>Henk Rusting</t>
  </si>
  <si>
    <t xml:space="preserve">Henk </t>
  </si>
  <si>
    <t>Rusting</t>
  </si>
  <si>
    <t>henk.rusting@lignitec.nl</t>
  </si>
  <si>
    <t>lignitec</t>
  </si>
  <si>
    <t>QOTQJL</t>
  </si>
  <si>
    <t>Sent to henk.rusting@lignitec.nl on 2026-08-26</t>
  </si>
  <si>
    <t>Hennie Geelink</t>
  </si>
  <si>
    <t>Hennie</t>
  </si>
  <si>
    <t>Geelink</t>
  </si>
  <si>
    <t>hennie@vertepac.com</t>
  </si>
  <si>
    <t>vertepac</t>
  </si>
  <si>
    <t>1CO5HB</t>
  </si>
  <si>
    <t>Sent to hennie@vertepac.com on 2026-08-26</t>
  </si>
  <si>
    <t>Henri Werij</t>
  </si>
  <si>
    <t>Henri</t>
  </si>
  <si>
    <t>Werij</t>
  </si>
  <si>
    <t>h.g.c.werij@tudelft.nl</t>
  </si>
  <si>
    <t>79FQG0</t>
  </si>
  <si>
    <t>Sent to h.g.c.werij@tudelft.nl on 2026-08-26</t>
  </si>
  <si>
    <t>henri@tvilight.com</t>
  </si>
  <si>
    <t>RAGUYP</t>
  </si>
  <si>
    <t>Sent to henri@tvilight.com on 2026-08-26</t>
  </si>
  <si>
    <t>Herman Russchenberg</t>
  </si>
  <si>
    <t>Herman</t>
  </si>
  <si>
    <t>Russchenberg</t>
  </si>
  <si>
    <t>h.w.j.russchenberg@tudelft.nl</t>
  </si>
  <si>
    <t>BOP5JX</t>
  </si>
  <si>
    <t>Sent to h.w.j.russchenberg@tudelft.nl on 2026-08-26</t>
  </si>
  <si>
    <t>Herman Hintzen</t>
  </si>
  <si>
    <t>Hintzen</t>
  </si>
  <si>
    <t>herman@henq.nl</t>
  </si>
  <si>
    <t>GURYXF</t>
  </si>
  <si>
    <t>Sent to herman@henq.nl on 2026-08-26</t>
  </si>
  <si>
    <t>Herman van Bolhuis</t>
  </si>
  <si>
    <t>van Bolhuis</t>
  </si>
  <si>
    <t>Herman@vanbolhuis.eu</t>
  </si>
  <si>
    <t>LFEOZ7</t>
  </si>
  <si>
    <t>Sent to Herman@vanbolhuis.eu on 2026-08-26</t>
  </si>
  <si>
    <t>Herry Bruins</t>
  </si>
  <si>
    <t>Herry</t>
  </si>
  <si>
    <t>Bruins</t>
  </si>
  <si>
    <t>herry@technetdelft.nl</t>
  </si>
  <si>
    <t>technetdelft</t>
  </si>
  <si>
    <t>GE9TLP</t>
  </si>
  <si>
    <t>Sent to herry@technetdelft.nl on 2026-08-26</t>
  </si>
  <si>
    <t>Hessel Jongebreur</t>
  </si>
  <si>
    <t>Jongebreur</t>
  </si>
  <si>
    <t>hessel.jongebreur@gmail.com</t>
  </si>
  <si>
    <t>G3RIMM</t>
  </si>
  <si>
    <t>Sent to hessel.jongebreur@gmail.com on 2026-08-26</t>
  </si>
  <si>
    <t>Hijmen Twillert</t>
  </si>
  <si>
    <t>Hijmen</t>
  </si>
  <si>
    <t>Twillert</t>
  </si>
  <si>
    <t>hj.vantwillert@rotterdam.nl</t>
  </si>
  <si>
    <t>X46ES9</t>
  </si>
  <si>
    <t>Sent to hj.vantwillert@rotterdam.nl on 2026-08-26</t>
  </si>
  <si>
    <t>Hitaf Ghazal</t>
  </si>
  <si>
    <t>Hitaf</t>
  </si>
  <si>
    <t>Ghazal</t>
  </si>
  <si>
    <t>hitaf@partnerswithsun.com</t>
  </si>
  <si>
    <t>Partners with Sun</t>
  </si>
  <si>
    <t>NJUGSK</t>
  </si>
  <si>
    <t>Sent to hitaf@partnerswithsun.com on 2026-08-26</t>
  </si>
  <si>
    <t>Hjalmar Raemdonck</t>
  </si>
  <si>
    <t>Hjalmar</t>
  </si>
  <si>
    <t>Raemdonck</t>
  </si>
  <si>
    <t>hjalmar.vanraemdonck@gmail.com</t>
  </si>
  <si>
    <t>WUHV0K</t>
  </si>
  <si>
    <t>Sent to hjalmar.vanraemdonck@gmail.com on 2026-08-26</t>
  </si>
  <si>
    <t>Hossein Kamkar</t>
  </si>
  <si>
    <t>Hossein</t>
  </si>
  <si>
    <t>Kamkar</t>
  </si>
  <si>
    <t>kamkar@silicoGene.com</t>
  </si>
  <si>
    <t>SilicoGene</t>
  </si>
  <si>
    <t>J5JMNC</t>
  </si>
  <si>
    <t>Sent to kamkar@silicoGene.com on 2026-08-26</t>
  </si>
  <si>
    <t>Hugo Romer</t>
  </si>
  <si>
    <t>Romer</t>
  </si>
  <si>
    <t>h.romer@memsys.nl</t>
  </si>
  <si>
    <t>memsys</t>
  </si>
  <si>
    <t>EVK4DI</t>
  </si>
  <si>
    <t>Sent to h.romer@memsys.nl on 2026-08-26</t>
  </si>
  <si>
    <t>Huub Douma</t>
  </si>
  <si>
    <t>Huub</t>
  </si>
  <si>
    <t>Douma</t>
  </si>
  <si>
    <t>huub.douma@quantairra.nl</t>
  </si>
  <si>
    <t>Quantairra Research and Development Services B.V.</t>
  </si>
  <si>
    <t>WLL2WH</t>
  </si>
  <si>
    <t>Sent to huub.douma@quantairra.nl on 2026-08-26</t>
  </si>
  <si>
    <t>Ian Wachters</t>
  </si>
  <si>
    <t xml:space="preserve">Ian </t>
  </si>
  <si>
    <t xml:space="preserve">Wachters </t>
  </si>
  <si>
    <t>ian.wachters@runbox.com</t>
  </si>
  <si>
    <t>rosemanlabs</t>
  </si>
  <si>
    <t>9LEEN5</t>
  </si>
  <si>
    <t>Ignacio Beytia</t>
  </si>
  <si>
    <t>Ignacio</t>
  </si>
  <si>
    <t>Beytia</t>
  </si>
  <si>
    <t>ignacio.bonetto.beytia@damen.com</t>
  </si>
  <si>
    <t>738NOD</t>
  </si>
  <si>
    <t>Sent to ignacio.bonetto.beytia@damen.com on 2026-08-26</t>
  </si>
  <si>
    <t>Ijsbrand de Lange</t>
  </si>
  <si>
    <t>Ijsbrand</t>
  </si>
  <si>
    <t>de Lange</t>
  </si>
  <si>
    <t>ijsbrand@stil-technology.com</t>
  </si>
  <si>
    <t>STIL</t>
  </si>
  <si>
    <t>F0YYHS</t>
  </si>
  <si>
    <t>Sent to ijsbrand@stil-technology.com on 2026-08-26</t>
  </si>
  <si>
    <t>Ilja Ootegem</t>
  </si>
  <si>
    <t>Ilja</t>
  </si>
  <si>
    <t>Ootegem</t>
  </si>
  <si>
    <t>isd.van.ootegem@pzh.nl</t>
  </si>
  <si>
    <t>X37XR6</t>
  </si>
  <si>
    <t>Sent to isd.van.ootegem@pzh.nl on 2026-08-26</t>
  </si>
  <si>
    <t>Ilmatar Lutje Schipholt</t>
  </si>
  <si>
    <t>Ilmatar</t>
  </si>
  <si>
    <t>Lutje Schipholt</t>
  </si>
  <si>
    <t>ilmatar.lutjeschipholt@innovatiefondsnoordholland.nl</t>
  </si>
  <si>
    <t>INH</t>
  </si>
  <si>
    <t>0PJR77</t>
  </si>
  <si>
    <t>Sent to ilmatar.lutjeschipholt@innovatiefondsnoordholland.nl on 2026-08-26</t>
  </si>
  <si>
    <t>Ilse Gulsen-Stroo</t>
  </si>
  <si>
    <t>Gulsen-Stroo</t>
  </si>
  <si>
    <t>ilse.gulsen-stroo@siemens.com</t>
  </si>
  <si>
    <t>V7GMDK</t>
  </si>
  <si>
    <t>Sent to ilse.gulsen-stroo@siemens.com on 2026-08-26</t>
  </si>
  <si>
    <t>Immanuel Nijssen</t>
  </si>
  <si>
    <t>Immanuel</t>
  </si>
  <si>
    <t>Nijssen</t>
  </si>
  <si>
    <t>immanuel.nijssen@eur.nl</t>
  </si>
  <si>
    <t>DZIZ8T</t>
  </si>
  <si>
    <t>Sent to immanuel.nijssen@eur.nl on 2026-08-26</t>
  </si>
  <si>
    <t>Imro Duysker</t>
  </si>
  <si>
    <t>Imro</t>
  </si>
  <si>
    <t>Duysker</t>
  </si>
  <si>
    <t>ie.duysker@mindef.nl</t>
  </si>
  <si>
    <t>6KV588</t>
  </si>
  <si>
    <t>Sent to ie.duysker@mindef.nl on 2026-08-26</t>
  </si>
  <si>
    <t>Ing Westendorp</t>
  </si>
  <si>
    <t>Ing</t>
  </si>
  <si>
    <t>Westendorp</t>
  </si>
  <si>
    <t>katrien.westendorp@rvo.nl</t>
  </si>
  <si>
    <t>AKLANY</t>
  </si>
  <si>
    <t>Sent to katrien.westendorp@rvo.nl on 2026-08-26</t>
  </si>
  <si>
    <t>Ingrid Thijssen</t>
  </si>
  <si>
    <t>Ingrid</t>
  </si>
  <si>
    <t>Thijssen</t>
  </si>
  <si>
    <t>i.d.thijssen@tudelft.nl</t>
  </si>
  <si>
    <t>UT411Q</t>
  </si>
  <si>
    <t>Sent to i.d.thijssen@tudelft.nl on 2026-08-26</t>
  </si>
  <si>
    <t>Ingrid van Wees</t>
  </si>
  <si>
    <t>van Wees</t>
  </si>
  <si>
    <t>ivwbiz@gmail.com</t>
  </si>
  <si>
    <t>FOIJZG</t>
  </si>
  <si>
    <t>can't come</t>
  </si>
  <si>
    <t>Irek Roslon</t>
  </si>
  <si>
    <t>Irek</t>
  </si>
  <si>
    <t>Roslon</t>
  </si>
  <si>
    <t>irek@soundcell.nl</t>
  </si>
  <si>
    <t>CG3FJC</t>
  </si>
  <si>
    <t>Sent to irek@soundcell.nl on 2026-08-26</t>
  </si>
  <si>
    <t>Irene Samwel</t>
  </si>
  <si>
    <t>Irene</t>
  </si>
  <si>
    <t>Samwel</t>
  </si>
  <si>
    <t>irene.samwel@denhaag.nl</t>
  </si>
  <si>
    <t>L0NBBI</t>
  </si>
  <si>
    <t>Sent to irene.samwel@denhaag.nl on 2026-08-26</t>
  </si>
  <si>
    <t>Iris Bosma</t>
  </si>
  <si>
    <t>Bosma</t>
  </si>
  <si>
    <t>i.bosma@visible-investments.nl</t>
  </si>
  <si>
    <t>FD9ZYF</t>
  </si>
  <si>
    <t>Sent to i.bosma@visible-investments.nl on 2026-08-26</t>
  </si>
  <si>
    <t>Iris Bergshoeff-Klingeman</t>
  </si>
  <si>
    <t>Bergshoeff-Klingeman</t>
  </si>
  <si>
    <t>iris@platformzero.co</t>
  </si>
  <si>
    <t>ENBKA1</t>
  </si>
  <si>
    <t>Sent to iris@platformzero.co on 2026-08-26</t>
  </si>
  <si>
    <t>Iris ten Have</t>
  </si>
  <si>
    <t>iris@visionariesclub.vc</t>
  </si>
  <si>
    <t>visionariesclub</t>
  </si>
  <si>
    <t>2T52OK</t>
  </si>
  <si>
    <t>Sent to iris@visionariesclub.vc on 2026-08-26</t>
  </si>
  <si>
    <t>Iryna Pakhomova</t>
  </si>
  <si>
    <t>Iryna</t>
  </si>
  <si>
    <t>Pakhomova</t>
  </si>
  <si>
    <t>iryna@nurtio.com</t>
  </si>
  <si>
    <t>nurtio</t>
  </si>
  <si>
    <t>C1X450</t>
  </si>
  <si>
    <t>Sent to iryna@nurtio.com on 2026-08-26</t>
  </si>
  <si>
    <t>Isabel Zhang</t>
  </si>
  <si>
    <t>Zhang</t>
  </si>
  <si>
    <t>isabel@hcvc.co</t>
  </si>
  <si>
    <t>hcvc.co</t>
  </si>
  <si>
    <t>CJTQY4</t>
  </si>
  <si>
    <t>Sent to isabel@hcvc.co on 2026-08-26</t>
  </si>
  <si>
    <t>Isodro Laso</t>
  </si>
  <si>
    <t xml:space="preserve">Isodro </t>
  </si>
  <si>
    <t>Laso</t>
  </si>
  <si>
    <t>Isidro.LASO@ec.europa.eu</t>
  </si>
  <si>
    <t>Q2NFDS</t>
  </si>
  <si>
    <t>Sent to Isidro.LASO@ec.europa.eu on 2026-08-26</t>
  </si>
  <si>
    <t>Ivan Silvestrov</t>
  </si>
  <si>
    <t>Ivan</t>
  </si>
  <si>
    <t>Silvestrov</t>
  </si>
  <si>
    <t>ivan@whereatindustries.com</t>
  </si>
  <si>
    <t>whereAt Industries</t>
  </si>
  <si>
    <t>0GT6ON</t>
  </si>
  <si>
    <t>Sent to ivan@whereatindustries.com on 2026-08-26</t>
  </si>
  <si>
    <t>Ivan van der Veld</t>
  </si>
  <si>
    <t>van der Veld</t>
  </si>
  <si>
    <t>ivan@xpozer.com</t>
  </si>
  <si>
    <t>KZM9S8</t>
  </si>
  <si>
    <t>Sent to ivan@xpozer.com on 2026-08-26</t>
  </si>
  <si>
    <t>Ivan vd Veld</t>
  </si>
  <si>
    <t>vd Veld</t>
  </si>
  <si>
    <t>ivanderveld@gmail.com</t>
  </si>
  <si>
    <t>Xpozer BV</t>
  </si>
  <si>
    <t>AL9VR3</t>
  </si>
  <si>
    <t>Sent to ivanderveld@gmail.com on 2026-08-26</t>
  </si>
  <si>
    <t>Ivo Lemmens</t>
  </si>
  <si>
    <t>Lemmens</t>
  </si>
  <si>
    <t>ivo.lemmens@fdi.nl</t>
  </si>
  <si>
    <t>fdi</t>
  </si>
  <si>
    <t>5OFXAT</t>
  </si>
  <si>
    <t>Sent to ivo.lemmens@fdi.nl on 2026-08-26</t>
  </si>
  <si>
    <t>Ivo Ronner</t>
  </si>
  <si>
    <t>ivo.ronner@post.ch</t>
  </si>
  <si>
    <t>Swiss Post CVC</t>
  </si>
  <si>
    <t>IWJZY1</t>
  </si>
  <si>
    <t>Sent to ivo.ronner@post.ch on 2026-08-26</t>
  </si>
  <si>
    <t>Ivo Dusek</t>
  </si>
  <si>
    <t>Dusek</t>
  </si>
  <si>
    <t>ivo@magneto.systems</t>
  </si>
  <si>
    <t>Magneto BV</t>
  </si>
  <si>
    <t>YG36O3</t>
  </si>
  <si>
    <t>Sent to ivo@magneto.systems on 2026-08-26</t>
  </si>
  <si>
    <t>J.J. (Jan Jacob)</t>
  </si>
  <si>
    <t>J.J.</t>
  </si>
  <si>
    <t>(Jan Jacob)</t>
  </si>
  <si>
    <t>j.j.vogelaar@minezk.nl</t>
  </si>
  <si>
    <t>RRO2PF</t>
  </si>
  <si>
    <t>Sent to j.j.vogelaar@minezk.nl on 2026-08-26</t>
  </si>
  <si>
    <t>Jaap Zijlstra</t>
  </si>
  <si>
    <t>Zijlstra</t>
  </si>
  <si>
    <t>jzijlstra@lely.com</t>
  </si>
  <si>
    <t>Navus</t>
  </si>
  <si>
    <t>46G0CO</t>
  </si>
  <si>
    <t>Jacco Taal</t>
  </si>
  <si>
    <t>Jacco</t>
  </si>
  <si>
    <t>Taal</t>
  </si>
  <si>
    <t>jacco@bitnomica.com</t>
  </si>
  <si>
    <t>bitnomica</t>
  </si>
  <si>
    <t>NV8ZW1</t>
  </si>
  <si>
    <t>Sent to jacco@bitnomica.com on 2026-08-26</t>
  </si>
  <si>
    <t>Jacco Bouwman</t>
  </si>
  <si>
    <t>Bouwman</t>
  </si>
  <si>
    <t>jacco@kindow.nl</t>
  </si>
  <si>
    <t>TW1RFI</t>
  </si>
  <si>
    <t>Sent to jacco@kindow.nl on 2026-08-26</t>
  </si>
  <si>
    <t>Jack Schorsch</t>
  </si>
  <si>
    <t>Jack</t>
  </si>
  <si>
    <t>Schorsch</t>
  </si>
  <si>
    <t>j.schorsch@imsystems.nl</t>
  </si>
  <si>
    <t>IMSystems</t>
  </si>
  <si>
    <t>IZBHDL</t>
  </si>
  <si>
    <t>Sent to j.schorsch@imsystems.nl on 2026-08-26</t>
  </si>
  <si>
    <t>Jack Hayton</t>
  </si>
  <si>
    <t>Hayton</t>
  </si>
  <si>
    <t>jack@aerogriduav.com</t>
  </si>
  <si>
    <t>URFO92</t>
  </si>
  <si>
    <t>Sent to jack@aerogriduav.com on 2026-08-26</t>
  </si>
  <si>
    <t>Jackie Xu</t>
  </si>
  <si>
    <t>Jackie</t>
  </si>
  <si>
    <t>Xu</t>
  </si>
  <si>
    <t>jackie@liquidice.capital</t>
  </si>
  <si>
    <t>liquidice.capital</t>
  </si>
  <si>
    <t>UGQT5D</t>
  </si>
  <si>
    <t>Sent to jackie@liquidice.capital on 2026-08-26</t>
  </si>
  <si>
    <t>Jacob Issa</t>
  </si>
  <si>
    <t>Jacob</t>
  </si>
  <si>
    <t>Issa</t>
  </si>
  <si>
    <t>jacob.issa@oostnl.nl</t>
  </si>
  <si>
    <t>J5ZZL8</t>
  </si>
  <si>
    <t>Sent to jacob.issa@oostnl.nl on 2026-08-26</t>
  </si>
  <si>
    <t>Jacqui Kinergizer</t>
  </si>
  <si>
    <t>Jacqui</t>
  </si>
  <si>
    <t>Kinergizer</t>
  </si>
  <si>
    <t>jacqui.santbergen@kinergizer.com</t>
  </si>
  <si>
    <t>OA24QV</t>
  </si>
  <si>
    <t>Sent to jacqui.santbergen@kinergizer.com on 2026-08-26</t>
  </si>
  <si>
    <t>Jakob</t>
  </si>
  <si>
    <r>
      <rPr>
        <rFont val="Arial, Helvetica, sans-serif"/>
        <color rgb="FF1155CC"/>
        <u/>
      </rPr>
      <t>jakob@</t>
    </r>
    <r>
      <rPr>
        <rFont val="Arial, Helvetica, sans-serif"/>
        <color rgb="FF222222"/>
      </rPr>
      <t>nosuchventures.com</t>
    </r>
  </si>
  <si>
    <t>9IX8Q9</t>
  </si>
  <si>
    <t>Sent to jakob@nosuchventures.com on 2026-08-26</t>
  </si>
  <si>
    <t>Jamie Macfarlane</t>
  </si>
  <si>
    <t>Jamie</t>
  </si>
  <si>
    <t>Macfarlane</t>
  </si>
  <si>
    <t>jamie@thecreatorfund.com</t>
  </si>
  <si>
    <t>Creator Fund</t>
  </si>
  <si>
    <t>RU1P1X</t>
  </si>
  <si>
    <t>Sent to jamie@thecreatorfund.com on 2026-08-26</t>
  </si>
  <si>
    <t>Jan Bot</t>
  </si>
  <si>
    <t>Bot</t>
  </si>
  <si>
    <t>j.bot@zepp.solutions</t>
  </si>
  <si>
    <t>zepp</t>
  </si>
  <si>
    <t>9Z9B1C</t>
  </si>
  <si>
    <t>Sent to j.bot@zepp.solutions on 2026-08-26</t>
  </si>
  <si>
    <t>Jan de becker</t>
  </si>
  <si>
    <t xml:space="preserve"> de becker</t>
  </si>
  <si>
    <t>j.debecker@nwo.nl</t>
  </si>
  <si>
    <t>NWO</t>
  </si>
  <si>
    <t>4SHOVU</t>
  </si>
  <si>
    <t>Sent to j.debecker@nwo.nl on 2026-08-26</t>
  </si>
  <si>
    <t>Jan Hunik</t>
  </si>
  <si>
    <t>Hunik</t>
  </si>
  <si>
    <t>jan.hunik@unikline.nl</t>
  </si>
  <si>
    <t>unikline</t>
  </si>
  <si>
    <t>30B7J4</t>
  </si>
  <si>
    <t>Sent to jan.hunik@unikline.nl on 2026-08-26</t>
  </si>
  <si>
    <t>Jan van de Tempel</t>
  </si>
  <si>
    <t>van de Tempel</t>
  </si>
  <si>
    <t>jan.vandertempel@ampelmann.nl</t>
  </si>
  <si>
    <t>Ampelmann</t>
  </si>
  <si>
    <t>RYNQW7</t>
  </si>
  <si>
    <t>Jan Verhave</t>
  </si>
  <si>
    <t>Verhave</t>
  </si>
  <si>
    <t>jan@embeddedacoustics.com</t>
  </si>
  <si>
    <t>embeddedacoustics</t>
  </si>
  <si>
    <t>DZ8L81</t>
  </si>
  <si>
    <t>Sent to jan@embeddedacoustics.com on 2026-08-26</t>
  </si>
  <si>
    <t>Jan Pieter Versluijs</t>
  </si>
  <si>
    <t>Pieter Versluijs</t>
  </si>
  <si>
    <t>janpieter@solarmonkey.nl</t>
  </si>
  <si>
    <t>Solar Monkey</t>
  </si>
  <si>
    <t>P9DD60</t>
  </si>
  <si>
    <t>Sent to janpieter@solarmonkey.nl on 2026-08-26</t>
  </si>
  <si>
    <t>Jan Willem Klerkx</t>
  </si>
  <si>
    <t>Willem Klerkx</t>
  </si>
  <si>
    <t>jw@janwillemklerkx.com</t>
  </si>
  <si>
    <t>janwillemklerkx</t>
  </si>
  <si>
    <t>A6E49F</t>
  </si>
  <si>
    <t>Sent to jw@janwillemklerkx.com on 2026-08-26</t>
  </si>
  <si>
    <t>Jan Ferdinand Henseler</t>
  </si>
  <si>
    <t>Jan Ferdinand</t>
  </si>
  <si>
    <t>Henseler</t>
  </si>
  <si>
    <t>janferdinand@joinflux.nl</t>
  </si>
  <si>
    <t>joinflux</t>
  </si>
  <si>
    <t>ULGXCZ</t>
  </si>
  <si>
    <t>Sent to janferdinand@joinflux.nl on 2026-08-26</t>
  </si>
  <si>
    <t>Jan Geert van Hall</t>
  </si>
  <si>
    <t>Jan Geert</t>
  </si>
  <si>
    <t>van Hall</t>
  </si>
  <si>
    <t>jangeert@yesdelft.nl</t>
  </si>
  <si>
    <t>DQB1LN</t>
  </si>
  <si>
    <t>Sent to jangeert@yesdelft.nl on 2026-08-26</t>
  </si>
  <si>
    <t>Jan Pieter van Tilburg</t>
  </si>
  <si>
    <t xml:space="preserve">Jan Pieter </t>
  </si>
  <si>
    <t>jpvantilburg@naturesprinciples.eu</t>
  </si>
  <si>
    <t>naturesprinciples</t>
  </si>
  <si>
    <t>1BZ9YW</t>
  </si>
  <si>
    <t>Sent to jpvantilburg@naturesprinciples.eu on 2026-08-26</t>
  </si>
  <si>
    <t>Jan Willem Hekman</t>
  </si>
  <si>
    <t>Jan Willem</t>
  </si>
  <si>
    <t>Hekman</t>
  </si>
  <si>
    <t>janwillem.hekman@vfatechnology.com</t>
  </si>
  <si>
    <t>VFA solutions (virus free air)</t>
  </si>
  <si>
    <t>LPIMFV</t>
  </si>
  <si>
    <t>Sent to janwillem.hekman@vfatechnology.com on 2026-08-26</t>
  </si>
  <si>
    <t>Jan Willem Heinen</t>
  </si>
  <si>
    <t xml:space="preserve">Jan Willem </t>
  </si>
  <si>
    <t>Heinen</t>
  </si>
  <si>
    <r>
      <rPr>
        <rFont val="Arial"/>
        <color rgb="FF1155CC"/>
        <sz val="11.0"/>
        <u/>
      </rPr>
      <t>jw.heinen@v2-capital.</t>
    </r>
    <r>
      <rPr>
        <rFont val="Arial"/>
        <color rgb="FF222222"/>
        <sz val="11.0"/>
        <u/>
      </rPr>
      <t>nl</t>
    </r>
  </si>
  <si>
    <t>0BBV1J</t>
  </si>
  <si>
    <t>Sent to jw.heinen@v2-capital.nl on 2026-08-26</t>
  </si>
  <si>
    <t>Jan Willem Deutekom</t>
  </si>
  <si>
    <t>Deutekom</t>
  </si>
  <si>
    <t>jan-willem.deutekom@thaumatec.com</t>
  </si>
  <si>
    <t>thaumatec</t>
  </si>
  <si>
    <t>WQS9O8</t>
  </si>
  <si>
    <t>Sent to jan-willem.deutekom@thaumatec.com on 2026-08-26</t>
  </si>
  <si>
    <t>Jan-Joost Rueb</t>
  </si>
  <si>
    <t>Jan-Joost</t>
  </si>
  <si>
    <t>Rueb</t>
  </si>
  <si>
    <t>jjrueb@gmail.com</t>
  </si>
  <si>
    <t>I1TTJB</t>
  </si>
  <si>
    <t>Sent to jjrueb@gmail.com on 2026-08-26</t>
  </si>
  <si>
    <t>Jan-Matthijs van Eendenburg</t>
  </si>
  <si>
    <t>Jan-Matthijs</t>
  </si>
  <si>
    <t>van Eendenburg</t>
  </si>
  <si>
    <t>jan-matthijs@ten.investments</t>
  </si>
  <si>
    <t>CGLXJ1</t>
  </si>
  <si>
    <t>Sent to jan-matthijs@ten.investments on 2026-08-26</t>
  </si>
  <si>
    <t>Jan-Willem van Boeckel</t>
  </si>
  <si>
    <t>Jan-Willem</t>
  </si>
  <si>
    <t>van Boeckel</t>
  </si>
  <si>
    <t>janwillem@pelagos.nl</t>
  </si>
  <si>
    <t>pelagos</t>
  </si>
  <si>
    <t>IN7END</t>
  </si>
  <si>
    <t>Sent to janwillem@pelagos.nl on 2026-08-26</t>
  </si>
  <si>
    <t>Jan-Willem Snoeker</t>
  </si>
  <si>
    <t xml:space="preserve">Jan-Willem </t>
  </si>
  <si>
    <t>Snoeker</t>
  </si>
  <si>
    <t>jan-willem@merqato.eu</t>
  </si>
  <si>
    <t>YU3VMP</t>
  </si>
  <si>
    <t>Sent to jan-willem@merqato.eu on 2026-08-26</t>
  </si>
  <si>
    <t>Janneke Tjon Pian Gi</t>
  </si>
  <si>
    <t>Janneke</t>
  </si>
  <si>
    <t>Tjon Pian Gi</t>
  </si>
  <si>
    <t>janneke@tablomonto.com</t>
  </si>
  <si>
    <t>tablomonto</t>
  </si>
  <si>
    <t>0TZXA8</t>
  </si>
  <si>
    <t>Sent to janneke@tablomonto.com on 2026-08-26</t>
  </si>
  <si>
    <t>Jantine Schaap</t>
  </si>
  <si>
    <t>Jantine</t>
  </si>
  <si>
    <t>Schaap</t>
  </si>
  <si>
    <t>jantine.schaap@tudelft.nl</t>
  </si>
  <si>
    <t>6CUFP4</t>
  </si>
  <si>
    <t>Sent to jantine.schaap@tudelft.nl on 2026-08-26</t>
  </si>
  <si>
    <t>Jardo Stammeshaus</t>
  </si>
  <si>
    <t>Jardo</t>
  </si>
  <si>
    <t>Stammeshaus</t>
  </si>
  <si>
    <t>jardo@liionpower.tech</t>
  </si>
  <si>
    <t>JBEVPF</t>
  </si>
  <si>
    <t>Sent to jardo@liionpower.tech on 2026-08-26</t>
  </si>
  <si>
    <t>Jasper Peterich</t>
  </si>
  <si>
    <t>Peterich</t>
  </si>
  <si>
    <t>j.p.peterich@tudelft.nl</t>
  </si>
  <si>
    <t>JKECY9</t>
  </si>
  <si>
    <t>Sent to j.p.peterich@tudelft.nl on 2026-08-26</t>
  </si>
  <si>
    <t>Jasper Schol</t>
  </si>
  <si>
    <t>Schol</t>
  </si>
  <si>
    <t>j.schol@heemskerk-innovative.nl</t>
  </si>
  <si>
    <t>VHKWAA</t>
  </si>
  <si>
    <t>Sent to j.schol@heemskerk-innovative.nl on 2026-08-26</t>
  </si>
  <si>
    <t>Jasper Driessen</t>
  </si>
  <si>
    <t>Driessen</t>
  </si>
  <si>
    <t>jasper.driessen@planet-b.io</t>
  </si>
  <si>
    <t>7DZBKT</t>
  </si>
  <si>
    <t>Sent to jasper.driessen@planet-b.io on 2026-08-26</t>
  </si>
  <si>
    <t>Jasper Geselschap</t>
  </si>
  <si>
    <t>Geselschap</t>
  </si>
  <si>
    <t>jasper.geselschap@uniiq.nl</t>
  </si>
  <si>
    <t>ye</t>
  </si>
  <si>
    <t>T4J1B3</t>
  </si>
  <si>
    <t>Sent to jasper.geselschap@uniiq.nl on 2026-08-26</t>
  </si>
  <si>
    <t>Jasper Schuringa</t>
  </si>
  <si>
    <t>Schuringa</t>
  </si>
  <si>
    <t>jasper.schuringa@damen.com</t>
  </si>
  <si>
    <t>FCOSJ1</t>
  </si>
  <si>
    <t>Sent to jasper.schuringa@damen.com on 2026-08-26</t>
  </si>
  <si>
    <t>Jasper van Tongeren</t>
  </si>
  <si>
    <t>van Tongeren</t>
  </si>
  <si>
    <t>jaspervantongeren@gmail.com</t>
  </si>
  <si>
    <t>HK0E3D</t>
  </si>
  <si>
    <t>Sent to jaspervantongeren@gmail.com on 2026-08-26</t>
  </si>
  <si>
    <t>Jasper Schuurmans</t>
  </si>
  <si>
    <t>Schuurmans</t>
  </si>
  <si>
    <t>schuurmans@virtualock.com</t>
  </si>
  <si>
    <t>virtualock</t>
  </si>
  <si>
    <t>QLJK0N</t>
  </si>
  <si>
    <t>Sent to schuurmans@virtualock.com on 2026-08-26</t>
  </si>
  <si>
    <t>Jeffrey Miog</t>
  </si>
  <si>
    <t>Jeffrey</t>
  </si>
  <si>
    <t>Miog</t>
  </si>
  <si>
    <t>jeffrey.miog@tective.nl</t>
  </si>
  <si>
    <t>Tective Robotics</t>
  </si>
  <si>
    <t>W3U5CD</t>
  </si>
  <si>
    <t>Sent to jeffrey.miog@tective.nl on 2026-08-26</t>
  </si>
  <si>
    <t>Jefta Vriend</t>
  </si>
  <si>
    <t>Jefta</t>
  </si>
  <si>
    <t>Vriend</t>
  </si>
  <si>
    <t>jefta@glimp.tech</t>
  </si>
  <si>
    <t>glimp</t>
  </si>
  <si>
    <t>5ZK526</t>
  </si>
  <si>
    <t>Sent to jefta@glimp.tech on 2026-08-26</t>
  </si>
  <si>
    <t>Jelle Tiemensma</t>
  </si>
  <si>
    <t>Tiemensma</t>
  </si>
  <si>
    <t>j.tiemensma@smart-ship.eu</t>
  </si>
  <si>
    <t>7CDFLK</t>
  </si>
  <si>
    <t>Sent to j.tiemensma@smart-ship.eu on 2026-08-26</t>
  </si>
  <si>
    <t>Jelle Roozenburg</t>
  </si>
  <si>
    <t>Roozenburg</t>
  </si>
  <si>
    <t>jelle@aanmelder.nl</t>
  </si>
  <si>
    <t>10QS1H</t>
  </si>
  <si>
    <t>Sent to jelle@aanmelder.nl on 2026-08-26</t>
  </si>
  <si>
    <t>Jelmer van Ast</t>
  </si>
  <si>
    <t>Jelmer</t>
  </si>
  <si>
    <t>van Ast</t>
  </si>
  <si>
    <t>jelmer@conference-compass.com</t>
  </si>
  <si>
    <t>Conference Compass</t>
  </si>
  <si>
    <t>EVJF4N</t>
  </si>
  <si>
    <t>Sent to jelmer@conference-compass.com on 2026-08-26</t>
  </si>
  <si>
    <t>Jelte Mense</t>
  </si>
  <si>
    <t>Jelte</t>
  </si>
  <si>
    <t>Mense</t>
  </si>
  <si>
    <t>jelte.mense@politie.nl</t>
  </si>
  <si>
    <t>Politie</t>
  </si>
  <si>
    <t>605XMO</t>
  </si>
  <si>
    <t>Sent to jelte.mense@politie.nl on 2026-08-26</t>
  </si>
  <si>
    <t>Jerke Boers</t>
  </si>
  <si>
    <t>Jerke</t>
  </si>
  <si>
    <t>Boers</t>
  </si>
  <si>
    <t>jerke@binki.es</t>
  </si>
  <si>
    <t>binki.es</t>
  </si>
  <si>
    <t>RJB71T</t>
  </si>
  <si>
    <t>Sent to jerke@binki.es on 2026-08-26</t>
  </si>
  <si>
    <t>Jeroen Coelen</t>
  </si>
  <si>
    <t>Coelen</t>
  </si>
  <si>
    <t>ik@jeroencoelen.nl</t>
  </si>
  <si>
    <t>jeroencoelen</t>
  </si>
  <si>
    <t>VP0W1W</t>
  </si>
  <si>
    <t>Sent to ik@jeroencoelen.nl on 2026-08-26</t>
  </si>
  <si>
    <t>Jeroen Rotteveel</t>
  </si>
  <si>
    <t>Rotteveel</t>
  </si>
  <si>
    <t>j.rotteveel@isispace.nl</t>
  </si>
  <si>
    <t>Startup founder</t>
  </si>
  <si>
    <t>37D8QR</t>
  </si>
  <si>
    <t>Sent to j.rotteveel@isispace.nl on 2026-08-26</t>
  </si>
  <si>
    <t>Jeroen Wilschut</t>
  </si>
  <si>
    <t>Wilschut</t>
  </si>
  <si>
    <t>j.wilschut@erasmusmc.nl</t>
  </si>
  <si>
    <t>DYHXK7</t>
  </si>
  <si>
    <t>Sent to j.wilschut@erasmusmc.nl on 2026-08-26</t>
  </si>
  <si>
    <t>Jeroen Voorham</t>
  </si>
  <si>
    <t>Voorham</t>
  </si>
  <si>
    <t>jeroen.voorham@novuqare.nl</t>
  </si>
  <si>
    <t>UQHYEA</t>
  </si>
  <si>
    <t>Sent to jeroen.voorham@novuqare.nl on 2026-08-26</t>
  </si>
  <si>
    <t>Jeroen Dobbe</t>
  </si>
  <si>
    <t>Dobbe</t>
  </si>
  <si>
    <t>jeroen@binki.es</t>
  </si>
  <si>
    <t>Binkies3D (Canibal game studios)</t>
  </si>
  <si>
    <t>99LWJT</t>
  </si>
  <si>
    <t>Sent to jeroen@binki.es on 2026-08-26</t>
  </si>
  <si>
    <t>Jeroen Wink</t>
  </si>
  <si>
    <t>Wink</t>
  </si>
  <si>
    <t>jeroen@dawnaerospace.com</t>
  </si>
  <si>
    <t>dawnaerospace</t>
  </si>
  <si>
    <t>7CNXUF</t>
  </si>
  <si>
    <t>Sent to jeroen@dawnaerospace.com on 2026-08-26</t>
  </si>
  <si>
    <t>Jeroen Van Oorschot</t>
  </si>
  <si>
    <t>Van Oorschot</t>
  </si>
  <si>
    <t>jeroen@loqed.com</t>
  </si>
  <si>
    <t>Loqed</t>
  </si>
  <si>
    <t>9STJOQ</t>
  </si>
  <si>
    <t>Sent to jeroen@loqed.com on 2026-08-26</t>
  </si>
  <si>
    <t>Jeroen Thijs</t>
  </si>
  <si>
    <t>jeroen@secondstage.ventures</t>
  </si>
  <si>
    <t>secondstage.ventures</t>
  </si>
  <si>
    <t>7RT2J2</t>
  </si>
  <si>
    <t>Sent to jeroen@secondstage.ventures on 2026-08-26</t>
  </si>
  <si>
    <t>Jeroen Netten</t>
  </si>
  <si>
    <t>Netten</t>
  </si>
  <si>
    <t>jeroen@uneti-labs.com</t>
  </si>
  <si>
    <t>uneti-labs</t>
  </si>
  <si>
    <t>2PLU6L</t>
  </si>
  <si>
    <t>Sent to jeroen@uneti-labs.com on 2026-08-26</t>
  </si>
  <si>
    <t>Jeroen Janssen</t>
  </si>
  <si>
    <t>jeroen@vertepac.com</t>
  </si>
  <si>
    <t>8BEODF</t>
  </si>
  <si>
    <t>Sent to jeroen@vertepac.com on 2026-08-26</t>
  </si>
  <si>
    <t>Jesper</t>
  </si>
  <si>
    <t>jpottuit@vangelder.com</t>
  </si>
  <si>
    <t>vangelder</t>
  </si>
  <si>
    <t>40Y3I8</t>
  </si>
  <si>
    <t>Sent to jpottuit@vangelder.com on 2026-08-26</t>
  </si>
  <si>
    <t>Jesper Pottuit</t>
  </si>
  <si>
    <t>Pottuit</t>
  </si>
  <si>
    <t>VanGelder</t>
  </si>
  <si>
    <t>X3B2CR</t>
  </si>
  <si>
    <t>Jesse Van Bemmelen</t>
  </si>
  <si>
    <t>Jesse</t>
  </si>
  <si>
    <t>Van Bemmelen</t>
  </si>
  <si>
    <t>j.vanbemmelen@benedictpeax.com</t>
  </si>
  <si>
    <t>VONK Ventures</t>
  </si>
  <si>
    <t>1PMMH6</t>
  </si>
  <si>
    <t>Sent to j.vanbemmelen@benedictpeax.com on 2026-08-26</t>
  </si>
  <si>
    <t>Jesse Echeverry</t>
  </si>
  <si>
    <t>Echeverry</t>
  </si>
  <si>
    <t>jesse.echeverry@dc-opportunities.com</t>
  </si>
  <si>
    <t>DC Opportunities R&amp;D</t>
  </si>
  <si>
    <t>COCLDJ</t>
  </si>
  <si>
    <t>Sent to jesse.echeverry@dc-opportunities.com on 2026-08-26</t>
  </si>
  <si>
    <t>Jesse Eisses</t>
  </si>
  <si>
    <t>Eisses</t>
  </si>
  <si>
    <t>jesse@effect.ai</t>
  </si>
  <si>
    <t>effect.ai vb</t>
  </si>
  <si>
    <t>T8ZMXL</t>
  </si>
  <si>
    <t>Sent to jesse@effect.ai on 2026-08-26</t>
  </si>
  <si>
    <t>Jesse van der Linden</t>
  </si>
  <si>
    <t>van der Linden</t>
  </si>
  <si>
    <t>jesse@fluxthor.com</t>
  </si>
  <si>
    <t>fluxthor</t>
  </si>
  <si>
    <t>R4BKD3</t>
  </si>
  <si>
    <t>Sent to jesse@fluxthor.com on 2026-08-26</t>
  </si>
  <si>
    <t>Jessica Broeders</t>
  </si>
  <si>
    <t xml:space="preserve">Jessica </t>
  </si>
  <si>
    <t>Broeders</t>
  </si>
  <si>
    <t>jp.broeders@pzh.nl</t>
  </si>
  <si>
    <t>NCFT4C</t>
  </si>
  <si>
    <t>Sent to jp.broeders@pzh.nl on 2026-08-26</t>
  </si>
  <si>
    <t>Jian Jiang</t>
  </si>
  <si>
    <t>Jian</t>
  </si>
  <si>
    <t>Jiang</t>
  </si>
  <si>
    <t>j.jiang@parkbee.nl</t>
  </si>
  <si>
    <t>parkbee</t>
  </si>
  <si>
    <t>LI486B</t>
  </si>
  <si>
    <t>Sent to j.jiang@parkbee.nl on 2026-08-26</t>
  </si>
  <si>
    <t>Jip Dresia</t>
  </si>
  <si>
    <t>Jip</t>
  </si>
  <si>
    <t>Dresia</t>
  </si>
  <si>
    <t>dresia@ece.nl</t>
  </si>
  <si>
    <t>1VO6L7</t>
  </si>
  <si>
    <t>Sent to dresia@ece.nl on 2026-08-26</t>
  </si>
  <si>
    <t>Jip Leendertse</t>
  </si>
  <si>
    <t>Leendertse</t>
  </si>
  <si>
    <t>j.leendertse@tudelft.nl</t>
  </si>
  <si>
    <t>68WDQF</t>
  </si>
  <si>
    <t>Sent to j.leendertse@tudelft.nl on 2026-08-26</t>
  </si>
  <si>
    <t>JM Nunnely</t>
  </si>
  <si>
    <t>JM</t>
  </si>
  <si>
    <t>Nunnely</t>
  </si>
  <si>
    <t>jm.nunnely@raadrotterdam.nl</t>
  </si>
  <si>
    <t>Y8C1RJ</t>
  </si>
  <si>
    <t>Sent to jm.nunnely@raadrotterdam.nl on 2026-08-26</t>
  </si>
  <si>
    <t>Job Withaar</t>
  </si>
  <si>
    <t>Job</t>
  </si>
  <si>
    <t>Withaar</t>
  </si>
  <si>
    <t>jacob@aerogriduav.com</t>
  </si>
  <si>
    <t>YGXA3U</t>
  </si>
  <si>
    <t>Sent to jacob@aerogriduav.com on 2026-08-26</t>
  </si>
  <si>
    <t>Job Veltman</t>
  </si>
  <si>
    <t>Veltman</t>
  </si>
  <si>
    <t>job.veltman@seastate5.com</t>
  </si>
  <si>
    <t>seastate5</t>
  </si>
  <si>
    <t>M47PSJ</t>
  </si>
  <si>
    <t>Sent to job.veltman@seastate5.com on 2026-08-26</t>
  </si>
  <si>
    <t>Job Engel</t>
  </si>
  <si>
    <t>Engel</t>
  </si>
  <si>
    <t>job@somnox.nl</t>
  </si>
  <si>
    <t>somnox</t>
  </si>
  <si>
    <t>C4PP0C</t>
  </si>
  <si>
    <t>Sent to job@somnox.nl on 2026-08-26</t>
  </si>
  <si>
    <t>Job Nijs</t>
  </si>
  <si>
    <t>Nijs</t>
  </si>
  <si>
    <t>jobnijs@gmail.com</t>
  </si>
  <si>
    <t>DATJLU</t>
  </si>
  <si>
    <t>Sent to jobnijs@gmail.com on 2026-08-26</t>
  </si>
  <si>
    <t>Job Timmermans</t>
  </si>
  <si>
    <t>Timmermans</t>
  </si>
  <si>
    <t>jobtimmermans@gmail.com</t>
  </si>
  <si>
    <t>ND67SC</t>
  </si>
  <si>
    <t>Sent to jobtimmermans@gmail.com on 2026-08-26</t>
  </si>
  <si>
    <t>Job van de Kieft</t>
  </si>
  <si>
    <t>van de Kieft</t>
  </si>
  <si>
    <t>jobvandekieft@scoozy.nl</t>
  </si>
  <si>
    <t>scoozy</t>
  </si>
  <si>
    <t>IPIONB</t>
  </si>
  <si>
    <t>Sent to jobvandekieft@scoozy.nl on 2026-08-26</t>
  </si>
  <si>
    <t>Jochem Berends</t>
  </si>
  <si>
    <t>Jochem</t>
  </si>
  <si>
    <t>Berends</t>
  </si>
  <si>
    <t>jochem.berends@ke-works.com</t>
  </si>
  <si>
    <t>7DKKMC</t>
  </si>
  <si>
    <t>Sent to jochem.berends@ke-works.com on 2026-08-26</t>
  </si>
  <si>
    <t>Jochem Toolenaar</t>
  </si>
  <si>
    <t>Toolenaar</t>
  </si>
  <si>
    <t>jochem@civinc.co</t>
  </si>
  <si>
    <t>USMYJE</t>
  </si>
  <si>
    <t>Sent to jochem@civinc.co on 2026-08-26</t>
  </si>
  <si>
    <t>Jochem Verboom</t>
  </si>
  <si>
    <t>jochem@mainblades.com</t>
  </si>
  <si>
    <t>CEYQ7D</t>
  </si>
  <si>
    <t>Sent to jochem@mainblades.com on 2026-08-26</t>
  </si>
  <si>
    <t>Joep van der Stoep</t>
  </si>
  <si>
    <t>van der Stoep</t>
  </si>
  <si>
    <t>jvanderstoep@arnold-siedsma.nl</t>
  </si>
  <si>
    <t>1Z7QL8</t>
  </si>
  <si>
    <t>Sent to jvanderstoep@arnold-siedsma.nl on 2026-08-26</t>
  </si>
  <si>
    <t>Johan Brandenburg</t>
  </si>
  <si>
    <t>Johan</t>
  </si>
  <si>
    <t>Brandenburg</t>
  </si>
  <si>
    <t>J.Brandenburg@tudelft.nl</t>
  </si>
  <si>
    <t>6B2N5W</t>
  </si>
  <si>
    <t>Sent to J.Brandenburg@tudelft.nl on 2026-08-26</t>
  </si>
  <si>
    <t>Johan Sebregts</t>
  </si>
  <si>
    <t>Sebregts</t>
  </si>
  <si>
    <t>j.sebregts@kikkcapital.com</t>
  </si>
  <si>
    <t>CV51G5</t>
  </si>
  <si>
    <t>Sent to j.sebregts@kikkcapital.com on 2026-08-26</t>
  </si>
  <si>
    <t>Johan Mastenbroek</t>
  </si>
  <si>
    <t>Mastenbroek</t>
  </si>
  <si>
    <t>johan.mastenbroek@netsamparticipaties.com</t>
  </si>
  <si>
    <t>JB61OM</t>
  </si>
  <si>
    <t>Sent to johan.mastenbroek@netsamparticipaties.com on 2026-08-26</t>
  </si>
  <si>
    <t>Johan Stins</t>
  </si>
  <si>
    <t>Stins</t>
  </si>
  <si>
    <t>johan.stins@invest-nl.nl</t>
  </si>
  <si>
    <t>JGB4A7</t>
  </si>
  <si>
    <t>Sent to johan.stins@invest-nl.nl on 2026-08-26</t>
  </si>
  <si>
    <t>Johan Pieters</t>
  </si>
  <si>
    <t>Pieters</t>
  </si>
  <si>
    <t>johanpieters62@gmail.com</t>
  </si>
  <si>
    <t>KTRH9R</t>
  </si>
  <si>
    <t>Sent to johanpieters62@gmail.com on 2026-08-26</t>
  </si>
  <si>
    <t>Johannes Gartner</t>
  </si>
  <si>
    <t>Gartner</t>
  </si>
  <si>
    <t>j.gartner@tudelft.nl</t>
  </si>
  <si>
    <t>53P1MZ</t>
  </si>
  <si>
    <t>Sent to j.gartner@tudelft.nl on 2026-08-26</t>
  </si>
  <si>
    <t>Johannes Peschel</t>
  </si>
  <si>
    <t>Peschel</t>
  </si>
  <si>
    <t>j.peschel@kitepower.nl</t>
  </si>
  <si>
    <t>Y3WJQN</t>
  </si>
  <si>
    <t>Sent to j.peschel@kitepower.nl on 2026-08-26</t>
  </si>
  <si>
    <t>Johannes Borburgh</t>
  </si>
  <si>
    <t>Borburgh</t>
  </si>
  <si>
    <t>johannes.borburgh@live.com</t>
  </si>
  <si>
    <t>HYPERFLOW 4D</t>
  </si>
  <si>
    <t>A69GYA</t>
  </si>
  <si>
    <t>Sent to johannes.borburgh@live.com on 2026-08-26</t>
  </si>
  <si>
    <t>John van Nijnatten</t>
  </si>
  <si>
    <t>van Nijnatten</t>
  </si>
  <si>
    <t>j.van.nijnatten@flywheel-impact.com</t>
  </si>
  <si>
    <t>Flywheel Impact</t>
  </si>
  <si>
    <t>IR1RNA</t>
  </si>
  <si>
    <t>Sent to j.van.nijnatten@flywheel-impact.com on 2026-08-26</t>
  </si>
  <si>
    <t>John Tillema</t>
  </si>
  <si>
    <t>Tillema</t>
  </si>
  <si>
    <t>john.tillema@twtg.io</t>
  </si>
  <si>
    <t>YLMQ33</t>
  </si>
  <si>
    <t>Sent to john.tillema@twtg.io on 2026-08-26</t>
  </si>
  <si>
    <t>John Van der Vlies</t>
  </si>
  <si>
    <t>Van der Vlies</t>
  </si>
  <si>
    <t>john.vandervlies@baselinez.com</t>
  </si>
  <si>
    <t>BaselineZ (Craytive)</t>
  </si>
  <si>
    <t>7R2RQY</t>
  </si>
  <si>
    <t>Sent to john.vandervlies@baselinez.com on 2026-08-26</t>
  </si>
  <si>
    <t>Jon van Til</t>
  </si>
  <si>
    <t>van Til</t>
  </si>
  <si>
    <t>jon.van.til@politie.nl</t>
  </si>
  <si>
    <t>W0Y0O1</t>
  </si>
  <si>
    <t>Sent to jon.van.til@politie.nl on 2026-08-26</t>
  </si>
  <si>
    <t>Jonathan Zwaan</t>
  </si>
  <si>
    <t>Zwaan</t>
  </si>
  <si>
    <t>jonathan.zwaan@joa.ventures</t>
  </si>
  <si>
    <t>joa.ventures</t>
  </si>
  <si>
    <t>TWHLKK</t>
  </si>
  <si>
    <t>Sent to jonathan.zwaan@joa.ventures on 2026-08-26</t>
  </si>
  <si>
    <t>Joost Mathot</t>
  </si>
  <si>
    <t>Mathot</t>
  </si>
  <si>
    <t>j.j.mathot@tudelft.nl</t>
  </si>
  <si>
    <t>LPWVJ7</t>
  </si>
  <si>
    <t>Sent to j.j.mathot@tudelft.nl on 2026-08-26</t>
  </si>
  <si>
    <t>Joost Poort</t>
  </si>
  <si>
    <t>Poort</t>
  </si>
  <si>
    <t>j.poort@tudelft.nl</t>
  </si>
  <si>
    <t>4FPW0B</t>
  </si>
  <si>
    <t>Sent to j.poort@tudelft.nl on 2026-08-26</t>
  </si>
  <si>
    <t>Joost Schut</t>
  </si>
  <si>
    <t>joost.schut@ke-works.com</t>
  </si>
  <si>
    <t>ke-works</t>
  </si>
  <si>
    <t>JM9VZ2</t>
  </si>
  <si>
    <t>Sent to joost.schut@ke-works.com on 2026-08-26</t>
  </si>
  <si>
    <t>Joost Vette</t>
  </si>
  <si>
    <t>Vette</t>
  </si>
  <si>
    <r>
      <rPr>
        <color rgb="FF1155CC"/>
        <sz val="11.0"/>
        <u/>
      </rPr>
      <t>joost</t>
    </r>
    <r>
      <rPr>
        <color rgb="FF1155CC"/>
        <sz val="11.0"/>
        <u/>
      </rPr>
      <t>.</t>
    </r>
    <r>
      <rPr>
        <sz val="11.0"/>
      </rPr>
      <t>vette@tno.nl</t>
    </r>
  </si>
  <si>
    <t>fairm</t>
  </si>
  <si>
    <t>7TJREM</t>
  </si>
  <si>
    <t>Sent to joost.vette@tno.nl on 2026-08-26</t>
  </si>
  <si>
    <t>Joost van der Plas</t>
  </si>
  <si>
    <t>van der Plas</t>
  </si>
  <si>
    <t>joost@maven11.com</t>
  </si>
  <si>
    <t>maven11</t>
  </si>
  <si>
    <t>HN78KL</t>
  </si>
  <si>
    <t>Sent to joost@maven11.com on 2026-08-26</t>
  </si>
  <si>
    <t>Joost Stenfert</t>
  </si>
  <si>
    <t>Stenfert</t>
  </si>
  <si>
    <t>joost@pythia-energy.nl</t>
  </si>
  <si>
    <t>pythia-energy</t>
  </si>
  <si>
    <t>XDB8J0</t>
  </si>
  <si>
    <t>Sent to joost@pythia-energy.nl on 2026-08-26</t>
  </si>
  <si>
    <t>Joost Wit</t>
  </si>
  <si>
    <t>Wit</t>
  </si>
  <si>
    <t>joostdewit@gmail.com</t>
  </si>
  <si>
    <t>Media Distillery</t>
  </si>
  <si>
    <t>A8P3BE</t>
  </si>
  <si>
    <t>Sent to joostdewit@gmail.com on 2026-08-26</t>
  </si>
  <si>
    <t>Joppe Eising</t>
  </si>
  <si>
    <t>Joppe</t>
  </si>
  <si>
    <t>Eising</t>
  </si>
  <si>
    <t>j.eising@virida-capital.com</t>
  </si>
  <si>
    <t>Virida Capital</t>
  </si>
  <si>
    <t>M34B3N</t>
  </si>
  <si>
    <t>Sent to j.eising@virida-capital.com on 2026-08-26</t>
  </si>
  <si>
    <t>Joppe van Dijk</t>
  </si>
  <si>
    <t>joppe@dentalrobotics.nl</t>
  </si>
  <si>
    <t>HFZFC6</t>
  </si>
  <si>
    <t>Sent to joppe@dentalrobotics.nl on 2026-08-26</t>
  </si>
  <si>
    <t>Jordi de Vos</t>
  </si>
  <si>
    <t>Jordi</t>
  </si>
  <si>
    <t>jordi@circularise.com</t>
  </si>
  <si>
    <t>circularise</t>
  </si>
  <si>
    <t>VFMI72</t>
  </si>
  <si>
    <t>Sent to jordi@circularise.com on 2026-08-26</t>
  </si>
  <si>
    <t>Jorg Rijkschroeff</t>
  </si>
  <si>
    <t>Rijkschroeff</t>
  </si>
  <si>
    <t>jrijkschroeff@gmail.com</t>
  </si>
  <si>
    <t>Sit and Heat</t>
  </si>
  <si>
    <t>25ZH36</t>
  </si>
  <si>
    <t>Sent to jrijkschroeff@gmail.com on 2026-08-26</t>
  </si>
  <si>
    <t>Jorick Naber</t>
  </si>
  <si>
    <t>Jorick</t>
  </si>
  <si>
    <t>Naber</t>
  </si>
  <si>
    <t>jorick@ubiops.com</t>
  </si>
  <si>
    <t>UbiOps (Dutch Analytics)</t>
  </si>
  <si>
    <t>WDHEKE</t>
  </si>
  <si>
    <t>Sent to jorick@ubiops.com on 2026-08-26</t>
  </si>
  <si>
    <t>Joris Vogels</t>
  </si>
  <si>
    <t>Vogels</t>
  </si>
  <si>
    <t>j.vogels@innovation-dynamics.com</t>
  </si>
  <si>
    <t>QFR2XO</t>
  </si>
  <si>
    <t>Sent to j.vogels@innovation-dynamics.com on 2026-08-26</t>
  </si>
  <si>
    <t>Joris Geertman</t>
  </si>
  <si>
    <t>Geertman</t>
  </si>
  <si>
    <t>jg@axionomic.com</t>
  </si>
  <si>
    <t>GEX9PS</t>
  </si>
  <si>
    <t>Sent to jg@axionomic.com on 2026-08-26</t>
  </si>
  <si>
    <t>Joris Biskop</t>
  </si>
  <si>
    <t>Biskop</t>
  </si>
  <si>
    <t>joris.biskop@addoptics.nl</t>
  </si>
  <si>
    <t>addoptics</t>
  </si>
  <si>
    <t>E4EEJX</t>
  </si>
  <si>
    <t>Sent to joris.biskop@addoptics.nl on 2026-08-26</t>
  </si>
  <si>
    <t>Joris den Bruinen</t>
  </si>
  <si>
    <t>den Bruinen</t>
  </si>
  <si>
    <t>joris.denbruinen@securitydelta.nl</t>
  </si>
  <si>
    <t>NQIHOR</t>
  </si>
  <si>
    <t>Sent to joris.denbruinen@securitydelta.nl on 2026-08-26</t>
  </si>
  <si>
    <t>Joris van Doorninck</t>
  </si>
  <si>
    <t>van Doorninck</t>
  </si>
  <si>
    <t>joris@breeze.social</t>
  </si>
  <si>
    <t>Breeze</t>
  </si>
  <si>
    <t>X8FM0U</t>
  </si>
  <si>
    <t>Sent to joris@breeze.social on 2026-08-26</t>
  </si>
  <si>
    <t>Joris Koudijs</t>
  </si>
  <si>
    <t>Koudijs</t>
  </si>
  <si>
    <t>joris@tilercharge.com</t>
  </si>
  <si>
    <t>CC8GYL</t>
  </si>
  <si>
    <t>Sent to joris@tilercharge.com on 2026-08-26</t>
  </si>
  <si>
    <t>Jorn Rigter</t>
  </si>
  <si>
    <t>Rigter</t>
  </si>
  <si>
    <t>jorn@unpluq.com</t>
  </si>
  <si>
    <t>HG5MCF</t>
  </si>
  <si>
    <t>Sent to jorn@unpluq.com on 2026-08-26</t>
  </si>
  <si>
    <t>Jorn Ouborg</t>
  </si>
  <si>
    <t>Ouborg</t>
  </si>
  <si>
    <t>jornouborg@gmail.com</t>
  </si>
  <si>
    <t>9E2FUN</t>
  </si>
  <si>
    <t>Sent to jornouborg@gmail.com on 2026-08-26</t>
  </si>
  <si>
    <t>Jos Bourgonje</t>
  </si>
  <si>
    <t>Bourgonje</t>
  </si>
  <si>
    <t>j.bourgonje@valuecreationcapital.com</t>
  </si>
  <si>
    <t>777VXC</t>
  </si>
  <si>
    <t>Sent to j.bourgonje@valuecreationcapital.com on 2026-08-26</t>
  </si>
  <si>
    <t>Jos van den Boom</t>
  </si>
  <si>
    <t>van den Boom</t>
  </si>
  <si>
    <t>j.c.j.vandenboom@tudelft.nl</t>
  </si>
  <si>
    <t>KZU1RW</t>
  </si>
  <si>
    <t>Sent to j.c.j.vandenboom@tudelft.nl on 2026-08-26</t>
  </si>
  <si>
    <t xml:space="preserve">Jos </t>
  </si>
  <si>
    <t>jg.kuijper@mindef.nl</t>
  </si>
  <si>
    <t>7Y79NO</t>
  </si>
  <si>
    <t>Sent to jg.kuijper@mindef.nl on 2026-08-26</t>
  </si>
  <si>
    <t>Josefien Groot</t>
  </si>
  <si>
    <t>Josefien</t>
  </si>
  <si>
    <t>Groot</t>
  </si>
  <si>
    <t>josefien@qlayers.com</t>
  </si>
  <si>
    <t>qlayers</t>
  </si>
  <si>
    <t>V6V15T</t>
  </si>
  <si>
    <t>Sent to josefien@qlayers.com on 2026-08-26</t>
  </si>
  <si>
    <t>Joseph Peeraer</t>
  </si>
  <si>
    <t>Joseph</t>
  </si>
  <si>
    <t>Peeraer</t>
  </si>
  <si>
    <t>joseph@positron.vc</t>
  </si>
  <si>
    <t>MLSNSZ</t>
  </si>
  <si>
    <t>Sent to joseph@positron.vc on 2026-08-26</t>
  </si>
  <si>
    <t>Joshua Klappe</t>
  </si>
  <si>
    <t>Klappe</t>
  </si>
  <si>
    <t>joshua.klappe@gmail.com</t>
  </si>
  <si>
    <t>57NYTJ</t>
  </si>
  <si>
    <t>Sent to joshua.klappe@gmail.com on 2026-08-26</t>
  </si>
  <si>
    <t>Jouke Goslinga</t>
  </si>
  <si>
    <t>Jouke</t>
  </si>
  <si>
    <t>Goslinga</t>
  </si>
  <si>
    <t>jrj.goslinga@portofrotterdam.com</t>
  </si>
  <si>
    <t>VL86MS</t>
  </si>
  <si>
    <t>Sent to jrj.goslinga@portofrotterdam.com on 2026-08-26</t>
  </si>
  <si>
    <t>Jouri Schoemaker</t>
  </si>
  <si>
    <t>Jouri</t>
  </si>
  <si>
    <t>Schoemaker</t>
  </si>
  <si>
    <r>
      <rPr>
        <color rgb="FF1155CC"/>
        <sz val="11.0"/>
        <u/>
      </rPr>
      <t>jourischoemaker@gmail.com</t>
    </r>
  </si>
  <si>
    <t>Shake On</t>
  </si>
  <si>
    <t>5M0LVD</t>
  </si>
  <si>
    <t>Sent to jourischoemaker@gmail.com on 2026-08-26</t>
  </si>
  <si>
    <t>Joyce Kornet-Vreugdenhil</t>
  </si>
  <si>
    <t>Joyce</t>
  </si>
  <si>
    <t>Kornet-Vreugdenhil</t>
  </si>
  <si>
    <t>joyce.kornet@cic.com</t>
  </si>
  <si>
    <t>cic</t>
  </si>
  <si>
    <t>XZBH5Z</t>
  </si>
  <si>
    <t>Sent to joyce.kornet@cic.com on 2026-08-26</t>
  </si>
  <si>
    <t>Judith Witte</t>
  </si>
  <si>
    <t>Judith</t>
  </si>
  <si>
    <t>Witte</t>
  </si>
  <si>
    <t>j.witte@minezk.nl</t>
  </si>
  <si>
    <t>0Z00MO</t>
  </si>
  <si>
    <t>Sent to j.witte@minezk.nl on 2026-08-26</t>
  </si>
  <si>
    <t>Jules van Oven</t>
  </si>
  <si>
    <t>Jules</t>
  </si>
  <si>
    <t>van Oven</t>
  </si>
  <si>
    <t>jules@qblox.com</t>
  </si>
  <si>
    <t>qblox</t>
  </si>
  <si>
    <t>ZJ994E</t>
  </si>
  <si>
    <t>Sent to jules@qblox.com on 2026-08-26</t>
  </si>
  <si>
    <t>Jules Rombouts</t>
  </si>
  <si>
    <t>Rombouts</t>
  </si>
  <si>
    <t>julesrombouts@naturesprinciples.eu</t>
  </si>
  <si>
    <t>JSEB52</t>
  </si>
  <si>
    <t>Sent to julesrombouts@naturesprinciples.eu on 2026-08-26</t>
  </si>
  <si>
    <t>Julia Knoeff</t>
  </si>
  <si>
    <t>Julia</t>
  </si>
  <si>
    <t>Knoeff</t>
  </si>
  <si>
    <t>julia.knoeff@graduate.nl</t>
  </si>
  <si>
    <t>UHTQW5</t>
  </si>
  <si>
    <t>Sent to julia.knoeff@graduate.nl on 2026-08-26</t>
  </si>
  <si>
    <t>Julia Padberg</t>
  </si>
  <si>
    <t>Padberg</t>
  </si>
  <si>
    <t>juliapadberg@setventures.com</t>
  </si>
  <si>
    <t>T87GUX</t>
  </si>
  <si>
    <t>Sent to juliapadberg@setventures.com on 2026-08-26</t>
  </si>
  <si>
    <t>Julian Jagtenberg</t>
  </si>
  <si>
    <t>Julian</t>
  </si>
  <si>
    <t>Jagtenberg</t>
  </si>
  <si>
    <t>julian@somnox.com</t>
  </si>
  <si>
    <t>Somnox</t>
  </si>
  <si>
    <t>W7V810</t>
  </si>
  <si>
    <t>Sent to julian@somnox.com on 2026-08-26</t>
  </si>
  <si>
    <t>Julien Fredonie</t>
  </si>
  <si>
    <t>Julien</t>
  </si>
  <si>
    <t>Fredonie</t>
  </si>
  <si>
    <t>julien@hondainnovations.com</t>
  </si>
  <si>
    <t>Honda Xcelerator Ventures</t>
  </si>
  <si>
    <t>HEG0NV</t>
  </si>
  <si>
    <t>Sent to julien@hondainnovations.com on 2026-08-26</t>
  </si>
  <si>
    <t>Jurgen Nieuwenhuijsen</t>
  </si>
  <si>
    <t>Jurgen</t>
  </si>
  <si>
    <t>Nieuwenhuijsen</t>
  </si>
  <si>
    <t>jurgen@unknowngroup.com</t>
  </si>
  <si>
    <t>6A7E64</t>
  </si>
  <si>
    <t>Sent to jurgen@unknowngroup.com on 2026-08-26</t>
  </si>
  <si>
    <t>Juri Volodin</t>
  </si>
  <si>
    <t>Juri</t>
  </si>
  <si>
    <t>Volodin</t>
  </si>
  <si>
    <t>juri@spiralhydrogen.com</t>
  </si>
  <si>
    <t>Spiral Hydrogen</t>
  </si>
  <si>
    <t>ZY2YXG</t>
  </si>
  <si>
    <t>Sent to juri@spiralhydrogen.com on 2026-08-26</t>
  </si>
  <si>
    <t>Jussi Sainiemi</t>
  </si>
  <si>
    <t>Jussi</t>
  </si>
  <si>
    <t>Sainiemi</t>
  </si>
  <si>
    <t>jussi.sainiemi@voimaventures.com</t>
  </si>
  <si>
    <t>Voiman Ventures</t>
  </si>
  <si>
    <t>MSP6DG</t>
  </si>
  <si>
    <t>Sent to jussi.sainiemi@voimaventures.com on 2026-08-26</t>
  </si>
  <si>
    <t>Just van den Hoek</t>
  </si>
  <si>
    <t>Just</t>
  </si>
  <si>
    <t>van den Hoek</t>
  </si>
  <si>
    <t>j.j.vandenhoek@minezk.nl</t>
  </si>
  <si>
    <t>E0QUH9</t>
  </si>
  <si>
    <t>Sent to j.j.vandenhoek@minezk.nl on 2026-08-26</t>
  </si>
  <si>
    <t>Just Schornagel</t>
  </si>
  <si>
    <t>Schornagel</t>
  </si>
  <si>
    <t xml:space="preserve">schornagel@slamortho.com </t>
  </si>
  <si>
    <t>slamortho</t>
  </si>
  <si>
    <t>BZCZJ1</t>
  </si>
  <si>
    <t>Sent to schornagel@slamortho.com  on 2026-08-26</t>
  </si>
  <si>
    <t>Justin Dauwels</t>
  </si>
  <si>
    <t>Justin</t>
  </si>
  <si>
    <t>Dauwels</t>
  </si>
  <si>
    <t>j.h.g.dauwels@tudelft.nl</t>
  </si>
  <si>
    <t>AZG7FU</t>
  </si>
  <si>
    <t>Sent to j.h.g.dauwels@tudelft.nl on 2026-08-26</t>
  </si>
  <si>
    <t>Justin Kok</t>
  </si>
  <si>
    <t>j.n.s.kok@tudelft.nl</t>
  </si>
  <si>
    <t>HIC69V</t>
  </si>
  <si>
    <t>Sent to j.n.s.kok@tudelft.nl on 2026-08-26</t>
  </si>
  <si>
    <t>Justin Fourie</t>
  </si>
  <si>
    <t>Fourie</t>
  </si>
  <si>
    <t>justin@oakandmie.com</t>
  </si>
  <si>
    <t>Gyrafit</t>
  </si>
  <si>
    <t>PLBOI2</t>
  </si>
  <si>
    <t>Sent to justin@oakandmie.com on 2026-08-26</t>
  </si>
  <si>
    <t>Kaj Burchardi</t>
  </si>
  <si>
    <t>Kaj</t>
  </si>
  <si>
    <t>Burchardi</t>
  </si>
  <si>
    <t>burchardi.kaj@bcgplatinion.com</t>
  </si>
  <si>
    <t>bcgplatinion</t>
  </si>
  <si>
    <t>L0Q021</t>
  </si>
  <si>
    <t>Sent to burchardi.kaj@bcgplatinion.com on 2026-08-26</t>
  </si>
  <si>
    <t>Karel Van Cleemput</t>
  </si>
  <si>
    <t>Karel</t>
  </si>
  <si>
    <t>Van Cleemput</t>
  </si>
  <si>
    <t>karel.vancleemput@korys.be</t>
  </si>
  <si>
    <t>D0P3D5</t>
  </si>
  <si>
    <t>Sent to karel.vancleemput@korys.be on 2026-08-26</t>
  </si>
  <si>
    <t>Karina Czapiewska</t>
  </si>
  <si>
    <t>Czapiewska</t>
  </si>
  <si>
    <t>karina@blue21.nl</t>
  </si>
  <si>
    <t>PJQ74Q</t>
  </si>
  <si>
    <t>Sent to karina@blue21.nl on 2026-08-26</t>
  </si>
  <si>
    <t>Kars Veling</t>
  </si>
  <si>
    <t>Kars</t>
  </si>
  <si>
    <t>Veling</t>
  </si>
  <si>
    <t>kars@karsveling.com</t>
  </si>
  <si>
    <t>karsveling</t>
  </si>
  <si>
    <t>PRER7M</t>
  </si>
  <si>
    <t>Sent to kars@karsveling.com on 2026-08-26</t>
  </si>
  <si>
    <t>Karthik Kannan</t>
  </si>
  <si>
    <t>Karthik</t>
  </si>
  <si>
    <t>Kannan</t>
  </si>
  <si>
    <t>kk@letsenvision.com</t>
  </si>
  <si>
    <t>Envision</t>
  </si>
  <si>
    <t>ASAYQ2</t>
  </si>
  <si>
    <t>Sent to kk@letsenvision.com on 2026-08-26</t>
  </si>
  <si>
    <t>Karthik Mahadevan</t>
  </si>
  <si>
    <t>Mahadevan</t>
  </si>
  <si>
    <t>km@letsenvision.com</t>
  </si>
  <si>
    <t>letsenvision</t>
  </si>
  <si>
    <t>JI7EPZ</t>
  </si>
  <si>
    <t>Sent to km@letsenvision.com on 2026-08-26</t>
  </si>
  <si>
    <t>Kas van Roekel</t>
  </si>
  <si>
    <t>Kas</t>
  </si>
  <si>
    <t>van Roekel</t>
  </si>
  <si>
    <t>Kas@CO2Zero.online</t>
  </si>
  <si>
    <t>QI5DYM</t>
  </si>
  <si>
    <t>Sent to Kas@CO2Zero.online on 2026-08-26</t>
  </si>
  <si>
    <t>Kas Hogeboom</t>
  </si>
  <si>
    <t>Hogeboom</t>
  </si>
  <si>
    <t xml:space="preserve">kas@lyla.systems </t>
  </si>
  <si>
    <t>62QEWZ</t>
  </si>
  <si>
    <t>Sent to kas@lyla.systems  on 2026-08-26</t>
  </si>
  <si>
    <t>Katinka Ros</t>
  </si>
  <si>
    <t>Katinka</t>
  </si>
  <si>
    <t>Ros</t>
  </si>
  <si>
    <t>katinka.ros@doen.nl</t>
  </si>
  <si>
    <t>doen</t>
  </si>
  <si>
    <t>75X3XO</t>
  </si>
  <si>
    <t>Sent to katinka.ros@doen.nl on 2026-08-26</t>
  </si>
  <si>
    <t>Kee Koopmans</t>
  </si>
  <si>
    <t>Kee</t>
  </si>
  <si>
    <t>Koopmans</t>
  </si>
  <si>
    <t>kee@goeie-grutten.nl</t>
  </si>
  <si>
    <t>goeie-grutten</t>
  </si>
  <si>
    <t>F1S3F1</t>
  </si>
  <si>
    <t>Sent to kee@goeie-grutten.nl on 2026-08-26</t>
  </si>
  <si>
    <t>Kelbey Wheeler</t>
  </si>
  <si>
    <t>Kelbey</t>
  </si>
  <si>
    <t>Wheeler</t>
  </si>
  <si>
    <t>k.wheeler@benedictpeax.com</t>
  </si>
  <si>
    <t>W47ZWL</t>
  </si>
  <si>
    <t>Sent to k.wheeler@benedictpeax.com on 2026-08-26</t>
  </si>
  <si>
    <t>Ken Fleming</t>
  </si>
  <si>
    <t>Fleming</t>
  </si>
  <si>
    <t>k.fleming@fizyr.com</t>
  </si>
  <si>
    <t>IUGXI5</t>
  </si>
  <si>
    <t>Sent to k.fleming@fizyr.com on 2026-08-26</t>
  </si>
  <si>
    <t>Kenneth Heijns</t>
  </si>
  <si>
    <t>Kenneth</t>
  </si>
  <si>
    <t>Heijns</t>
  </si>
  <si>
    <t>k.p.heijns@tudelft.nl</t>
  </si>
  <si>
    <t>G33MWT</t>
  </si>
  <si>
    <t>Sent to k.p.heijns@tudelft.nl on 2026-08-26</t>
  </si>
  <si>
    <t>Kerim Haccou</t>
  </si>
  <si>
    <t>Kerim</t>
  </si>
  <si>
    <t>Haccou</t>
  </si>
  <si>
    <t>kerim@ans.app</t>
  </si>
  <si>
    <t>7V23XZ</t>
  </si>
  <si>
    <t>Sent to kerim@ans.app on 2026-08-26</t>
  </si>
  <si>
    <t>Kevin van Hecke</t>
  </si>
  <si>
    <t>Kevin</t>
  </si>
  <si>
    <t>van Hecke</t>
  </si>
  <si>
    <t>kevin@pats-drones.com</t>
  </si>
  <si>
    <t>pats-drones</t>
  </si>
  <si>
    <t>A1YQEA</t>
  </si>
  <si>
    <t>Sent to kevin@pats-drones.com on 2026-08-26</t>
  </si>
  <si>
    <t>Khashayar Mansourizadeh</t>
  </si>
  <si>
    <t>Khashayar</t>
  </si>
  <si>
    <t>Mansourizadeh</t>
  </si>
  <si>
    <t>k.mansourizadeh@starnustech.com</t>
  </si>
  <si>
    <t>V51FSU</t>
  </si>
  <si>
    <t>Sent to k.mansourizadeh@starnustech.com on 2026-08-26</t>
  </si>
  <si>
    <t>Khuram Hussain</t>
  </si>
  <si>
    <t>Khuram</t>
  </si>
  <si>
    <t>Hussain</t>
  </si>
  <si>
    <t>me@khuramhussain.com</t>
  </si>
  <si>
    <t>Inbox2</t>
  </si>
  <si>
    <t>F5PPMM</t>
  </si>
  <si>
    <t>Sent to me@khuramhussain.com on 2026-08-26</t>
  </si>
  <si>
    <t>Kiran van Hall</t>
  </si>
  <si>
    <t>Kiran</t>
  </si>
  <si>
    <t>kiran.vanhall@gmail.com</t>
  </si>
  <si>
    <t>Aleph Cognito</t>
  </si>
  <si>
    <t>UQ88KV</t>
  </si>
  <si>
    <t>Sent to kiran.vanhall@gmail.com on 2026-08-26</t>
  </si>
  <si>
    <t>Kirsten Steinbusch</t>
  </si>
  <si>
    <t>Steinbusch</t>
  </si>
  <si>
    <t>kirsten@steinbusch.bio</t>
  </si>
  <si>
    <t>F0XO9D</t>
  </si>
  <si>
    <t>Sent to kirsten@steinbusch.bio on 2026-08-26</t>
  </si>
  <si>
    <t>Kiziltan Yuceil</t>
  </si>
  <si>
    <t>Kiziltan</t>
  </si>
  <si>
    <t>Yuceil</t>
  </si>
  <si>
    <t>k_yuceil@ngkntk.de</t>
  </si>
  <si>
    <t>Niterra</t>
  </si>
  <si>
    <t>M0F5JK</t>
  </si>
  <si>
    <t>Sent to k_yuceil@ngkntk.de on 2026-08-26</t>
  </si>
  <si>
    <t>Kjell Mortier</t>
  </si>
  <si>
    <t>Kjell</t>
  </si>
  <si>
    <t>Mortier</t>
  </si>
  <si>
    <t>kjell@noval.is</t>
  </si>
  <si>
    <t>noval.is</t>
  </si>
  <si>
    <t>U6IG2B</t>
  </si>
  <si>
    <t>Sent to kjell@noval.is on 2026-08-26</t>
  </si>
  <si>
    <t>Klaas Esselink</t>
  </si>
  <si>
    <t>Klaas</t>
  </si>
  <si>
    <t>Esselink</t>
  </si>
  <si>
    <t>klaas@init-power.com</t>
  </si>
  <si>
    <t>init-power</t>
  </si>
  <si>
    <t>KFHK15</t>
  </si>
  <si>
    <t>Sent to klaas@init-power.com on 2026-08-26</t>
  </si>
  <si>
    <t>Klemens Karssen</t>
  </si>
  <si>
    <t>Klemens</t>
  </si>
  <si>
    <t>Karssen</t>
  </si>
  <si>
    <t>klemens@zorgkeuzelab.nl</t>
  </si>
  <si>
    <t>zorgkeuzelab</t>
  </si>
  <si>
    <t>QVJFN7</t>
  </si>
  <si>
    <t>Sent to klemens@zorgkeuzelab.nl on 2026-08-26</t>
  </si>
  <si>
    <t>Koen Vermeer</t>
  </si>
  <si>
    <t>Vermeer</t>
  </si>
  <si>
    <t>koen.vermeer@hollandhightech.nl</t>
  </si>
  <si>
    <t>hollandhightech</t>
  </si>
  <si>
    <t>OPRBU0</t>
  </si>
  <si>
    <t>Sent to koen.vermeer@hollandhightech.nl on 2026-08-26</t>
  </si>
  <si>
    <t>Koen Vogel</t>
  </si>
  <si>
    <t>Vogel</t>
  </si>
  <si>
    <r>
      <rPr>
        <rFont val="Arial, Helvetica, sans-serif"/>
        <color rgb="FF1155CC"/>
        <u/>
      </rPr>
      <t>koen.vogel@portxl.org</t>
    </r>
  </si>
  <si>
    <t>A8PSD0</t>
  </si>
  <si>
    <t>Sent to koen.vogel@portxl.org on 2026-08-26</t>
  </si>
  <si>
    <t>Korstiaan Zandvliet</t>
  </si>
  <si>
    <t>Korstiaan</t>
  </si>
  <si>
    <t>kz@uiventures.com</t>
  </si>
  <si>
    <t>uiventures</t>
  </si>
  <si>
    <t>4BGBCR</t>
  </si>
  <si>
    <t>Sent to kz@uiventures.com on 2026-08-26</t>
  </si>
  <si>
    <t>Kyriakos Charalampides</t>
  </si>
  <si>
    <t>Kyriakos</t>
  </si>
  <si>
    <t>Charalampides</t>
  </si>
  <si>
    <t>kyriakos@reliq-instruments.com</t>
  </si>
  <si>
    <t>Reliq (Osiris) &amp; twelve-lab</t>
  </si>
  <si>
    <t>UQUY3S</t>
  </si>
  <si>
    <t>Sent to kyriakos@reliq-instruments.com on 2026-08-26</t>
  </si>
  <si>
    <t>Lara Elkhoury</t>
  </si>
  <si>
    <t>Lara</t>
  </si>
  <si>
    <t>Elkhoury</t>
  </si>
  <si>
    <t>lara.elkhoury@berytech.org</t>
  </si>
  <si>
    <t>berytech</t>
  </si>
  <si>
    <t>OTI4T7</t>
  </si>
  <si>
    <t>Sent to lara.elkhoury@berytech.org on 2026-08-26</t>
  </si>
  <si>
    <t>Lars Langhorst</t>
  </si>
  <si>
    <t>Lars</t>
  </si>
  <si>
    <r>
      <rPr>
        <rFont val="Arial, Helvetica, sans-serif"/>
        <color rgb="FF1155CC"/>
        <u/>
      </rPr>
      <t>L.M.Langhorst@tudelft.nl</t>
    </r>
  </si>
  <si>
    <t>WCXYZR</t>
  </si>
  <si>
    <t>Sent to L.M.Langhorst@tudelft.nl on 2026-08-26</t>
  </si>
  <si>
    <t>Lars Pepermans</t>
  </si>
  <si>
    <t>Pepermans</t>
  </si>
  <si>
    <t>l.pepermans@t-minus.nl</t>
  </si>
  <si>
    <t>T-Minus Engineering</t>
  </si>
  <si>
    <t>Founder/startup</t>
  </si>
  <si>
    <t>MNNVSN</t>
  </si>
  <si>
    <t>Sent to l.pepermans@t-minus.nl on 2026-08-26</t>
  </si>
  <si>
    <t>Lars Crama</t>
  </si>
  <si>
    <t>Crama</t>
  </si>
  <si>
    <t>Lars.crama@innovationquarter.nl</t>
  </si>
  <si>
    <t>7XBVXZ</t>
  </si>
  <si>
    <t>Sent to Lars.crama@innovationquarter.nl on 2026-08-26</t>
  </si>
  <si>
    <t>Lars Groenveld</t>
  </si>
  <si>
    <t>Groenveld</t>
  </si>
  <si>
    <t>lars.groenveld@invest-nl.nl</t>
  </si>
  <si>
    <t>V4TPR9</t>
  </si>
  <si>
    <t>Sent to lars.groenveld@invest-nl.nl on 2026-08-26</t>
  </si>
  <si>
    <t>Laura Achach</t>
  </si>
  <si>
    <t>Laura</t>
  </si>
  <si>
    <t>Achach</t>
  </si>
  <si>
    <t>laura.achach@kurmapartners.com</t>
  </si>
  <si>
    <t>kurmapartners</t>
  </si>
  <si>
    <t>7CP07U</t>
  </si>
  <si>
    <t>Sent to laura.achach@kurmapartners.com on 2026-08-26</t>
  </si>
  <si>
    <t>Laurens Vanryckeghem</t>
  </si>
  <si>
    <t>Laurens</t>
  </si>
  <si>
    <t>Vanryckeghem</t>
  </si>
  <si>
    <t>l.vanryckeghem@pnptc.com</t>
  </si>
  <si>
    <t>pnptc</t>
  </si>
  <si>
    <t>MKYHW8</t>
  </si>
  <si>
    <t>Sent to l.vanryckeghem@pnptc.com on 2026-08-26</t>
  </si>
  <si>
    <t>Laurens Mackay</t>
  </si>
  <si>
    <t>Mackay</t>
  </si>
  <si>
    <t>laurens.mackay@dc-opportunities.com</t>
  </si>
  <si>
    <t>DC Opportunities</t>
  </si>
  <si>
    <t>XJRTSX</t>
  </si>
  <si>
    <t>Sent to laurens.mackay@dc-opportunities.com on 2026-08-26</t>
  </si>
  <si>
    <t>Laurens Verspeek</t>
  </si>
  <si>
    <t>Verspeek</t>
  </si>
  <si>
    <t>laurens@effect.ai</t>
  </si>
  <si>
    <t>I2GZTY</t>
  </si>
  <si>
    <t>Sent to laurens@effect.ai on 2026-08-26</t>
  </si>
  <si>
    <t>Lauwerens Metz</t>
  </si>
  <si>
    <t>Lauwerens</t>
  </si>
  <si>
    <t>Metz</t>
  </si>
  <si>
    <t>lauwerens@innovattic.com</t>
  </si>
  <si>
    <t>Innovattic</t>
  </si>
  <si>
    <t>64NOBD</t>
  </si>
  <si>
    <t>Sent to lauwerens@innovattic.com on 2026-08-26</t>
  </si>
  <si>
    <t>Lauwerens Johannes Metz</t>
  </si>
  <si>
    <t>Lauwerens Johannes</t>
  </si>
  <si>
    <t>l.j.metz@innovattic.com</t>
  </si>
  <si>
    <t>TT56P4</t>
  </si>
  <si>
    <t>Sent to l.j.metz@innovattic.com on 2026-08-26</t>
  </si>
  <si>
    <t>Lech Bakhuizen van den Brink</t>
  </si>
  <si>
    <t>Lech</t>
  </si>
  <si>
    <t>Bakhuizen van den Brink</t>
  </si>
  <si>
    <t>lech@techleap.nl</t>
  </si>
  <si>
    <t>NM37L0</t>
  </si>
  <si>
    <t>Sent to lech@techleap.nl on 2026-08-26</t>
  </si>
  <si>
    <t>Leendert Bikker</t>
  </si>
  <si>
    <t>Leendert</t>
  </si>
  <si>
    <t>Bikker</t>
  </si>
  <si>
    <t>leendert@bikker.com</t>
  </si>
  <si>
    <t>bikker</t>
  </si>
  <si>
    <t>0MPZOT</t>
  </si>
  <si>
    <t>Sent to leendert@bikker.com on 2026-08-26</t>
  </si>
  <si>
    <t>Lennard Zwart</t>
  </si>
  <si>
    <t>Lennard</t>
  </si>
  <si>
    <t>Zwart</t>
  </si>
  <si>
    <t>lennard@lenhold.com</t>
  </si>
  <si>
    <t>lenhold</t>
  </si>
  <si>
    <t>4KB264</t>
  </si>
  <si>
    <t>Sent to lennard@lenhold.com on 2026-08-26</t>
  </si>
  <si>
    <t>Lennart Bult</t>
  </si>
  <si>
    <t>Bult</t>
  </si>
  <si>
    <t>lennart.bult@emergentswarms.com</t>
  </si>
  <si>
    <t>emergentswarms</t>
  </si>
  <si>
    <t>HZDBSZ</t>
  </si>
  <si>
    <t>Sent to lennart.bult@emergentswarms.com on 2026-08-26</t>
  </si>
  <si>
    <t>Lennart Kleibergen</t>
  </si>
  <si>
    <t>Kleibergen</t>
  </si>
  <si>
    <t>lennart.kleibergen@ing.com</t>
  </si>
  <si>
    <t>ing</t>
  </si>
  <si>
    <t>6SMTZF</t>
  </si>
  <si>
    <t>Sent to lennart.kleibergen@ing.com on 2026-08-26</t>
  </si>
  <si>
    <t>Lennart Velten</t>
  </si>
  <si>
    <t>Velten</t>
  </si>
  <si>
    <t>lennart.velten@nif.fund</t>
  </si>
  <si>
    <t>nif.fund</t>
  </si>
  <si>
    <t>B2NM8A</t>
  </si>
  <si>
    <t>Sent to lennart.velten@nif.fund on 2026-08-26</t>
  </si>
  <si>
    <t>Lennart Budelmann</t>
  </si>
  <si>
    <t>Budelmann</t>
  </si>
  <si>
    <t>lennart@aqysta.com</t>
  </si>
  <si>
    <t>aqysta</t>
  </si>
  <si>
    <t>OAPOQF</t>
  </si>
  <si>
    <t>Sent to lennart@aqysta.com on 2026-08-26</t>
  </si>
  <si>
    <t>Lenneke de Voogd-Claessen</t>
  </si>
  <si>
    <t>Lenneke</t>
  </si>
  <si>
    <t>de Voogd-Claessen</t>
  </si>
  <si>
    <t>H.deVoogd-Claessen@tudelft.nl</t>
  </si>
  <si>
    <t>AYMS2Y</t>
  </si>
  <si>
    <t>Sent to H.deVoogd-Claessen@tudelft.nl on 2026-08-26</t>
  </si>
  <si>
    <t>Lennert van den Berg</t>
  </si>
  <si>
    <t>Lennert</t>
  </si>
  <si>
    <t>lennert@flexsolsolutions.com</t>
  </si>
  <si>
    <t>flexsolsolutions</t>
  </si>
  <si>
    <t>EDC76U</t>
  </si>
  <si>
    <t>Sent to lennert@flexsolsolutions.com on 2026-08-26</t>
  </si>
  <si>
    <t>Leon Hoek</t>
  </si>
  <si>
    <t>Leon</t>
  </si>
  <si>
    <t>Hoek</t>
  </si>
  <si>
    <t>leon.hoek@lansingerland.nl</t>
  </si>
  <si>
    <t>lansingerland</t>
  </si>
  <si>
    <t>1I5V20</t>
  </si>
  <si>
    <t>Sent to leon.hoek@lansingerland.nl on 2026-08-26</t>
  </si>
  <si>
    <t>Leon Horbach</t>
  </si>
  <si>
    <t>Horbach</t>
  </si>
  <si>
    <t>leon@civinc.co</t>
  </si>
  <si>
    <t>RZCQ5A</t>
  </si>
  <si>
    <t>Sent to leon@civinc.co on 2026-08-26</t>
  </si>
  <si>
    <t>Leonard Moonen</t>
  </si>
  <si>
    <t>Leonard</t>
  </si>
  <si>
    <t>Moonen</t>
  </si>
  <si>
    <t>leonard@praxasense.com</t>
  </si>
  <si>
    <t>praxasense</t>
  </si>
  <si>
    <t>TG9ABW</t>
  </si>
  <si>
    <t>Sent to leonard@praxasense.com on 2026-08-26</t>
  </si>
  <si>
    <t>Leonardo Fuligni</t>
  </si>
  <si>
    <t>Leonardo</t>
  </si>
  <si>
    <t>Fuligni</t>
  </si>
  <si>
    <t>fuligni@ece.nl</t>
  </si>
  <si>
    <t>R7X38I</t>
  </si>
  <si>
    <t>Sent to fuligni@ece.nl on 2026-08-26</t>
  </si>
  <si>
    <t>Leonids Maslovs</t>
  </si>
  <si>
    <t>Leonids</t>
  </si>
  <si>
    <t>Maslovs</t>
  </si>
  <si>
    <t>ileonidmas@gmail.com</t>
  </si>
  <si>
    <t>JG70LD</t>
  </si>
  <si>
    <t>Sent to ileonidmas@gmail.com on 2026-08-26</t>
  </si>
  <si>
    <t>Leonie de Keizer</t>
  </si>
  <si>
    <t>Leonie</t>
  </si>
  <si>
    <t>de Keizer</t>
  </si>
  <si>
    <t>office@isispace.nl</t>
  </si>
  <si>
    <t>0S40IW</t>
  </si>
  <si>
    <t>Sent to office@isispace.nl on 2026-08-26</t>
  </si>
  <si>
    <t>Lesley Fockema Andreae</t>
  </si>
  <si>
    <t>Lesley</t>
  </si>
  <si>
    <t>Fockema Andreae</t>
  </si>
  <si>
    <t>lesley.fa@outlook.com</t>
  </si>
  <si>
    <t>UFO5I0</t>
  </si>
  <si>
    <t>Sent to lesley.fa@outlook.com on 2026-08-26</t>
  </si>
  <si>
    <t>Leslie Vijn</t>
  </si>
  <si>
    <t>Leslie</t>
  </si>
  <si>
    <t>Vijn</t>
  </si>
  <si>
    <t>l.m.vijn@minezk.nl</t>
  </si>
  <si>
    <t>YSFER8</t>
  </si>
  <si>
    <t>Sent to l.m.vijn@minezk.nl on 2026-08-26</t>
  </si>
  <si>
    <t>Lethabo Motsoaledi</t>
  </si>
  <si>
    <t>Lethabo</t>
  </si>
  <si>
    <t>Motsoaledi</t>
  </si>
  <si>
    <t>lethabo@voyc.ai</t>
  </si>
  <si>
    <t>Voyc</t>
  </si>
  <si>
    <t>IY31I4</t>
  </si>
  <si>
    <t>Sent to lethabo@voyc.ai on 2026-08-26</t>
  </si>
  <si>
    <t>Lex Westbroek</t>
  </si>
  <si>
    <t>Lex</t>
  </si>
  <si>
    <t>Westbroek</t>
  </si>
  <si>
    <t>lw@brightlandsventurepartners.com</t>
  </si>
  <si>
    <t>brightlandsventurepartners</t>
  </si>
  <si>
    <t>VIAMBA</t>
  </si>
  <si>
    <t>Sent to lw@brightlandsventurepartners.com on 2026-08-26</t>
  </si>
  <si>
    <t>Limpens Freek Smoes (YES!Delft) Limpens</t>
  </si>
  <si>
    <t>Limpens</t>
  </si>
  <si>
    <r>
      <rPr>
        <color rgb="FF1155CC"/>
        <sz val="11.0"/>
        <u/>
      </rPr>
      <t>didier.limpens@innovationquarter.nl</t>
    </r>
  </si>
  <si>
    <t>4BKAB9</t>
  </si>
  <si>
    <t>Sent to didier.limpens@innovationquarter.nl on 2026-08-26</t>
  </si>
  <si>
    <t>Linda Treuman</t>
  </si>
  <si>
    <t>Linda</t>
  </si>
  <si>
    <t>Treuman</t>
  </si>
  <si>
    <t>linda.treuman@portxl.org</t>
  </si>
  <si>
    <t>F4ETKJ</t>
  </si>
  <si>
    <t>Sent to linda.treuman@portxl.org on 2026-08-26</t>
  </si>
  <si>
    <t>Lisa Ericsson</t>
  </si>
  <si>
    <t>Lisa</t>
  </si>
  <si>
    <t>Ericsson</t>
  </si>
  <si>
    <r>
      <rPr>
        <color rgb="FF1155CC"/>
        <sz val="11.0"/>
        <u/>
      </rPr>
      <t>lisaeric@kth.se</t>
    </r>
  </si>
  <si>
    <t>KTH</t>
  </si>
  <si>
    <t>U7PQPU</t>
  </si>
  <si>
    <t>Sent to lisaeric@kth.se on 2026-08-26</t>
  </si>
  <si>
    <t>Lisanne Blauw</t>
  </si>
  <si>
    <t>Blauw</t>
  </si>
  <si>
    <t>lisanne.blauw@thujacapital.com</t>
  </si>
  <si>
    <t>Y1SF9A</t>
  </si>
  <si>
    <t>Sent to lisanne.blauw@thujacapital.com on 2026-08-26</t>
  </si>
  <si>
    <t>Liselotte de Vries</t>
  </si>
  <si>
    <t>Liselotte</t>
  </si>
  <si>
    <t>liselotte.devries@tudelft.nl</t>
  </si>
  <si>
    <t>NMTORS</t>
  </si>
  <si>
    <t>Sent to liselotte.devries@tudelft.nl on 2026-08-26</t>
  </si>
  <si>
    <t>Liselotte Stolk</t>
  </si>
  <si>
    <t>Stolk</t>
  </si>
  <si>
    <t>liselotte@praxasense.com</t>
  </si>
  <si>
    <t>Praxa sense</t>
  </si>
  <si>
    <t>68YT6Q</t>
  </si>
  <si>
    <t>Sent to liselotte@praxasense.com on 2026-08-26</t>
  </si>
  <si>
    <t>Lisette Braakenburg</t>
  </si>
  <si>
    <t>Lisette</t>
  </si>
  <si>
    <t>Braakenburg</t>
  </si>
  <si>
    <t>lisette@upstreamfestival.com</t>
  </si>
  <si>
    <t>upstreamfestival</t>
  </si>
  <si>
    <t>87UK2M</t>
  </si>
  <si>
    <t>Sent to lisette@upstreamfestival.com on 2026-08-26</t>
  </si>
  <si>
    <t>Lonneke Baas</t>
  </si>
  <si>
    <t>Lonneke</t>
  </si>
  <si>
    <t>lonneke.baas@innovationquarter.nl</t>
  </si>
  <si>
    <t>EIE33Z</t>
  </si>
  <si>
    <t>Sent to lonneke.baas@innovationquarter.nl on 2026-08-26</t>
  </si>
  <si>
    <t>Lonneke Hendrikx-Westhoff</t>
  </si>
  <si>
    <t>Hendrikx-Westhoff</t>
  </si>
  <si>
    <t>lonnekehendrikxwesthoff@loop-biotech.com</t>
  </si>
  <si>
    <t>H800FZ</t>
  </si>
  <si>
    <t>Sent to lonnekehendrikxwesthoff@loop-biotech.com on 2026-08-26</t>
  </si>
  <si>
    <t>Lonneke Westerhof</t>
  </si>
  <si>
    <t>Westerhof</t>
  </si>
  <si>
    <t>lonnekewesthoff@loop-biotech.com</t>
  </si>
  <si>
    <t>C6Z9EJ</t>
  </si>
  <si>
    <t>Sent to lonnekewesthoff@loop-biotech.com on 2026-08-26</t>
  </si>
  <si>
    <t>Lotte Leufkens</t>
  </si>
  <si>
    <t>Lotte</t>
  </si>
  <si>
    <t>Leufkens</t>
  </si>
  <si>
    <t>lotteleufkens@gmail.com</t>
  </si>
  <si>
    <t>gmail</t>
  </si>
  <si>
    <t>HPXIVE</t>
  </si>
  <si>
    <t>Sent to lotteleufkens@gmail.com on 2026-08-26</t>
  </si>
  <si>
    <t>Luc Schrover</t>
  </si>
  <si>
    <t>Schrover</t>
  </si>
  <si>
    <r>
      <rPr>
        <color rgb="FF1155CC"/>
        <sz val="11.0"/>
        <u/>
      </rPr>
      <t>lschrover@tdvg.nl</t>
    </r>
  </si>
  <si>
    <t>Tdvg</t>
  </si>
  <si>
    <t>9NGZO7</t>
  </si>
  <si>
    <t>Sent to lschrover@tdvg.nl on 2026-08-26</t>
  </si>
  <si>
    <t>Luc Schmitt</t>
  </si>
  <si>
    <t xml:space="preserve">Schmitt </t>
  </si>
  <si>
    <t>luc@f.institute</t>
  </si>
  <si>
    <t>U9XA33</t>
  </si>
  <si>
    <t>Sent to luc@f.institute on 2026-08-26</t>
  </si>
  <si>
    <t>Luca Galatro</t>
  </si>
  <si>
    <t>Luca</t>
  </si>
  <si>
    <t>Galatro</t>
  </si>
  <si>
    <t>luca@vertigo-tech.com</t>
  </si>
  <si>
    <t>vertigo-tech</t>
  </si>
  <si>
    <t>2Y274N</t>
  </si>
  <si>
    <t>Sent to luca@vertigo-tech.com on 2026-08-26</t>
  </si>
  <si>
    <t>Lucas van Vliet</t>
  </si>
  <si>
    <t>van Vliet</t>
  </si>
  <si>
    <t>l.j.vanvliet@tudelft.nl</t>
  </si>
  <si>
    <t>ZHA4ZE</t>
  </si>
  <si>
    <t>Lucas van den Akker</t>
  </si>
  <si>
    <t>van den Akker</t>
  </si>
  <si>
    <t>ls.vandenakker@avans.nl</t>
  </si>
  <si>
    <t>K2NP4R</t>
  </si>
  <si>
    <t>Sent to ls.vandenakker@avans.nl on 2026-08-26</t>
  </si>
  <si>
    <t>Lucas Klamer</t>
  </si>
  <si>
    <t>Klamer</t>
  </si>
  <si>
    <t>lucas.klamer@addoptics.nl</t>
  </si>
  <si>
    <t>AJ4FGB</t>
  </si>
  <si>
    <t>Sent to lucas.klamer@addoptics.nl on 2026-08-26</t>
  </si>
  <si>
    <t>Lucas Peelen</t>
  </si>
  <si>
    <t>Peelen</t>
  </si>
  <si>
    <t>lucaspeelen@dennendonck.com</t>
  </si>
  <si>
    <t>dennendonck</t>
  </si>
  <si>
    <t>JCGF6Z</t>
  </si>
  <si>
    <t>Sent to lucaspeelen@dennendonck.com on 2026-08-26</t>
  </si>
  <si>
    <t>Lucien Vijverberg</t>
  </si>
  <si>
    <t>Lucien</t>
  </si>
  <si>
    <t>Vijverberg</t>
  </si>
  <si>
    <t>l.vijverberg@minezk.nl</t>
  </si>
  <si>
    <t>7CRX6Z</t>
  </si>
  <si>
    <t>Sent to l.vijverberg@minezk.nl on 2026-08-26</t>
  </si>
  <si>
    <t>Lucien Fesselet</t>
  </si>
  <si>
    <t>Fesselet</t>
  </si>
  <si>
    <t>lucien@adinnovations.nl</t>
  </si>
  <si>
    <t>AgriData Innovations</t>
  </si>
  <si>
    <t>IJQGY2</t>
  </si>
  <si>
    <t>Sent to lucien@adinnovations.nl on 2026-08-26</t>
  </si>
  <si>
    <t>Lucien Burm</t>
  </si>
  <si>
    <t>Burm</t>
  </si>
  <si>
    <t>Lucien@dutchstartupassociation.nl</t>
  </si>
  <si>
    <t>dutchstartupassociation</t>
  </si>
  <si>
    <t>RR1BLY</t>
  </si>
  <si>
    <t>Sent to Lucien@dutchstartupassociation.nl on 2026-08-26</t>
  </si>
  <si>
    <t>Ludolf Stavenga</t>
  </si>
  <si>
    <t>Ludolf</t>
  </si>
  <si>
    <t>Stavenga</t>
  </si>
  <si>
    <t>ludolfstavenga@visitreturn.nl</t>
  </si>
  <si>
    <t>visitreturn</t>
  </si>
  <si>
    <t>ZXQURC</t>
  </si>
  <si>
    <t>Sent to ludolfstavenga@visitreturn.nl on 2026-08-26</t>
  </si>
  <si>
    <t>luuk@microlab.nl</t>
  </si>
  <si>
    <t>6IPAUS</t>
  </si>
  <si>
    <t>Sent to luuk@microlab.nl on 2026-08-26</t>
  </si>
  <si>
    <t>Luuk van Langen</t>
  </si>
  <si>
    <t>van Langen</t>
  </si>
  <si>
    <t>vanlangen@viazym.com</t>
  </si>
  <si>
    <t>viazym</t>
  </si>
  <si>
    <t>QH8YJ4</t>
  </si>
  <si>
    <t>Sent to vanlangen@viazym.com on 2026-08-26</t>
  </si>
  <si>
    <t>Maaike Zwart</t>
  </si>
  <si>
    <t xml:space="preserve">Maaike </t>
  </si>
  <si>
    <t>mzwart@delft.nl</t>
  </si>
  <si>
    <t>U494IL</t>
  </si>
  <si>
    <t>Sent to mzwart@delft.nl on 2026-08-26</t>
  </si>
  <si>
    <t>Maarten Kamphuis</t>
  </si>
  <si>
    <t>Kamphuis</t>
  </si>
  <si>
    <t>info@mblades.com</t>
  </si>
  <si>
    <t>mblades</t>
  </si>
  <si>
    <t>QJTBKK</t>
  </si>
  <si>
    <t>Sent to info@mblades.com on 2026-08-26</t>
  </si>
  <si>
    <t>Maarten Korz</t>
  </si>
  <si>
    <t>Korz</t>
  </si>
  <si>
    <t>maarten.korz@zf.com</t>
  </si>
  <si>
    <t xml:space="preserve">ZF </t>
  </si>
  <si>
    <t>2BNFQF</t>
  </si>
  <si>
    <t>Sent to maarten.korz@zf.com on 2026-08-26</t>
  </si>
  <si>
    <t>Maarten van der Seijs</t>
  </si>
  <si>
    <t>van der Seijs</t>
  </si>
  <si>
    <t>maarten@vibestechnology.com</t>
  </si>
  <si>
    <t>KFMKXW</t>
  </si>
  <si>
    <t>Sent to maarten@vibestechnology.com on 2026-08-26</t>
  </si>
  <si>
    <t>Maarten Burggraaf</t>
  </si>
  <si>
    <t>Burggraaf</t>
  </si>
  <si>
    <t>md.burggraaf@dordrecht.nl</t>
  </si>
  <si>
    <t>8LLOHU</t>
  </si>
  <si>
    <t>Sent to md.burggraaf@dordrecht.nl on 2026-08-26</t>
  </si>
  <si>
    <t>Maarten Kaptein</t>
  </si>
  <si>
    <t>Kaptein</t>
  </si>
  <si>
    <t>mkaptein@delft.nl</t>
  </si>
  <si>
    <t>T4IJ9J</t>
  </si>
  <si>
    <t>Sent to mkaptein@delft.nl on 2026-08-26</t>
  </si>
  <si>
    <t>Maarten Herrebrugh</t>
  </si>
  <si>
    <t>Herrebrugh</t>
  </si>
  <si>
    <t>mherrebrugh@yahoo.com</t>
  </si>
  <si>
    <t>independent</t>
  </si>
  <si>
    <t>UMOKBJ</t>
  </si>
  <si>
    <t>Sent to mherrebrugh@yahoo.com on 2026-08-26</t>
  </si>
  <si>
    <t>Maarten van der Voort</t>
  </si>
  <si>
    <t>vandervoort@benvalor.com</t>
  </si>
  <si>
    <t>LL1DB0</t>
  </si>
  <si>
    <t>Sent to vandervoort@benvalor.com on 2026-08-26</t>
  </si>
  <si>
    <t>Machtelt Groothuis</t>
  </si>
  <si>
    <t>Machtelt</t>
  </si>
  <si>
    <t>machtelt@rubio.vc</t>
  </si>
  <si>
    <t>YTB17H</t>
  </si>
  <si>
    <t>Sent to machtelt@rubio.vc on 2026-08-26</t>
  </si>
  <si>
    <t>Maha Benachir</t>
  </si>
  <si>
    <t>Maha</t>
  </si>
  <si>
    <t>Benachir</t>
  </si>
  <si>
    <t>m.benachir@mindef.nl</t>
  </si>
  <si>
    <t>ZRSFEN</t>
  </si>
  <si>
    <t>Sent to m.benachir@mindef.nl on 2026-08-26</t>
  </si>
  <si>
    <t>Maja Bos</t>
  </si>
  <si>
    <t>Maja</t>
  </si>
  <si>
    <t>m.bos@dronesforwork.nl</t>
  </si>
  <si>
    <t>dronesforwork</t>
  </si>
  <si>
    <t>ZK8OXM</t>
  </si>
  <si>
    <t>Sent to m.bos@dronesforwork.nl on 2026-08-26</t>
  </si>
  <si>
    <t>Maja van Dijk</t>
  </si>
  <si>
    <t>maja@joinflux.nl</t>
  </si>
  <si>
    <t>87BXIL</t>
  </si>
  <si>
    <t>Sent to maja@joinflux.nl on 2026-08-26</t>
  </si>
  <si>
    <t>Manon van Duijn</t>
  </si>
  <si>
    <t>van Duijn</t>
  </si>
  <si>
    <t>m.van.duijn@pzh.nl</t>
  </si>
  <si>
    <t>ZQSSQX</t>
  </si>
  <si>
    <t>Sent to m.van.duijn@pzh.nl on 2026-08-26</t>
  </si>
  <si>
    <t>Manuel Rejen</t>
  </si>
  <si>
    <t>Manuel</t>
  </si>
  <si>
    <t>Rejen</t>
  </si>
  <si>
    <r>
      <rPr>
        <color rgb="FF1155CC"/>
        <u/>
      </rPr>
      <t>m.rejen@chello.nl</t>
    </r>
  </si>
  <si>
    <t>Sent to m.rejen@chello.nl on 2026-08-26</t>
  </si>
  <si>
    <t>Manuel Villena</t>
  </si>
  <si>
    <t>Villena</t>
  </si>
  <si>
    <t>manuel@noltelagertechnik.de</t>
  </si>
  <si>
    <t>WP6T3O</t>
  </si>
  <si>
    <t>Sent to manuel@noltelagertechnik.de on 2026-08-26</t>
  </si>
  <si>
    <t>Marc Rosier</t>
  </si>
  <si>
    <t>m.rosier@mrdh.nl</t>
  </si>
  <si>
    <t>4QSN39</t>
  </si>
  <si>
    <t>Sent to m.rosier@mrdh.nl on 2026-08-26</t>
  </si>
  <si>
    <t>Marc van Zuylen</t>
  </si>
  <si>
    <t>van Zuylen</t>
  </si>
  <si>
    <t>m.zuylen@aquablu.org</t>
  </si>
  <si>
    <t>aquablu.org</t>
  </si>
  <si>
    <t>76FBAA</t>
  </si>
  <si>
    <t>Sent to m.zuylen@aquablu.org on 2026-08-26</t>
  </si>
  <si>
    <t>Marc de Vries</t>
  </si>
  <si>
    <t>marc.de.vries@swapfiets.com</t>
  </si>
  <si>
    <t>IJQ4RE</t>
  </si>
  <si>
    <t>Sent to marc.de.vries@swapfiets.com on 2026-08-26</t>
  </si>
  <si>
    <t>Marc Luebke</t>
  </si>
  <si>
    <t>Luebke</t>
  </si>
  <si>
    <t>marc.luebke@zf.com</t>
  </si>
  <si>
    <t>zf</t>
  </si>
  <si>
    <t>M6UUQ7</t>
  </si>
  <si>
    <t>Sent to marc.luebke@zf.com on 2026-08-26</t>
  </si>
  <si>
    <t>Marc Postel</t>
  </si>
  <si>
    <t>Postel</t>
  </si>
  <si>
    <t>marc@fairm.nl</t>
  </si>
  <si>
    <t>DS2TXS</t>
  </si>
  <si>
    <t>Sent to marc@fairm.nl on 2026-08-26</t>
  </si>
  <si>
    <t>Marc Goedkoop</t>
  </si>
  <si>
    <t>Goedkoop</t>
  </si>
  <si>
    <t>marc@purecarbon.blue</t>
  </si>
  <si>
    <t>MgAubel</t>
  </si>
  <si>
    <t>1NV491</t>
  </si>
  <si>
    <t>Sent to marc@purecarbon.blue on 2026-08-26</t>
  </si>
  <si>
    <t>Marc Moest'l</t>
  </si>
  <si>
    <t>Moest'l</t>
  </si>
  <si>
    <t xml:space="preserve">moestl@tenzingalpha.com </t>
  </si>
  <si>
    <t>TE57P5</t>
  </si>
  <si>
    <t>Sent to moestl@tenzingalpha.com  on 2026-08-26</t>
  </si>
  <si>
    <t>Marcel Droppert</t>
  </si>
  <si>
    <t>Droppert</t>
  </si>
  <si>
    <t>m.droppert@maxairea.com</t>
  </si>
  <si>
    <t>JMO1KH</t>
  </si>
  <si>
    <t>Sent to m.droppert@maxairea.com on 2026-08-26</t>
  </si>
  <si>
    <t>marcel</t>
  </si>
  <si>
    <t>marcel@exo-l.com</t>
  </si>
  <si>
    <t>0508ZM</t>
  </si>
  <si>
    <t>Sent to marcel@exo-l.com on 2026-08-26</t>
  </si>
  <si>
    <t>Marcel Jutte</t>
  </si>
  <si>
    <t>Jutte</t>
  </si>
  <si>
    <t>marcel@fomaco.nl</t>
  </si>
  <si>
    <t>NXSW5S</t>
  </si>
  <si>
    <t>Sent to marcel@fomaco.nl on 2026-08-26</t>
  </si>
  <si>
    <t>Marcel Matthijs</t>
  </si>
  <si>
    <t>marcel@tradecloud.nl</t>
  </si>
  <si>
    <t>tradecloud</t>
  </si>
  <si>
    <t>1TS6PE</t>
  </si>
  <si>
    <t>Sent to marcel@tradecloud.nl on 2026-08-26</t>
  </si>
  <si>
    <t>Marcel Van De Vorst</t>
  </si>
  <si>
    <t>Van De Vorst</t>
  </si>
  <si>
    <t>marcel@vdvrst.nl</t>
  </si>
  <si>
    <t>4T2VMT</t>
  </si>
  <si>
    <t>Sent to marcel@vdvrst.nl on 2026-08-26</t>
  </si>
  <si>
    <t>Marceline duprie</t>
  </si>
  <si>
    <t>Marceline</t>
  </si>
  <si>
    <t>duprie</t>
  </si>
  <si>
    <t>marcelineduprie@mac.com</t>
  </si>
  <si>
    <t>mac</t>
  </si>
  <si>
    <t>SQMFXH</t>
  </si>
  <si>
    <t>Sent to marcelineduprie@mac.com on 2026-08-26</t>
  </si>
  <si>
    <t>Marco Waas</t>
  </si>
  <si>
    <t>Marco</t>
  </si>
  <si>
    <t>Waas</t>
  </si>
  <si>
    <t>marco.waas@nobian.com</t>
  </si>
  <si>
    <t>nobian</t>
  </si>
  <si>
    <t>LIVVF6</t>
  </si>
  <si>
    <t>Sent to marco.waas@nobian.com on 2026-08-26</t>
  </si>
  <si>
    <t>Marco van der Woude</t>
  </si>
  <si>
    <t>van der Woude</t>
  </si>
  <si>
    <t>marco@breeze.social</t>
  </si>
  <si>
    <t>N02DZY</t>
  </si>
  <si>
    <t>Sent to marco@breeze.social on 2026-08-26</t>
  </si>
  <si>
    <t>Marco Zijlstra</t>
  </si>
  <si>
    <t>marco@nurtio.com</t>
  </si>
  <si>
    <t>Nurtio</t>
  </si>
  <si>
    <t>ZN251U</t>
  </si>
  <si>
    <t>Sent to marco@nurtio.com on 2026-08-26</t>
  </si>
  <si>
    <t>Marcus Kremers</t>
  </si>
  <si>
    <t>Marcus</t>
  </si>
  <si>
    <t>Kremers</t>
  </si>
  <si>
    <t>m.kremers@airborne.com</t>
  </si>
  <si>
    <t>airborne</t>
  </si>
  <si>
    <t>N465NV</t>
  </si>
  <si>
    <t>Sent to m.kremers@airborne.com on 2026-08-26</t>
  </si>
  <si>
    <t>marcus.vanzutphen@shell.com</t>
  </si>
  <si>
    <t>SPQG9U</t>
  </si>
  <si>
    <t>Sent to marcus.vanzutphen@shell.com on 2026-08-26</t>
  </si>
  <si>
    <t>Mare Straetmans</t>
  </si>
  <si>
    <t>Mare</t>
  </si>
  <si>
    <t>Straetmans</t>
  </si>
  <si>
    <t>mare@platformzero.co</t>
  </si>
  <si>
    <t>RI8DT6</t>
  </si>
  <si>
    <t>Sent to mare@platformzero.co on 2026-08-26</t>
  </si>
  <si>
    <t>Mareen Tack</t>
  </si>
  <si>
    <t>Mareen</t>
  </si>
  <si>
    <t>Tack</t>
  </si>
  <si>
    <t>mareen.tack@wago.com</t>
  </si>
  <si>
    <t>wago</t>
  </si>
  <si>
    <t>PASP4V</t>
  </si>
  <si>
    <t>Sent to mareen.tack@wago.com on 2026-08-26</t>
  </si>
  <si>
    <t>Mareno de Kort</t>
  </si>
  <si>
    <t>Mareno</t>
  </si>
  <si>
    <t>de Kort</t>
  </si>
  <si>
    <t>mareno@CO2Zero.online</t>
  </si>
  <si>
    <t>MSDG2W</t>
  </si>
  <si>
    <t>Sent to mareno@CO2Zero.online on 2026-08-26</t>
  </si>
  <si>
    <t>Marianne Vlak</t>
  </si>
  <si>
    <t>Marianne</t>
  </si>
  <si>
    <t>Vlak</t>
  </si>
  <si>
    <t>marianne.vlak@deltares.nl</t>
  </si>
  <si>
    <t>0T5ES9</t>
  </si>
  <si>
    <t>Sent to marianne.vlak@deltares.nl on 2026-08-26</t>
  </si>
  <si>
    <t>Marie</t>
  </si>
  <si>
    <t>marie.bierbuesse@wago.com</t>
  </si>
  <si>
    <t>YQZNX0</t>
  </si>
  <si>
    <t>Sent to marie.bierbuesse@wago.com on 2026-08-26</t>
  </si>
  <si>
    <t>Marie-Claire</t>
  </si>
  <si>
    <t>m.gambon@rocmondriaan.nl</t>
  </si>
  <si>
    <t>rocmondriaan</t>
  </si>
  <si>
    <t>05L335</t>
  </si>
  <si>
    <t>Sent to m.gambon@rocmondriaan.nl on 2026-08-26</t>
  </si>
  <si>
    <t>Marieke Prosman</t>
  </si>
  <si>
    <t>Prosman</t>
  </si>
  <si>
    <t>marieke@geosignum.com</t>
  </si>
  <si>
    <t>GeoSignum</t>
  </si>
  <si>
    <t>XPY4HE</t>
  </si>
  <si>
    <t>Sent to marieke@geosignum.com on 2026-08-26</t>
  </si>
  <si>
    <t>Marije Stijkel</t>
  </si>
  <si>
    <t>Stijkel</t>
  </si>
  <si>
    <r>
      <rPr>
        <color rgb="FF1155CC"/>
        <u/>
      </rPr>
      <t>m.stijkel@bluecity.nl</t>
    </r>
  </si>
  <si>
    <t>95WU71</t>
  </si>
  <si>
    <t>Sent to m.stijkel@bluecity.nl on 2026-08-26</t>
  </si>
  <si>
    <t>marije@techleap.nl</t>
  </si>
  <si>
    <t>XKG7E6</t>
  </si>
  <si>
    <t>Sent to marije@techleap.nl on 2026-08-26</t>
  </si>
  <si>
    <t>Marijke Nas</t>
  </si>
  <si>
    <t>Marijke</t>
  </si>
  <si>
    <t>Nas</t>
  </si>
  <si>
    <t>marijke.nas@asr.nl</t>
  </si>
  <si>
    <t>ASR</t>
  </si>
  <si>
    <t>5N6R73</t>
  </si>
  <si>
    <t>Sent to marijke.nas@asr.nl on 2026-08-26</t>
  </si>
  <si>
    <t>Marijn Fraanje</t>
  </si>
  <si>
    <t>Fraanje</t>
  </si>
  <si>
    <r>
      <rPr>
        <color rgb="FF1155CC"/>
        <sz val="11.0"/>
        <u/>
      </rPr>
      <t>marijn.fraanje@denhaag.nl</t>
    </r>
  </si>
  <si>
    <t>RUZMJM</t>
  </si>
  <si>
    <t>Sent to marijn.fraanje@denhaag.nl on 2026-08-26</t>
  </si>
  <si>
    <t>Marjan Kreijns</t>
  </si>
  <si>
    <t xml:space="preserve">Marjan </t>
  </si>
  <si>
    <t>Kreijns</t>
  </si>
  <si>
    <t>m.s.kreijns@tudelft.nl</t>
  </si>
  <si>
    <t>The Green Village</t>
  </si>
  <si>
    <t>6J6LKA</t>
  </si>
  <si>
    <t>Sent to m.s.kreijns@tudelft.nl on 2026-08-26</t>
  </si>
  <si>
    <t>Marjolein Boer</t>
  </si>
  <si>
    <t>Marjolein</t>
  </si>
  <si>
    <t>Boer</t>
  </si>
  <si>
    <t>marjolein@maritimesisters.com</t>
  </si>
  <si>
    <t>maritimesisters</t>
  </si>
  <si>
    <t>HGP0ZG</t>
  </si>
  <si>
    <t>Sent to marjolein@maritimesisters.com on 2026-08-26</t>
  </si>
  <si>
    <t>Marjolijn Schouw</t>
  </si>
  <si>
    <t>Marjolijn</t>
  </si>
  <si>
    <t>Schouw</t>
  </si>
  <si>
    <t>m.m.e.schouw@tudelft.nl</t>
  </si>
  <si>
    <t>TBBDML</t>
  </si>
  <si>
    <t>Sent to m.m.e.schouw@tudelft.nl on 2026-08-26</t>
  </si>
  <si>
    <t>Mark Uitendaal</t>
  </si>
  <si>
    <t>Uitendaal</t>
  </si>
  <si>
    <t>m.uitendaal@t-minus.nl</t>
  </si>
  <si>
    <t>N2UYXY</t>
  </si>
  <si>
    <t>Sent to m.uitendaal@t-minus.nl on 2026-08-26</t>
  </si>
  <si>
    <t>Mark Evenblij</t>
  </si>
  <si>
    <t>Evenblij</t>
  </si>
  <si>
    <t>mark@duckduckgoose.nl</t>
  </si>
  <si>
    <t>C23UCU</t>
  </si>
  <si>
    <t>Sent to mark@duckduckgoose.nl on 2026-08-26</t>
  </si>
  <si>
    <t>Mark Oudenhoven</t>
  </si>
  <si>
    <t>Oudenhoven</t>
  </si>
  <si>
    <t>mark@videowindow.eu</t>
  </si>
  <si>
    <t>videowindow</t>
  </si>
  <si>
    <t>IIN0KS</t>
  </si>
  <si>
    <t>Sent to mark@videowindow.eu on 2026-08-26</t>
  </si>
  <si>
    <t>Mark-Jan Pieterse</t>
  </si>
  <si>
    <t>Mark-Jan</t>
  </si>
  <si>
    <t>Pieterse</t>
  </si>
  <si>
    <t>mark@green-whale.nl</t>
  </si>
  <si>
    <t>Green Whale</t>
  </si>
  <si>
    <t>L3X9JN</t>
  </si>
  <si>
    <t>Sent to mark@green-whale.nl on 2026-08-26</t>
  </si>
  <si>
    <t>Marloes Joukema</t>
  </si>
  <si>
    <t>Marloes</t>
  </si>
  <si>
    <t>Joukema</t>
  </si>
  <si>
    <t>m.joukema@ploum.nl</t>
  </si>
  <si>
    <t>FZOQ1B</t>
  </si>
  <si>
    <t>Sent to m.joukema@ploum.nl on 2026-08-26</t>
  </si>
  <si>
    <t>Marlowe Cameron</t>
  </si>
  <si>
    <t>Marlowe</t>
  </si>
  <si>
    <t>Cameron</t>
  </si>
  <si>
    <t>marlowe@northzone.com</t>
  </si>
  <si>
    <t>Northzone</t>
  </si>
  <si>
    <t>PLTDGG</t>
  </si>
  <si>
    <t>Sent to marlowe@northzone.com on 2026-08-26</t>
  </si>
  <si>
    <t>Marly Tuijl</t>
  </si>
  <si>
    <t>Marly</t>
  </si>
  <si>
    <t>Tuijl</t>
  </si>
  <si>
    <t>m.tuijl@visible-investments.nl</t>
  </si>
  <si>
    <t>LOQ9FU</t>
  </si>
  <si>
    <t>Sent to m.tuijl@visible-investments.nl on 2026-08-26</t>
  </si>
  <si>
    <t>Marnix Stokvis</t>
  </si>
  <si>
    <t>Marnix</t>
  </si>
  <si>
    <t>Stokvis</t>
  </si>
  <si>
    <t>m.stokvis@aquablu.org</t>
  </si>
  <si>
    <t>SR9UA5</t>
  </si>
  <si>
    <t>Sent to m.stokvis@aquablu.org on 2026-08-26</t>
  </si>
  <si>
    <t>Marnix Paanakker</t>
  </si>
  <si>
    <t>Paanakker</t>
  </si>
  <si>
    <t>marnix@pythia-energy.nl</t>
  </si>
  <si>
    <t>ILTLD7</t>
  </si>
  <si>
    <t>Sent to marnix@pythia-energy.nl on 2026-08-26</t>
  </si>
  <si>
    <t>Marsha Goei</t>
  </si>
  <si>
    <t>Marsha</t>
  </si>
  <si>
    <t>Goei</t>
  </si>
  <si>
    <t>marsha@breeze.social</t>
  </si>
  <si>
    <t>breeze.social</t>
  </si>
  <si>
    <t>3ABMN1</t>
  </si>
  <si>
    <t>Sent to marsha@breeze.social on 2026-08-26</t>
  </si>
  <si>
    <t>Mart Jongeneel</t>
  </si>
  <si>
    <t>Mart</t>
  </si>
  <si>
    <t>m.jongeneel@moore-drv.nl</t>
  </si>
  <si>
    <t>TJPG7F</t>
  </si>
  <si>
    <t>Sent to m.jongeneel@moore-drv.nl on 2026-08-26</t>
  </si>
  <si>
    <t>Martijn Kesler</t>
  </si>
  <si>
    <t>Kesler</t>
  </si>
  <si>
    <t>kesler@tenzingalpha.com</t>
  </si>
  <si>
    <t>PJTYW2</t>
  </si>
  <si>
    <t>Sent to kesler@tenzingalpha.com on 2026-08-26</t>
  </si>
  <si>
    <t>Martijn Lopes Cardozo</t>
  </si>
  <si>
    <t>Lopes Cardozo</t>
  </si>
  <si>
    <t>mlopescardozo@yahoo.com</t>
  </si>
  <si>
    <t>UNXPC0</t>
  </si>
  <si>
    <t>Sent to mlopescardozo@yahoo.com on 2026-08-26</t>
  </si>
  <si>
    <t>Martin Weissmann</t>
  </si>
  <si>
    <t>Weissmann</t>
  </si>
  <si>
    <t>financieringsloket@topsectorenergie.nl</t>
  </si>
  <si>
    <t>MXFHFA</t>
  </si>
  <si>
    <t>Sent to financieringsloket@topsectorenergie.nl on 2026-08-26</t>
  </si>
  <si>
    <t>Martin Kampinga</t>
  </si>
  <si>
    <t>Kampinga</t>
  </si>
  <si>
    <t>m.kampinga@tudelft.nl</t>
  </si>
  <si>
    <t>PHKRAV</t>
  </si>
  <si>
    <t>Sent to m.kampinga@tudelft.nl on 2026-08-26</t>
  </si>
  <si>
    <t>Martin van Gogh</t>
  </si>
  <si>
    <t>van Gogh</t>
  </si>
  <si>
    <t>martin.van.gogh@batenburg.nl</t>
  </si>
  <si>
    <t>37FBTW</t>
  </si>
  <si>
    <t>Sent to martin.van.gogh@batenburg.nl on 2026-08-26</t>
  </si>
  <si>
    <t>Martin Luxemburg</t>
  </si>
  <si>
    <t>Luxemburg</t>
  </si>
  <si>
    <r>
      <rPr>
        <color rgb="FF1155CC"/>
        <sz val="11.0"/>
        <u/>
      </rPr>
      <t>martin@unknowngroup.com</t>
    </r>
  </si>
  <si>
    <t>Unknown</t>
  </si>
  <si>
    <t>TUIW43</t>
  </si>
  <si>
    <t>Sent to martin@unknowngroup.com on 2026-08-26</t>
  </si>
  <si>
    <t>Martin van rijn</t>
  </si>
  <si>
    <t>van rijn</t>
  </si>
  <si>
    <r>
      <rPr>
        <color rgb="FF1155CC"/>
        <sz val="11.0"/>
        <u/>
      </rPr>
      <t>martin@vanrijn.info</t>
    </r>
  </si>
  <si>
    <r>
      <rPr>
        <rFont val="Calibri"/>
        <color rgb="FF1155CC"/>
        <sz val="11.0"/>
        <u/>
      </rPr>
      <t>Innophysio</t>
    </r>
  </si>
  <si>
    <t>WLQ308</t>
  </si>
  <si>
    <t>Sent to martin@vanrijn.info on 2026-08-26</t>
  </si>
  <si>
    <t>Martin van den Heuvel</t>
  </si>
  <si>
    <t xml:space="preserve">van den Heuvel </t>
  </si>
  <si>
    <t>mglvandenheuvel@gmail.com</t>
  </si>
  <si>
    <t>HLQDJW</t>
  </si>
  <si>
    <t>Sent to mglvandenheuvel@gmail.com on 2026-08-26</t>
  </si>
  <si>
    <t>Martine Nieuwenhuizen</t>
  </si>
  <si>
    <t>Nieuwenhuizen</t>
  </si>
  <si>
    <t>m.j.nieuwenhuizen@tudelft.nl</t>
  </si>
  <si>
    <t>H7AOF6</t>
  </si>
  <si>
    <t>Sent to m.j.nieuwenhuizen@tudelft.nl on 2026-08-26</t>
  </si>
  <si>
    <t>Mason Sinclair</t>
  </si>
  <si>
    <t>Mason</t>
  </si>
  <si>
    <t>Sinclair</t>
  </si>
  <si>
    <t>mason@iqcapital.vc</t>
  </si>
  <si>
    <t>FI6L6Q</t>
  </si>
  <si>
    <t>Sent to mason@iqcapital.vc on 2026-08-26</t>
  </si>
  <si>
    <t>Mateo Mol</t>
  </si>
  <si>
    <t>Mateo</t>
  </si>
  <si>
    <t>mateo@infotron.nl</t>
  </si>
  <si>
    <t>PerfectXL (infotron)</t>
  </si>
  <si>
    <t>9YAA75</t>
  </si>
  <si>
    <t>Sent to mateo@infotron.nl on 2026-08-26</t>
  </si>
  <si>
    <t>Mathijs Crone</t>
  </si>
  <si>
    <t>Crone</t>
  </si>
  <si>
    <t>mathijs@fusion.engineering</t>
  </si>
  <si>
    <t>Fusion Engineering</t>
  </si>
  <si>
    <t>S9JBY4</t>
  </si>
  <si>
    <t>Sent to mathijs@fusion.engineering on 2026-08-26</t>
  </si>
  <si>
    <t>Mats van der Gulik</t>
  </si>
  <si>
    <t>Mats</t>
  </si>
  <si>
    <t>van der Gulik</t>
  </si>
  <si>
    <t>m.vandergulik@hyerpower.nl</t>
  </si>
  <si>
    <t>U0J1H1</t>
  </si>
  <si>
    <t>Sent to m.vandergulik@hyerpower.nl on 2026-08-26</t>
  </si>
  <si>
    <t>Matthew Corvers</t>
  </si>
  <si>
    <t>Corvers</t>
  </si>
  <si>
    <t>matthew.corvers@imsystems.nl</t>
  </si>
  <si>
    <t>imsystems</t>
  </si>
  <si>
    <t>XO6YMM</t>
  </si>
  <si>
    <t>Sent to matthew.corvers@imsystems.nl on 2026-08-26</t>
  </si>
  <si>
    <t>Matthew Westaway</t>
  </si>
  <si>
    <t>Westaway</t>
  </si>
  <si>
    <t>matthew@voyc.ai</t>
  </si>
  <si>
    <t>Voyc AI</t>
  </si>
  <si>
    <t>PLZ8KX</t>
  </si>
  <si>
    <t>Sent to matthew@voyc.ai on 2026-08-26</t>
  </si>
  <si>
    <t>Matthijs Ingen-Housz</t>
  </si>
  <si>
    <t>Ingen-Housz</t>
  </si>
  <si>
    <t>matthijs.ingenhousz@ingenhousz.com</t>
  </si>
  <si>
    <t>ingenhousz</t>
  </si>
  <si>
    <t>IZ7E9P</t>
  </si>
  <si>
    <t>Sent to matthijs.ingenhousz@ingenhousz.com on 2026-08-26</t>
  </si>
  <si>
    <t>Matthijs Rijlaarsdam</t>
  </si>
  <si>
    <t>Rijlaarsdam</t>
  </si>
  <si>
    <t>matthijs@quantware.com</t>
  </si>
  <si>
    <t>quantware</t>
  </si>
  <si>
    <t>1RFYT2</t>
  </si>
  <si>
    <t>Sent to matthijs@quantware.com on 2026-08-26</t>
  </si>
  <si>
    <t>Mattijs Otten</t>
  </si>
  <si>
    <t>Otten</t>
  </si>
  <si>
    <t>mattijs.otten@tective.nl</t>
  </si>
  <si>
    <t>tective</t>
  </si>
  <si>
    <t>EKXIBX</t>
  </si>
  <si>
    <t>Sent to mattijs.otten@tective.nl on 2026-08-26</t>
  </si>
  <si>
    <t>Maurice de Rochemont</t>
  </si>
  <si>
    <t>Maurice</t>
  </si>
  <si>
    <t>de Rochemont</t>
  </si>
  <si>
    <t>derochemont@rsm.nl</t>
  </si>
  <si>
    <t>43VBP2</t>
  </si>
  <si>
    <t>Sent to derochemont@rsm.nl on 2026-08-26</t>
  </si>
  <si>
    <t>Maurits Roose</t>
  </si>
  <si>
    <t>Roose</t>
  </si>
  <si>
    <t>maurits@royalisinvestments.com</t>
  </si>
  <si>
    <t>royalisinvestments</t>
  </si>
  <si>
    <t>4AQNK4</t>
  </si>
  <si>
    <t>Sent to maurits@royalisinvestments.com on 2026-08-26</t>
  </si>
  <si>
    <t>Maurits Westerik</t>
  </si>
  <si>
    <t>Westerik</t>
  </si>
  <si>
    <t>westerik@coupry.nl</t>
  </si>
  <si>
    <t>coupry</t>
  </si>
  <si>
    <t>4DMC3A</t>
  </si>
  <si>
    <t>Sent to westerik@coupry.nl on 2026-08-26</t>
  </si>
  <si>
    <t>Max Meerten</t>
  </si>
  <si>
    <t>Meerten</t>
  </si>
  <si>
    <t>max.vanmeerten@denhaag.nl</t>
  </si>
  <si>
    <t>KNC9NY</t>
  </si>
  <si>
    <t>Sent to max.vanmeerten@denhaag.nl on 2026-08-26</t>
  </si>
  <si>
    <t>Max ter Horst</t>
  </si>
  <si>
    <t>ter Horst</t>
  </si>
  <si>
    <t>max@rockstart.com</t>
  </si>
  <si>
    <t>rockstart</t>
  </si>
  <si>
    <t>QFEBMK</t>
  </si>
  <si>
    <t>Sent to max@rockstart.com on 2026-08-26</t>
  </si>
  <si>
    <t>Max Baan</t>
  </si>
  <si>
    <t>Baan</t>
  </si>
  <si>
    <t>maxbaan@gmail.com</t>
  </si>
  <si>
    <t>UKAKOV</t>
  </si>
  <si>
    <t>Sent to maxbaan@gmail.com on 2026-08-26</t>
  </si>
  <si>
    <t>Max Van den Berg</t>
  </si>
  <si>
    <t>Van den Berg</t>
  </si>
  <si>
    <t>maxemvandenberg@gmail.com</t>
  </si>
  <si>
    <t>Y2YZU3</t>
  </si>
  <si>
    <t>Sent to maxemvandenberg@gmail.com on 2026-08-26</t>
  </si>
  <si>
    <t>Max Beaumont</t>
  </si>
  <si>
    <t>Beaumont</t>
  </si>
  <si>
    <r>
      <rPr>
        <color rgb="FF1155CC"/>
        <sz val="11.0"/>
        <u/>
      </rPr>
      <t>mlbeaumont@gmail.com</t>
    </r>
  </si>
  <si>
    <t>RQ9XGX</t>
  </si>
  <si>
    <t>Sent to mlbeaumont@gmail.com on 2026-08-26</t>
  </si>
  <si>
    <t>Max van Dijken</t>
  </si>
  <si>
    <t xml:space="preserve">Max </t>
  </si>
  <si>
    <t>van Dijken</t>
  </si>
  <si>
    <t>info@sol-rnd.com</t>
  </si>
  <si>
    <t>sol-rnd</t>
  </si>
  <si>
    <t>GS3GNS</t>
  </si>
  <si>
    <t>Sent to info@sol-rnd.com on 2026-08-26</t>
  </si>
  <si>
    <t>Maxim Sachs</t>
  </si>
  <si>
    <t>Maxim</t>
  </si>
  <si>
    <t>Sachs</t>
  </si>
  <si>
    <t>maxim@arkintel.com</t>
  </si>
  <si>
    <t>Arkmon</t>
  </si>
  <si>
    <t>3GA2FM</t>
  </si>
  <si>
    <t>Sent to maxim@arkintel.com on 2026-08-26</t>
  </si>
  <si>
    <t>Maxim Knepfle</t>
  </si>
  <si>
    <t>Knepfle</t>
  </si>
  <si>
    <t>maxim@tygron.com</t>
  </si>
  <si>
    <t>O6CR8B</t>
  </si>
  <si>
    <t>Sent to maxim@tygron.com on 2026-08-26</t>
  </si>
  <si>
    <t>Maximilian Sachs</t>
  </si>
  <si>
    <t>Maximilian</t>
  </si>
  <si>
    <t>contact@arkmon.eu</t>
  </si>
  <si>
    <t>arkmon</t>
  </si>
  <si>
    <t>Z6MEWI</t>
  </si>
  <si>
    <t>Sent to contact@arkmon.eu on 2026-08-26</t>
  </si>
  <si>
    <t>Meindert Stolk</t>
  </si>
  <si>
    <t>Meindert</t>
  </si>
  <si>
    <t>m.stolk@pzh.nl</t>
  </si>
  <si>
    <t>JY2ZB5</t>
  </si>
  <si>
    <t>Sent to m.stolk@pzh.nl on 2026-08-26</t>
  </si>
  <si>
    <t>Melvil Donnart</t>
  </si>
  <si>
    <t>Melvil</t>
  </si>
  <si>
    <t>Donnart</t>
  </si>
  <si>
    <t>melvil.donnart@loxsolution.com</t>
  </si>
  <si>
    <t>Lox Solution</t>
  </si>
  <si>
    <t>ICTU7S</t>
  </si>
  <si>
    <t>Sent to melvil.donnart@loxsolution.com on 2026-08-26</t>
  </si>
  <si>
    <t>Menno Antal</t>
  </si>
  <si>
    <t>Menno</t>
  </si>
  <si>
    <t>Antal</t>
  </si>
  <si>
    <t>menno.antal@gmail.com</t>
  </si>
  <si>
    <t>SBTY22</t>
  </si>
  <si>
    <t>Sent to menno.antal@gmail.com on 2026-08-26</t>
  </si>
  <si>
    <t>Menno Gravemaker</t>
  </si>
  <si>
    <t>Gravemaker</t>
  </si>
  <si>
    <t>menno@momomedical.com</t>
  </si>
  <si>
    <t>momomedical</t>
  </si>
  <si>
    <t>EM2CO5</t>
  </si>
  <si>
    <t>Sent to menno@momomedical.com on 2026-08-26</t>
  </si>
  <si>
    <t>Merijn wegdam</t>
  </si>
  <si>
    <t>Merijn</t>
  </si>
  <si>
    <t>wegdam</t>
  </si>
  <si>
    <t>wegdam@sunshower.nl</t>
  </si>
  <si>
    <t>sunshower</t>
  </si>
  <si>
    <t>A704I9</t>
  </si>
  <si>
    <t>Sent to wegdam@sunshower.nl on 2026-08-26</t>
  </si>
  <si>
    <t>Meron Mekonnen</t>
  </si>
  <si>
    <t>Meron</t>
  </si>
  <si>
    <t>Mekonnen</t>
  </si>
  <si>
    <t>meron@lumolabs.io</t>
  </si>
  <si>
    <t>lumolabs</t>
  </si>
  <si>
    <t>DTKOJF</t>
  </si>
  <si>
    <t>Sent to meron@lumolabs.io on 2026-08-26</t>
  </si>
  <si>
    <t>Mert Gulleroglu</t>
  </si>
  <si>
    <t>Mert</t>
  </si>
  <si>
    <t>Gulleroglu</t>
  </si>
  <si>
    <r>
      <rPr>
        <color rgb="FF1155CC"/>
        <sz val="11.0"/>
        <u/>
      </rPr>
      <t>gulleroglumert@gmail.com</t>
    </r>
  </si>
  <si>
    <t>0SHPGH</t>
  </si>
  <si>
    <t>Sent to gulleroglumert@gmail.com on 2026-08-26</t>
  </si>
  <si>
    <t>Mert Ozturk</t>
  </si>
  <si>
    <t>Ozturk</t>
  </si>
  <si>
    <t>mert@mangostone.nl</t>
  </si>
  <si>
    <t>MangoStone</t>
  </si>
  <si>
    <t>UDYJ62</t>
  </si>
  <si>
    <t>Sent to mert@mangostone.nl on 2026-08-26</t>
  </si>
  <si>
    <t>Mert Doganli</t>
  </si>
  <si>
    <t xml:space="preserve">Mert </t>
  </si>
  <si>
    <t>Doganli</t>
  </si>
  <si>
    <t>mertdoganli@regbes.com</t>
  </si>
  <si>
    <t>regbes</t>
  </si>
  <si>
    <t>QQH9DV</t>
  </si>
  <si>
    <t>Sent to mertdoganli@regbes.com on 2026-08-26</t>
  </si>
  <si>
    <t>Mesbah Sabur</t>
  </si>
  <si>
    <t>Mesbah</t>
  </si>
  <si>
    <t>Sabur</t>
  </si>
  <si>
    <t>mesbah@circularise.com</t>
  </si>
  <si>
    <t>DZD64U</t>
  </si>
  <si>
    <t>Sent to mesbah@circularise.com on 2026-08-26</t>
  </si>
  <si>
    <t>Michael Maschek</t>
  </si>
  <si>
    <t>Maschek</t>
  </si>
  <si>
    <t>michael@magneto.systems</t>
  </si>
  <si>
    <t>DPMQS4</t>
  </si>
  <si>
    <t>Sent to michael@magneto.systems on 2026-08-26</t>
  </si>
  <si>
    <t>Michael vanderveen</t>
  </si>
  <si>
    <t>vanderveen</t>
  </si>
  <si>
    <t>michiel.vanderveen@tno.nl</t>
  </si>
  <si>
    <t>NBRMK3</t>
  </si>
  <si>
    <t>Sent to michiel.vanderveen@tno.nl on 2026-08-26</t>
  </si>
  <si>
    <t>Michael Sickler</t>
  </si>
  <si>
    <t>Sickler</t>
  </si>
  <si>
    <t>mike@access2bone.com</t>
  </si>
  <si>
    <t>Access2Bone</t>
  </si>
  <si>
    <t>TPZNGR</t>
  </si>
  <si>
    <t>Sent to mike@access2bone.com on 2026-08-26</t>
  </si>
  <si>
    <t>Michel Boerrigter</t>
  </si>
  <si>
    <t>Michel</t>
  </si>
  <si>
    <t>Boerrigter</t>
  </si>
  <si>
    <t>michel@plotwise.com</t>
  </si>
  <si>
    <t>O522WL</t>
  </si>
  <si>
    <t>Sent to michel@plotwise.com on 2026-08-26</t>
  </si>
  <si>
    <t>Michiel Krake</t>
  </si>
  <si>
    <t>Krake</t>
  </si>
  <si>
    <t>m.krake@novelt.com</t>
  </si>
  <si>
    <t>H932DI</t>
  </si>
  <si>
    <t>Sent to m.krake@novelt.com on 2026-08-26</t>
  </si>
  <si>
    <t>Michiel Mensink</t>
  </si>
  <si>
    <t>Mensink</t>
  </si>
  <si>
    <t>michiel_mensink@yahoo.com</t>
  </si>
  <si>
    <t>CSXTMW</t>
  </si>
  <si>
    <t>Sent to michiel_mensink@yahoo.com on 2026-08-26</t>
  </si>
  <si>
    <t>Michiel Oderwald</t>
  </si>
  <si>
    <t>Oderwald</t>
  </si>
  <si>
    <t>michiel.oderwald@tno.nl</t>
  </si>
  <si>
    <t>TIQL</t>
  </si>
  <si>
    <t>Y4JBIK</t>
  </si>
  <si>
    <t>Sent to michiel.oderwald@tno.nl on 2026-08-26</t>
  </si>
  <si>
    <t>Michiel Kotting</t>
  </si>
  <si>
    <t>Kotting</t>
  </si>
  <si>
    <t>michiel@northzone.com</t>
  </si>
  <si>
    <t>SIPF9B</t>
  </si>
  <si>
    <t>Sent to michiel@northzone.com on 2026-08-26</t>
  </si>
  <si>
    <t>Michiel Katgert</t>
  </si>
  <si>
    <t>Katgert</t>
  </si>
  <si>
    <t>michiel@we4sea.nl</t>
  </si>
  <si>
    <t>we4sea</t>
  </si>
  <si>
    <t>NGYI96</t>
  </si>
  <si>
    <t>Sent to michiel@we4sea.nl on 2026-08-26</t>
  </si>
  <si>
    <t>Mik Nijhuis</t>
  </si>
  <si>
    <t>Mik</t>
  </si>
  <si>
    <t>Nijhuis</t>
  </si>
  <si>
    <t>micheleclaudionijhuis@gmail.com</t>
  </si>
  <si>
    <t>4UHIPM</t>
  </si>
  <si>
    <t>Sent to micheleclaudionijhuis@gmail.com on 2026-08-26</t>
  </si>
  <si>
    <t>Mike Poodt</t>
  </si>
  <si>
    <t>Mike</t>
  </si>
  <si>
    <t>Poodt</t>
  </si>
  <si>
    <t>m.poodt@rijkzwaan.nl</t>
  </si>
  <si>
    <t>rijkzwaan</t>
  </si>
  <si>
    <t>OORCZ3</t>
  </si>
  <si>
    <t>Sent to m.poodt@rijkzwaan.nl on 2026-08-26</t>
  </si>
  <si>
    <t>Mike Verkouter</t>
  </si>
  <si>
    <t>Verkouter</t>
  </si>
  <si>
    <t>m.verkouter@novelt.com</t>
  </si>
  <si>
    <t>3487J9</t>
  </si>
  <si>
    <t>Sent to m.verkouter@novelt.com on 2026-08-26</t>
  </si>
  <si>
    <t>Mike Abdala</t>
  </si>
  <si>
    <t>Abdala</t>
  </si>
  <si>
    <t>mike.abdala@denhaag.nl</t>
  </si>
  <si>
    <t>GLVT7B</t>
  </si>
  <si>
    <t>Sent to mike.abdala@denhaag.nl on 2026-08-26</t>
  </si>
  <si>
    <t>Mike Beunder</t>
  </si>
  <si>
    <t>Beunder</t>
  </si>
  <si>
    <t>mike.beunder@tdshepherd.com</t>
  </si>
  <si>
    <t>tdshepherd</t>
  </si>
  <si>
    <t>YPE851</t>
  </si>
  <si>
    <t>Sent to mike.beunder@tdshepherd.com on 2026-08-26</t>
  </si>
  <si>
    <t>Milan Saes</t>
  </si>
  <si>
    <t>Milan</t>
  </si>
  <si>
    <t>Saes</t>
  </si>
  <si>
    <t>milan@crossoceanfund.com</t>
  </si>
  <si>
    <t>Cross Ocean Ventures</t>
  </si>
  <si>
    <t>78HCDQ</t>
  </si>
  <si>
    <t>Sent to milan@crossoceanfund.com on 2026-08-26</t>
  </si>
  <si>
    <t>Mitja Caboni</t>
  </si>
  <si>
    <t>Mitja</t>
  </si>
  <si>
    <t>Caboni</t>
  </si>
  <si>
    <t>mitja.caboni@portxl.org</t>
  </si>
  <si>
    <t>BDJY65</t>
  </si>
  <si>
    <t>Sent to mitja.caboni@portxl.org on 2026-08-26</t>
  </si>
  <si>
    <t>Mohamed Fawzi</t>
  </si>
  <si>
    <t>Mohamed</t>
  </si>
  <si>
    <t>Fawzi</t>
  </si>
  <si>
    <t>mofawzi@google.com</t>
  </si>
  <si>
    <t>RYJ0X0</t>
  </si>
  <si>
    <t>Sent to mofawzi@google.com on 2026-08-26</t>
  </si>
  <si>
    <t>Monique Greve</t>
  </si>
  <si>
    <t>Monique</t>
  </si>
  <si>
    <t>Greve</t>
  </si>
  <si>
    <t>m.j.m.greve@tue.nl</t>
  </si>
  <si>
    <t>tue</t>
  </si>
  <si>
    <t>MFTWVC</t>
  </si>
  <si>
    <t>Sent to m.j.m.greve@tue.nl on 2026-08-26</t>
  </si>
  <si>
    <t>Monique Martens</t>
  </si>
  <si>
    <t>Martens</t>
  </si>
  <si>
    <t>mmartens@delft.nl</t>
  </si>
  <si>
    <t>V15SDQ</t>
  </si>
  <si>
    <t>Monique van Wordragen</t>
  </si>
  <si>
    <t>van Wordragen</t>
  </si>
  <si>
    <t>monique.vanwordragen@wur.nl</t>
  </si>
  <si>
    <t>wur</t>
  </si>
  <si>
    <t>CR7HOP</t>
  </si>
  <si>
    <t>Sent to monique.vanwordragen@wur.nl on 2026-08-26</t>
  </si>
  <si>
    <t>MosheTest2 Sijben</t>
  </si>
  <si>
    <t>MosheTest2</t>
  </si>
  <si>
    <t>Sijben</t>
  </si>
  <si>
    <t>moshe@yesdelft.nl</t>
  </si>
  <si>
    <t>6TL49S</t>
  </si>
  <si>
    <t>Sent to moshe@yesdelft.nl on 2026-08-26</t>
  </si>
  <si>
    <t>Mostafa Zeriouh</t>
  </si>
  <si>
    <t>Mostafa</t>
  </si>
  <si>
    <t>Zeriouh</t>
  </si>
  <si>
    <t>mostafa.zeriouh@eur.nl</t>
  </si>
  <si>
    <t>3YQNK1</t>
  </si>
  <si>
    <t>Sent to mostafa.zeriouh@eur.nl on 2026-08-26</t>
  </si>
  <si>
    <t>Mustafa Torun</t>
  </si>
  <si>
    <t>Mustafa</t>
  </si>
  <si>
    <t>Torun</t>
  </si>
  <si>
    <t>mustafatorun2@gmail.com</t>
  </si>
  <si>
    <t>LALR14</t>
  </si>
  <si>
    <t>Sent to mustafatorun2@gmail.com on 2026-08-26</t>
  </si>
  <si>
    <t>Myrthe Hooijman</t>
  </si>
  <si>
    <t>Myrthe</t>
  </si>
  <si>
    <t>Hooijman</t>
  </si>
  <si>
    <t>myrthe@techleap.nl</t>
  </si>
  <si>
    <t>Y332JM</t>
  </si>
  <si>
    <t>Sent to myrthe@techleap.nl on 2026-08-26</t>
  </si>
  <si>
    <t>NannilaTest2 Zevenhuizen</t>
  </si>
  <si>
    <t>NannilaTest2</t>
  </si>
  <si>
    <t>Zevenhuizen</t>
  </si>
  <si>
    <t>nannila@yesdelft.nl</t>
  </si>
  <si>
    <t>7YIVR9</t>
  </si>
  <si>
    <t>Sent to nannila@yesdelft.nl on 2026-08-26</t>
  </si>
  <si>
    <t>Nard Sintenie</t>
  </si>
  <si>
    <t>Nard</t>
  </si>
  <si>
    <t>Sintenie</t>
  </si>
  <si>
    <t>ns@innovationindustries.com</t>
  </si>
  <si>
    <t>LE8EPJ</t>
  </si>
  <si>
    <t>Sent to ns@innovationindustries.com on 2026-08-26</t>
  </si>
  <si>
    <t>Narina Mnatsakanian</t>
  </si>
  <si>
    <t>Narina</t>
  </si>
  <si>
    <t>Mnatsakanian</t>
  </si>
  <si>
    <t>narina@regeneration.vc</t>
  </si>
  <si>
    <t>Regeneration VC</t>
  </si>
  <si>
    <t>9NCFKP</t>
  </si>
  <si>
    <t>Sent to narina@regeneration.vc on 2026-08-26</t>
  </si>
  <si>
    <t>Niccolo Moro</t>
  </si>
  <si>
    <t>Niccolo</t>
  </si>
  <si>
    <t>Moro</t>
  </si>
  <si>
    <t>nmoro@chrysalix.com</t>
  </si>
  <si>
    <t>3U1BZV</t>
  </si>
  <si>
    <t>Sent to nmoro@chrysalix.com on 2026-08-26</t>
  </si>
  <si>
    <t>Nico Hendrickx</t>
  </si>
  <si>
    <t>Nico</t>
  </si>
  <si>
    <t>Hendrickx</t>
  </si>
  <si>
    <t>nico@groovequantum.com</t>
  </si>
  <si>
    <t>VRRFGQ</t>
  </si>
  <si>
    <t>Sent to nico@groovequantum.com on 2026-08-26</t>
  </si>
  <si>
    <t>Nico van der Kolk</t>
  </si>
  <si>
    <t xml:space="preserve">Nico </t>
  </si>
  <si>
    <t>van der Kolk</t>
  </si>
  <si>
    <t>nico@albatros.digital</t>
  </si>
  <si>
    <t>GGB9FS</t>
  </si>
  <si>
    <t>Sent to nico@albatros.digital on 2026-08-26</t>
  </si>
  <si>
    <t>Nicola Pambakian</t>
  </si>
  <si>
    <t>Nicola</t>
  </si>
  <si>
    <t>Pambakian</t>
  </si>
  <si>
    <t>nicola@stil-technology.com</t>
  </si>
  <si>
    <t>9S8VGN</t>
  </si>
  <si>
    <t>Sent to nicola@stil-technology.com on 2026-08-26</t>
  </si>
  <si>
    <t>Nicolas Kramer</t>
  </si>
  <si>
    <t xml:space="preserve">Nicolas </t>
  </si>
  <si>
    <t xml:space="preserve">Kramer </t>
  </si>
  <si>
    <t>nicolas@sporebi.com</t>
  </si>
  <si>
    <t>QDFC4T</t>
  </si>
  <si>
    <t>Sent to nicolas@sporebi.com on 2026-08-26</t>
  </si>
  <si>
    <t>Niek Huizenga</t>
  </si>
  <si>
    <t>Niek</t>
  </si>
  <si>
    <t>Huizenga</t>
  </si>
  <si>
    <t>niek@tvilight.com</t>
  </si>
  <si>
    <t>NRKUZP</t>
  </si>
  <si>
    <t>Sent to niek@tvilight.com on 2026-08-26</t>
  </si>
  <si>
    <t>Niels Bartels</t>
  </si>
  <si>
    <t>Bartels</t>
  </si>
  <si>
    <t>niels.bartels@powercreations.nl</t>
  </si>
  <si>
    <t>RW81O1</t>
  </si>
  <si>
    <t>Sent to niels.bartels@powercreations.nl on 2026-08-26</t>
  </si>
  <si>
    <t>Niels Bultink</t>
  </si>
  <si>
    <t>Bultink</t>
  </si>
  <si>
    <t>niels@qblox.com</t>
  </si>
  <si>
    <t>Qblox</t>
  </si>
  <si>
    <t>4U6D5Z</t>
  </si>
  <si>
    <t>Sent to niels@qblox.com on 2026-08-26</t>
  </si>
  <si>
    <t>Niels Van Velzen</t>
  </si>
  <si>
    <t>Van Velzen</t>
  </si>
  <si>
    <t>nielsvvelzen@gmail.com</t>
  </si>
  <si>
    <t>VVCUD3</t>
  </si>
  <si>
    <t>Sent to nielsvvelzen@gmail.com on 2026-08-26</t>
  </si>
  <si>
    <t>Nienke Dijkstra</t>
  </si>
  <si>
    <t>Nienke</t>
  </si>
  <si>
    <t>Dijkstra</t>
  </si>
  <si>
    <t>nienke.dijkstra@tno.nl</t>
  </si>
  <si>
    <t>EQLK21</t>
  </si>
  <si>
    <t>Sent to nienke.dijkstra@tno.nl on 2026-08-26</t>
  </si>
  <si>
    <t>Nienke de Roode</t>
  </si>
  <si>
    <t>de Roode</t>
  </si>
  <si>
    <t>nienke@access2bone.com</t>
  </si>
  <si>
    <t>951O97</t>
  </si>
  <si>
    <t>Sent to nienke@access2bone.com on 2026-08-26</t>
  </si>
  <si>
    <t>Niklas Koerner</t>
  </si>
  <si>
    <t>Niklas</t>
  </si>
  <si>
    <t>Koerner</t>
  </si>
  <si>
    <t>niklas@faber.vc</t>
  </si>
  <si>
    <t>faber</t>
  </si>
  <si>
    <t>WQF08U</t>
  </si>
  <si>
    <t>Sent to niklas@faber.vc on 2026-08-26</t>
  </si>
  <si>
    <t>Niklas Hebborn</t>
  </si>
  <si>
    <t>Hebborn</t>
  </si>
  <si>
    <t>niklas@freigeist.com</t>
  </si>
  <si>
    <t>JDIW1U</t>
  </si>
  <si>
    <t>Sent to niklas@freigeist.com on 2026-08-26</t>
  </si>
  <si>
    <t>Nikolas Gaio</t>
  </si>
  <si>
    <t>Nikolas</t>
  </si>
  <si>
    <t>Gaio</t>
  </si>
  <si>
    <t>nikolas@biondteam.com</t>
  </si>
  <si>
    <t>0ZWOXA</t>
  </si>
  <si>
    <t>Sent to nikolas@biondteam.com on 2026-08-26</t>
  </si>
  <si>
    <t>Nils Lang</t>
  </si>
  <si>
    <t>Nils</t>
  </si>
  <si>
    <t>Lang</t>
  </si>
  <si>
    <t>n.lang@htgf.de</t>
  </si>
  <si>
    <t>htgf.de</t>
  </si>
  <si>
    <t>ZT2HIM</t>
  </si>
  <si>
    <t>Sent to n.lang@htgf.de on 2026-08-26</t>
  </si>
  <si>
    <t>Nils van Herpen</t>
  </si>
  <si>
    <t>van Herpen</t>
  </si>
  <si>
    <t>n.vanherpen@vgz.nl</t>
  </si>
  <si>
    <t>VGZ</t>
  </si>
  <si>
    <t>9ZNXQ1</t>
  </si>
  <si>
    <t>Sent to n.vanherpen@vgz.nl on 2026-08-26</t>
  </si>
  <si>
    <t>Nils Beers</t>
  </si>
  <si>
    <t>Beers</t>
  </si>
  <si>
    <t>nils@nbwp.nl</t>
  </si>
  <si>
    <t>Czeers</t>
  </si>
  <si>
    <t>ODIHTE</t>
  </si>
  <si>
    <t>Sent to nils@nbwp.nl on 2026-08-26</t>
  </si>
  <si>
    <t>Nima Tolou</t>
  </si>
  <si>
    <t>Nima</t>
  </si>
  <si>
    <t>Tolou</t>
  </si>
  <si>
    <t>nima.tolou@flexous.com</t>
  </si>
  <si>
    <t>flexous</t>
  </si>
  <si>
    <t>IIRTAY</t>
  </si>
  <si>
    <t>Sent to nima.tolou@flexous.com on 2026-08-26</t>
  </si>
  <si>
    <t>Nima Kinergizer</t>
  </si>
  <si>
    <t>nima.tolou@kinergizer.com</t>
  </si>
  <si>
    <t>UTA4GM</t>
  </si>
  <si>
    <t>Sent to nima.tolou@kinergizer.com on 2026-08-26</t>
  </si>
  <si>
    <t>Nima Salami</t>
  </si>
  <si>
    <t>Salami</t>
  </si>
  <si>
    <t>nima@oasysnow.com</t>
  </si>
  <si>
    <t>oasysnow</t>
  </si>
  <si>
    <t>V5ZD12</t>
  </si>
  <si>
    <t>Sent to nima@oasysnow.com on 2026-08-26</t>
  </si>
  <si>
    <t>Nitesh Bharosa</t>
  </si>
  <si>
    <t>Nitesh</t>
  </si>
  <si>
    <t>Bharosa</t>
  </si>
  <si>
    <t>n.bharosa@tudelft.nl</t>
  </si>
  <si>
    <t>QPDQ1R</t>
  </si>
  <si>
    <t>Sent to n.bharosa@tudelft.nl on 2026-08-26</t>
  </si>
  <si>
    <t>Nol van de Mortel</t>
  </si>
  <si>
    <t>Nol</t>
  </si>
  <si>
    <t>van de Mortel</t>
  </si>
  <si>
    <t>nol@access2bone.com</t>
  </si>
  <si>
    <t>F7LRO2</t>
  </si>
  <si>
    <t>Sent to nol@access2bone.com on 2026-08-26</t>
  </si>
  <si>
    <t>Noor Figdor</t>
  </si>
  <si>
    <t>Noor</t>
  </si>
  <si>
    <t>Figdor</t>
  </si>
  <si>
    <t>noorfigdor@gmail.com</t>
  </si>
  <si>
    <t>Z593LD</t>
  </si>
  <si>
    <t>Sent to noorfigdor@gmail.com on 2026-08-26</t>
  </si>
  <si>
    <t>Norbert Fraunholcz</t>
  </si>
  <si>
    <t>Norbert</t>
  </si>
  <si>
    <t>Fraunholcz</t>
  </si>
  <si>
    <t>norbert@resolved-tech.com</t>
  </si>
  <si>
    <t>ReSolved tech (Recycling Avenue)</t>
  </si>
  <si>
    <t>OUHVKA</t>
  </si>
  <si>
    <t>Sent to norbert@resolved-tech.com on 2026-08-26</t>
  </si>
  <si>
    <t>Ohad Gilad</t>
  </si>
  <si>
    <t>Ohad</t>
  </si>
  <si>
    <t>Gilad</t>
  </si>
  <si>
    <t>ohad@keadyn.com</t>
  </si>
  <si>
    <t>keadyn</t>
  </si>
  <si>
    <t>6AI3YK</t>
  </si>
  <si>
    <t>Sent to ohad@keadyn.com on 2026-08-26</t>
  </si>
  <si>
    <t>Oleg Guziy</t>
  </si>
  <si>
    <t>Oleg</t>
  </si>
  <si>
    <t>Guziy</t>
  </si>
  <si>
    <t>oleg.guziy@flexous.com</t>
  </si>
  <si>
    <t>Flexous</t>
  </si>
  <si>
    <t>EA81F1</t>
  </si>
  <si>
    <t>Sent to oleg.guziy@flexous.com on 2026-08-26</t>
  </si>
  <si>
    <t>Oleksandr Mykhalevych</t>
  </si>
  <si>
    <t xml:space="preserve">Oleksandr </t>
  </si>
  <si>
    <t>Mykhalevych</t>
  </si>
  <si>
    <t>alex@nutripy.io</t>
  </si>
  <si>
    <t>UL5DE3</t>
  </si>
  <si>
    <t>Sent to alex@nutripy.io on 2026-08-26</t>
  </si>
  <si>
    <t>Olga Wielders</t>
  </si>
  <si>
    <t>Olga</t>
  </si>
  <si>
    <t>Wielders</t>
  </si>
  <si>
    <t>olga@thehaguetech.com</t>
  </si>
  <si>
    <t>1T0FLD</t>
  </si>
  <si>
    <t>Sent to olga@thehaguetech.com on 2026-08-26</t>
  </si>
  <si>
    <t>Olivier Schevin</t>
  </si>
  <si>
    <t>Schevin</t>
  </si>
  <si>
    <t>olivier.schevin@denoize.com</t>
  </si>
  <si>
    <t>DeNoize</t>
  </si>
  <si>
    <t>ZOSX61</t>
  </si>
  <si>
    <t>Sent to olivier.schevin@denoize.com on 2026-08-26</t>
  </si>
  <si>
    <t>Olivier Coops</t>
  </si>
  <si>
    <t>Coops</t>
  </si>
  <si>
    <t>olivier@tilercharge.com</t>
  </si>
  <si>
    <t>XJUCJ8</t>
  </si>
  <si>
    <t>Sent to olivier@tilercharge.com on 2026-08-26</t>
  </si>
  <si>
    <t>omar link</t>
  </si>
  <si>
    <t>omar</t>
  </si>
  <si>
    <t>link</t>
  </si>
  <si>
    <t>omarlink@gmail.com</t>
  </si>
  <si>
    <t>Nowi</t>
  </si>
  <si>
    <t>GI9NSB</t>
  </si>
  <si>
    <t>Sent to omarlink@gmail.com on 2026-08-26</t>
  </si>
  <si>
    <t>Onno Bierhoff</t>
  </si>
  <si>
    <t>Onno</t>
  </si>
  <si>
    <t>Bierhoff</t>
  </si>
  <si>
    <t>onno@geheco.com</t>
  </si>
  <si>
    <t>TBREV7</t>
  </si>
  <si>
    <t>Sent to onno@geheco.com on 2026-08-26</t>
  </si>
  <si>
    <t>Oscar Veen</t>
  </si>
  <si>
    <t>dc.veen@portofrotterdam.com</t>
  </si>
  <si>
    <t>CE5PLX</t>
  </si>
  <si>
    <t>Sent to dc.veen@portofrotterdam.com on 2026-08-26</t>
  </si>
  <si>
    <t>Oscar Meijer</t>
  </si>
  <si>
    <t>meijer@sunshower.nl</t>
  </si>
  <si>
    <t>7VM8N6</t>
  </si>
  <si>
    <t>Sent to meijer@sunshower.nl on 2026-08-26</t>
  </si>
  <si>
    <t>Oscar Kneppers</t>
  </si>
  <si>
    <t>oscar@kneppers.com</t>
  </si>
  <si>
    <t>kneppers</t>
  </si>
  <si>
    <t>IFU9D7</t>
  </si>
  <si>
    <t>Sent to oscar@kneppers.com on 2026-08-26</t>
  </si>
  <si>
    <t>Ot Messemaker</t>
  </si>
  <si>
    <t>Ot</t>
  </si>
  <si>
    <t>Messemaker</t>
  </si>
  <si>
    <t>ot@skytree.eu</t>
  </si>
  <si>
    <t>QWPSGX</t>
  </si>
  <si>
    <t>Sent to ot@skytree.eu on 2026-08-26</t>
  </si>
  <si>
    <t>Ouafa Oualhadj</t>
  </si>
  <si>
    <t>Ouafa</t>
  </si>
  <si>
    <t>Oualhadj</t>
  </si>
  <si>
    <t>a.oualhadj@tweedekamer.nl</t>
  </si>
  <si>
    <t>tweedekamer</t>
  </si>
  <si>
    <t>W6VW1W</t>
  </si>
  <si>
    <t>Sent to a.oualhadj@tweedekamer.nl on 2026-08-26</t>
  </si>
  <si>
    <t>Ozhan Atmaca</t>
  </si>
  <si>
    <t>Ozhan</t>
  </si>
  <si>
    <t>Atmaca</t>
  </si>
  <si>
    <t>ozhanatmaca@regbes.com</t>
  </si>
  <si>
    <t>CV4NNX</t>
  </si>
  <si>
    <t>Sent to ozhanatmaca@regbes.com on 2026-08-26</t>
  </si>
  <si>
    <t>P Vliet</t>
  </si>
  <si>
    <t>P</t>
  </si>
  <si>
    <t>Vliet</t>
  </si>
  <si>
    <t>p.vliet@alertsolutions.nl</t>
  </si>
  <si>
    <t>CR1GLK</t>
  </si>
  <si>
    <t>Sent to p.vliet@alertsolutions.nl on 2026-08-26</t>
  </si>
  <si>
    <t>Pablo Benéitez</t>
  </si>
  <si>
    <t>Benéitez</t>
  </si>
  <si>
    <t>pablo@yesdelft.nl</t>
  </si>
  <si>
    <t>NTCUOJ</t>
  </si>
  <si>
    <t>Sent to pablo@yesdelft.nl on 2026-08-26</t>
  </si>
  <si>
    <t>Panos Doulgeris</t>
  </si>
  <si>
    <t>Panos</t>
  </si>
  <si>
    <t>Doulgeris</t>
  </si>
  <si>
    <t>doulgeris@direc.nl</t>
  </si>
  <si>
    <t>5JS49S</t>
  </si>
  <si>
    <t>Sent to doulgeris@direc.nl on 2026-08-26</t>
  </si>
  <si>
    <t>Parya Lotfi</t>
  </si>
  <si>
    <t>Parya</t>
  </si>
  <si>
    <t>Lotfi</t>
  </si>
  <si>
    <t>parya@duckduckgoose.nl</t>
  </si>
  <si>
    <t>DuckDuckGoose</t>
  </si>
  <si>
    <t>3TX3VJ</t>
  </si>
  <si>
    <t>Sent to parya@duckduckgoose.nl on 2026-08-26</t>
  </si>
  <si>
    <t>Pascal van Gimst</t>
  </si>
  <si>
    <t>van Gimst</t>
  </si>
  <si>
    <t>pvangimst@gmail.com</t>
  </si>
  <si>
    <t>Keysight technologies</t>
  </si>
  <si>
    <t>1BO6M0</t>
  </si>
  <si>
    <t>Sent to pvangimst@gmail.com on 2026-08-26</t>
  </si>
  <si>
    <t>Patrick De Ruiter</t>
  </si>
  <si>
    <t>De Ruiter</t>
  </si>
  <si>
    <r>
      <rPr>
        <sz val="11.0"/>
        <u/>
      </rPr>
      <t>patrick.de.ruiter@rabobank.nl</t>
    </r>
  </si>
  <si>
    <t>20EWQ8</t>
  </si>
  <si>
    <t>Sent to patrick.de.ruiter@rabobank.nl on 2026-08-26</t>
  </si>
  <si>
    <t>Patrick van den Ende</t>
  </si>
  <si>
    <t>van den Ende</t>
  </si>
  <si>
    <t>patrick.vandenende@tribess.com</t>
  </si>
  <si>
    <t>YFX4L5</t>
  </si>
  <si>
    <t>Sent to patrick.vandenende@tribess.com on 2026-08-26</t>
  </si>
  <si>
    <t>Patrick Wilson</t>
  </si>
  <si>
    <t>Wilson</t>
  </si>
  <si>
    <t>Patrick.Wilson@stedin.net</t>
  </si>
  <si>
    <t>Stedin</t>
  </si>
  <si>
    <t>DPRW50</t>
  </si>
  <si>
    <t>Sent to Patrick.Wilson@stedin.net on 2026-08-26</t>
  </si>
  <si>
    <t>Patrick Polak</t>
  </si>
  <si>
    <t>Polak</t>
  </si>
  <si>
    <t>patrick@newion.com</t>
  </si>
  <si>
    <t>newion</t>
  </si>
  <si>
    <t>1IA80V</t>
  </si>
  <si>
    <t>Sent to patrick@newion.com on 2026-08-26</t>
  </si>
  <si>
    <t>Patrick Van de Mosselaer</t>
  </si>
  <si>
    <t>Van de Mosselaer</t>
  </si>
  <si>
    <t>patrick@re-wire.vc</t>
  </si>
  <si>
    <t>RE:Wire Ventures</t>
  </si>
  <si>
    <t>T5VIWO</t>
  </si>
  <si>
    <t>Sent to patrick@re-wire.vc on 2026-08-26</t>
  </si>
  <si>
    <t>Paul Broersen</t>
  </si>
  <si>
    <t>Broersen</t>
  </si>
  <si>
    <r>
      <rPr>
        <color rgb="FF1155CC"/>
        <u/>
      </rPr>
      <t>broersenpm@gmail.com</t>
    </r>
  </si>
  <si>
    <t>J29THO</t>
  </si>
  <si>
    <t>Sent to broersenpm@gmail.com on 2026-08-26</t>
  </si>
  <si>
    <t>Paul Schydlo</t>
  </si>
  <si>
    <t>Schydlo</t>
  </si>
  <si>
    <t>paul@jaide.ai</t>
  </si>
  <si>
    <t>jaide</t>
  </si>
  <si>
    <t>UXRVXA</t>
  </si>
  <si>
    <t>Sent to paul@jaide.ai on 2026-08-26</t>
  </si>
  <si>
    <t>Paul Van den Hout</t>
  </si>
  <si>
    <t>Van den Hout</t>
  </si>
  <si>
    <t>paul@tablenobi.eu</t>
  </si>
  <si>
    <t>G1HFCN</t>
  </si>
  <si>
    <t>Sent to paul@tablenobi.eu on 2026-08-26</t>
  </si>
  <si>
    <t>Paul van Riel</t>
  </si>
  <si>
    <t>van Riel</t>
  </si>
  <si>
    <t>paulvanriel2@gmail.com</t>
  </si>
  <si>
    <t>YOFUSC</t>
  </si>
  <si>
    <t>Sent to paulvanriel2@gmail.com on 2026-08-26</t>
  </si>
  <si>
    <t>Paul van Grevenstein</t>
  </si>
  <si>
    <t>van Grevenstein</t>
  </si>
  <si>
    <t>pvangrevenstein@gmail.com</t>
  </si>
  <si>
    <t>MQ9JZV</t>
  </si>
  <si>
    <t>Sent to pvangrevenstein@gmail.com on 2026-08-26</t>
  </si>
  <si>
    <t>Pauline Wink-Zaanen</t>
  </si>
  <si>
    <t>Pauline</t>
  </si>
  <si>
    <t>Wink-Zaanen</t>
  </si>
  <si>
    <t>pauline@4impact.vc</t>
  </si>
  <si>
    <t>U4U9TW</t>
  </si>
  <si>
    <t>Sent to pauline@4impact.vc on 2026-08-26</t>
  </si>
  <si>
    <t>Pavel Cholakov</t>
  </si>
  <si>
    <t>Cholakov</t>
  </si>
  <si>
    <t>p.v.cholakov@gmail.com</t>
  </si>
  <si>
    <t>AZS8CY</t>
  </si>
  <si>
    <t>Sent to p.v.cholakov@gmail.com on 2026-08-26</t>
  </si>
  <si>
    <t>Pearse Coyle</t>
  </si>
  <si>
    <t>Pearse</t>
  </si>
  <si>
    <t>Coyle</t>
  </si>
  <si>
    <t>pc@deeptechseedfund.com</t>
  </si>
  <si>
    <t>Deeptech Seed Fund</t>
  </si>
  <si>
    <t>C42RDB</t>
  </si>
  <si>
    <t>Sent to pc@deeptechseedfund.com on 2026-08-26</t>
  </si>
  <si>
    <t>Pedja Jerinic</t>
  </si>
  <si>
    <t>Pedja</t>
  </si>
  <si>
    <t>Jerinic</t>
  </si>
  <si>
    <t>pedja.jerinic@keepyourhomeip.com</t>
  </si>
  <si>
    <t>keepyourhomeip</t>
  </si>
  <si>
    <t>WZG3NU</t>
  </si>
  <si>
    <t>Sent to pedja.jerinic@keepyourhomeip.com on 2026-08-26</t>
  </si>
  <si>
    <t>Pejman Hafezi</t>
  </si>
  <si>
    <t>Pejman</t>
  </si>
  <si>
    <t>Hafezi</t>
  </si>
  <si>
    <t>p.hafezi@samsung.com</t>
  </si>
  <si>
    <t>samsung</t>
  </si>
  <si>
    <t>3Y426A</t>
  </si>
  <si>
    <t>Sent to p.hafezi@samsung.com on 2026-08-26</t>
  </si>
  <si>
    <t>Peter Haffinger</t>
  </si>
  <si>
    <t>Haffinger</t>
  </si>
  <si>
    <t>haffinger@direc.nl</t>
  </si>
  <si>
    <t>O7CPHY</t>
  </si>
  <si>
    <t>Sent to haffinger@direc.nl on 2026-08-26</t>
  </si>
  <si>
    <t>Peter Lucas</t>
  </si>
  <si>
    <t>p.lucas@tudelft.nl</t>
  </si>
  <si>
    <t>8R4OVG</t>
  </si>
  <si>
    <t>Sent to p.lucas@tudelft.nl on 2026-08-26</t>
  </si>
  <si>
    <t>Peter Saarloos</t>
  </si>
  <si>
    <t>Saarloos</t>
  </si>
  <si>
    <t>p.saarloos@benedictpeax.com</t>
  </si>
  <si>
    <t>ras</t>
  </si>
  <si>
    <t>PXU8O8</t>
  </si>
  <si>
    <t>Sent to p.saarloos@benedictpeax.com on 2026-08-26</t>
  </si>
  <si>
    <t>Peter Goedvolk</t>
  </si>
  <si>
    <t>Goedvolk</t>
  </si>
  <si>
    <t>peter.goedvolk@firstdutch.com</t>
  </si>
  <si>
    <t>firstdutch</t>
  </si>
  <si>
    <t>JXO4U9</t>
  </si>
  <si>
    <t>Sent to peter.goedvolk@firstdutch.com on 2026-08-26</t>
  </si>
  <si>
    <t>Peter Krekel</t>
  </si>
  <si>
    <t>Krekel</t>
  </si>
  <si>
    <t>peter@krekel.nl</t>
  </si>
  <si>
    <t>Clinical Graphics</t>
  </si>
  <si>
    <t>TFQ6S5</t>
  </si>
  <si>
    <t>Sent to peter@krekel.nl on 2026-08-26</t>
  </si>
  <si>
    <t>Peter Rutgers</t>
  </si>
  <si>
    <t>Rutgers</t>
  </si>
  <si>
    <t>peter@watermanventures.nl</t>
  </si>
  <si>
    <t>LULT1L</t>
  </si>
  <si>
    <t>Sent to peter@watermanventures.nl on 2026-08-26</t>
  </si>
  <si>
    <t>Peter Zeeuw van der Laan</t>
  </si>
  <si>
    <t>Zeeuw van der Laan</t>
  </si>
  <si>
    <t>peterzeeuwvanderlaan@gmail.com</t>
  </si>
  <si>
    <t>OX3APF</t>
  </si>
  <si>
    <t>Sent to peterzeeuwvanderlaan@gmail.com on 2026-08-26</t>
  </si>
  <si>
    <t>Peter Madlener</t>
  </si>
  <si>
    <t>Madlener</t>
  </si>
  <si>
    <t>pmadlener@mocs.nl</t>
  </si>
  <si>
    <t>mocs</t>
  </si>
  <si>
    <t>G1GO37</t>
  </si>
  <si>
    <t>Sent to pmadlener@mocs.nl on 2026-08-26</t>
  </si>
  <si>
    <t>Peter van Gelderen</t>
  </si>
  <si>
    <t>van Gelderen</t>
  </si>
  <si>
    <t>pvg@icoscapital.com</t>
  </si>
  <si>
    <t>icoscapital</t>
  </si>
  <si>
    <t>WX4K6Q</t>
  </si>
  <si>
    <t>Sent to pvg@icoscapital.com on 2026-08-26</t>
  </si>
  <si>
    <t>Peter Maarten Westerhout</t>
  </si>
  <si>
    <t>Peter Maarten</t>
  </si>
  <si>
    <t>Westerhout</t>
  </si>
  <si>
    <t>petermaarten@techleap.nl</t>
  </si>
  <si>
    <t>3ET0LO</t>
  </si>
  <si>
    <t>Sent to petermaarten@techleap.nl on 2026-08-26</t>
  </si>
  <si>
    <t>Petya Georgieva</t>
  </si>
  <si>
    <t>Petya</t>
  </si>
  <si>
    <t>Georgieva</t>
  </si>
  <si>
    <t>p.georgieva@erasmusmc.nl</t>
  </si>
  <si>
    <t>7DXOCU</t>
  </si>
  <si>
    <t>Sent to p.georgieva@erasmusmc.nl on 2026-08-26</t>
  </si>
  <si>
    <t>Philip van Vershuer</t>
  </si>
  <si>
    <t>van Vershuer</t>
  </si>
  <si>
    <t>p.w.van.verschuer@gmail.com</t>
  </si>
  <si>
    <t>PKD83K</t>
  </si>
  <si>
    <t>Sent to p.w.van.verschuer@gmail.com on 2026-08-26</t>
  </si>
  <si>
    <t>Philip van den Heuvel</t>
  </si>
  <si>
    <t>van den Heuvel</t>
  </si>
  <si>
    <t>philip@breeze.social</t>
  </si>
  <si>
    <t>VPZ1AF</t>
  </si>
  <si>
    <t>Sent to philip@breeze.social on 2026-08-26</t>
  </si>
  <si>
    <t>Philip Seijger</t>
  </si>
  <si>
    <t>Seijger</t>
  </si>
  <si>
    <t>philip@memsys.nl</t>
  </si>
  <si>
    <t>MEMSYS</t>
  </si>
  <si>
    <t>I8YLC5</t>
  </si>
  <si>
    <t>Sent to philip@memsys.nl on 2026-08-26</t>
  </si>
  <si>
    <t>Philip Roos</t>
  </si>
  <si>
    <t>Roos</t>
  </si>
  <si>
    <t>philip@power2match.com</t>
  </si>
  <si>
    <t>power2match</t>
  </si>
  <si>
    <t>YAO5TO</t>
  </si>
  <si>
    <t>Sent to philip@power2match.com on 2026-08-26</t>
  </si>
  <si>
    <t>Pierre van den Oord</t>
  </si>
  <si>
    <t>Pierre</t>
  </si>
  <si>
    <t>van den Oord</t>
  </si>
  <si>
    <t>pierre@loqed.com</t>
  </si>
  <si>
    <t>loqed</t>
  </si>
  <si>
    <t>E902MQ</t>
  </si>
  <si>
    <t>Sent to pierre@loqed.com on 2026-08-26</t>
  </si>
  <si>
    <t>Pieter Waasdorp</t>
  </si>
  <si>
    <t>Pieter</t>
  </si>
  <si>
    <t>Waasdorp</t>
  </si>
  <si>
    <r>
      <rPr>
        <color rgb="FF1155CC"/>
        <sz val="11.0"/>
        <u/>
      </rPr>
      <t>p.m.waasdorp@minezk.nl</t>
    </r>
  </si>
  <si>
    <t>Min EZK</t>
  </si>
  <si>
    <t>H7BE0A</t>
  </si>
  <si>
    <t>Sent to p.m.waasdorp@minezk.nl on 2026-08-26</t>
  </si>
  <si>
    <t>Pieter Vellinga</t>
  </si>
  <si>
    <t>Vellinga</t>
  </si>
  <si>
    <t>pfvellinga@vangelder.com</t>
  </si>
  <si>
    <t>KCY76W</t>
  </si>
  <si>
    <t>Sent to pfvellinga@vangelder.com on 2026-08-26</t>
  </si>
  <si>
    <t>Pieter Palmers</t>
  </si>
  <si>
    <t>Palmers</t>
  </si>
  <si>
    <t>pieter.palmers@imec.be</t>
  </si>
  <si>
    <t>imec</t>
  </si>
  <si>
    <t>RFYSTF</t>
  </si>
  <si>
    <t>Sent to pieter.palmers@imec.be on 2026-08-26</t>
  </si>
  <si>
    <t>Pieter Smakman</t>
  </si>
  <si>
    <t>Smakman</t>
  </si>
  <si>
    <t>pieter@manometric.nl</t>
  </si>
  <si>
    <t>manometric</t>
  </si>
  <si>
    <t>X0XWNB</t>
  </si>
  <si>
    <t>Sent to pieter@manometric.nl on 2026-08-26</t>
  </si>
  <si>
    <t>Pieter Schoen</t>
  </si>
  <si>
    <t>Schoen</t>
  </si>
  <si>
    <t>pieter@shoeinvestments.nl</t>
  </si>
  <si>
    <t>Shoe Investments</t>
  </si>
  <si>
    <t>ZU2I04</t>
  </si>
  <si>
    <t>Sent to pieter@shoeinvestments.nl on 2026-08-26</t>
  </si>
  <si>
    <t>Pieter de Klein</t>
  </si>
  <si>
    <t>de Klein</t>
  </si>
  <si>
    <t>pieterdeklein14@gmail.com</t>
  </si>
  <si>
    <t>FCMBHI</t>
  </si>
  <si>
    <t>Sent to pieterdeklein14@gmail.com on 2026-08-26</t>
  </si>
  <si>
    <t>Pieter Jansen</t>
  </si>
  <si>
    <t>pj@ictree.nl</t>
  </si>
  <si>
    <t>ictree</t>
  </si>
  <si>
    <t>DSQ9XK</t>
  </si>
  <si>
    <t>Sent to pj@ictree.nl on 2026-08-26</t>
  </si>
  <si>
    <t>HFHT2Z</t>
  </si>
  <si>
    <t>Pieter-Jan Van Haute</t>
  </si>
  <si>
    <t>Pieter-Jan</t>
  </si>
  <si>
    <t>Van Haute</t>
  </si>
  <si>
    <t>pieterjan@northzone.com</t>
  </si>
  <si>
    <t>947VWJ</t>
  </si>
  <si>
    <t>Sent to pieterjan@northzone.com on 2026-08-26</t>
  </si>
  <si>
    <t>Pim Schaasberg</t>
  </si>
  <si>
    <t>Schaasberg</t>
  </si>
  <si>
    <t>p.schaasberg@tudelft.nl</t>
  </si>
  <si>
    <t>ProteoT</t>
  </si>
  <si>
    <t>TJJ1TK</t>
  </si>
  <si>
    <t>Sent to p.schaasberg@tudelft.nl on 2026-08-26</t>
  </si>
  <si>
    <t>Pim Adams</t>
  </si>
  <si>
    <t>Adams</t>
  </si>
  <si>
    <t>pim.adams@asr.nl</t>
  </si>
  <si>
    <t>asr</t>
  </si>
  <si>
    <t>X3RMS4</t>
  </si>
  <si>
    <t>Sent to pim.adams@asr.nl on 2026-08-26</t>
  </si>
  <si>
    <t>Pim Wubben</t>
  </si>
  <si>
    <t>Wubben</t>
  </si>
  <si>
    <t>pim@embeddedacoustics.com</t>
  </si>
  <si>
    <t>Embedded Engineering (Embedded Acoustics)</t>
  </si>
  <si>
    <t>PDPMSH</t>
  </si>
  <si>
    <t>Sent to pim@embeddedacoustics.com on 2026-08-26</t>
  </si>
  <si>
    <t>Pim Hollestelle</t>
  </si>
  <si>
    <t>Hollestelle</t>
  </si>
  <si>
    <t>pim@lumolabs.io</t>
  </si>
  <si>
    <t>YSTHB9</t>
  </si>
  <si>
    <t>Sent to pim@lumolabs.io on 2026-08-26</t>
  </si>
  <si>
    <t>Pooria Pahlavan</t>
  </si>
  <si>
    <t>Pooria</t>
  </si>
  <si>
    <t>Pahlavan</t>
  </si>
  <si>
    <t>pahlavan@shmnext.com</t>
  </si>
  <si>
    <t>Y7HN9E</t>
  </si>
  <si>
    <t>Sent to pahlavan@shmnext.com on 2026-08-26</t>
  </si>
  <si>
    <t>Pratap Thapa</t>
  </si>
  <si>
    <t>Pratap</t>
  </si>
  <si>
    <t>Thapa</t>
  </si>
  <si>
    <t>pratap@aqysta.com</t>
  </si>
  <si>
    <t>9Z481C</t>
  </si>
  <si>
    <t>Sent to pratap@aqysta.com on 2026-08-26</t>
  </si>
  <si>
    <t>Priya Gajadhar</t>
  </si>
  <si>
    <t>Priya</t>
  </si>
  <si>
    <t>Gajadhar</t>
  </si>
  <si>
    <t>priya.gajadhar@hymonic.com</t>
  </si>
  <si>
    <t>Hymonic</t>
  </si>
  <si>
    <t>U33LA8</t>
  </si>
  <si>
    <t>Sent to priya.gajadhar@hymonic.com on 2026-08-26</t>
  </si>
  <si>
    <t>Puck van de Bovenkamp</t>
  </si>
  <si>
    <t>Puck</t>
  </si>
  <si>
    <t>van de Bovenkamp</t>
  </si>
  <si>
    <t>p.a.vandebovenkamp@tudelft.nl</t>
  </si>
  <si>
    <t>RT6TYC</t>
  </si>
  <si>
    <t>Sent to p.a.vandebovenkamp@tudelft.nl on 2026-08-26</t>
  </si>
  <si>
    <t>Puck van holsteijn</t>
  </si>
  <si>
    <t>van holsteijn</t>
  </si>
  <si>
    <t>puck.van.holsteijn@hortiheroes.com</t>
  </si>
  <si>
    <t>Z9V5XF</t>
  </si>
  <si>
    <t>Sent to puck.van.holsteijn@hortiheroes.com on 2026-08-26</t>
  </si>
  <si>
    <t>Quentin Dupraz</t>
  </si>
  <si>
    <t>Quentin</t>
  </si>
  <si>
    <t>Dupraz</t>
  </si>
  <si>
    <t>quentin.dupraz@ilavska-vuillermoz.com</t>
  </si>
  <si>
    <t>ilavska-vuillermoz</t>
  </si>
  <si>
    <t>ZTW6XU</t>
  </si>
  <si>
    <t>Sent to quentin.dupraz@ilavska-vuillermoz.com on 2026-08-26</t>
  </si>
  <si>
    <t>Quinten Selhorst</t>
  </si>
  <si>
    <t>Quinten</t>
  </si>
  <si>
    <t>Selhorst</t>
  </si>
  <si>
    <t>quinten@ewor.com</t>
  </si>
  <si>
    <t>ewor</t>
  </si>
  <si>
    <t>RHQ8YM</t>
  </si>
  <si>
    <t>Sent to quinten@ewor.com on 2026-08-26</t>
  </si>
  <si>
    <t>Radena Tsoneva</t>
  </si>
  <si>
    <t>Tsoneva</t>
  </si>
  <si>
    <t>Radena@yesdelft.nl</t>
  </si>
  <si>
    <t>V7B7PP</t>
  </si>
  <si>
    <t>Sent to Radena@yesdelft.nl on 2026-08-26</t>
  </si>
  <si>
    <t>Raffaele Romano</t>
  </si>
  <si>
    <t>Raffaele</t>
  </si>
  <si>
    <t>Romano</t>
  </si>
  <si>
    <t>raffaele@vertigo-tech.com</t>
  </si>
  <si>
    <t>29GITJ</t>
  </si>
  <si>
    <t>Sent to raffaele@vertigo-tech.com on 2026-08-26</t>
  </si>
  <si>
    <t>Rahul Sharma</t>
  </si>
  <si>
    <t>Rahul</t>
  </si>
  <si>
    <t>Sharma</t>
  </si>
  <si>
    <t>r.sharma@arceon.nl</t>
  </si>
  <si>
    <t>S4OCFQ</t>
  </si>
  <si>
    <t>Sent to r.sharma@arceon.nl on 2026-08-26</t>
  </si>
  <si>
    <t>Rahul Shirke</t>
  </si>
  <si>
    <t>Shirke</t>
  </si>
  <si>
    <t>rahul@arceon.nl</t>
  </si>
  <si>
    <t>arceon</t>
  </si>
  <si>
    <t>RZKADQ</t>
  </si>
  <si>
    <t>Sent to rahul@arceon.nl on 2026-08-26</t>
  </si>
  <si>
    <t>Ralf Meijer</t>
  </si>
  <si>
    <t>ralf@mangostone.nl</t>
  </si>
  <si>
    <t>5TMMPL</t>
  </si>
  <si>
    <t>Sent to ralf@mangostone.nl on 2026-08-26</t>
  </si>
  <si>
    <t>Ralph Krook</t>
  </si>
  <si>
    <t>Krook</t>
  </si>
  <si>
    <t>ralph@shoresystems.nl</t>
  </si>
  <si>
    <t>BMKO6Q</t>
  </si>
  <si>
    <t>Sent to ralph@shoresystems.nl on 2026-08-26</t>
  </si>
  <si>
    <t>Ramon Da Re</t>
  </si>
  <si>
    <t>Ramon</t>
  </si>
  <si>
    <t>Da Re</t>
  </si>
  <si>
    <t>ramon@nurtio.com</t>
  </si>
  <si>
    <t>2ZEP19</t>
  </si>
  <si>
    <t>Sent to ramon@nurtio.com on 2026-08-26</t>
  </si>
  <si>
    <t>Randolf Nijsse</t>
  </si>
  <si>
    <t>Randolf</t>
  </si>
  <si>
    <t>Nijsse</t>
  </si>
  <si>
    <t>Randolf@impactequity.nl</t>
  </si>
  <si>
    <t>impactequity</t>
  </si>
  <si>
    <t>YUEPYU</t>
  </si>
  <si>
    <t>Sent to Randolf@impactequity.nl on 2026-08-26</t>
  </si>
  <si>
    <t>Ras test Lalmy</t>
  </si>
  <si>
    <t>Ras test</t>
  </si>
  <si>
    <t>Lalmy</t>
  </si>
  <si>
    <t>ras@yesdelft.nl</t>
  </si>
  <si>
    <t>UY86AK</t>
  </si>
  <si>
    <t>Sent to ras@yesdelft.nl on 2026-08-26</t>
  </si>
  <si>
    <t>Raymond Pols</t>
  </si>
  <si>
    <t>Raymond</t>
  </si>
  <si>
    <t>Pols</t>
  </si>
  <si>
    <t>raymond.pols@craytive.com</t>
  </si>
  <si>
    <t>craytive</t>
  </si>
  <si>
    <t>7P7EF8</t>
  </si>
  <si>
    <t>Sent to raymond.pols@craytive.com on 2026-08-26</t>
  </si>
  <si>
    <t>raymond@shareworks.nl</t>
  </si>
  <si>
    <t>V3X633</t>
  </si>
  <si>
    <t>Sent to raymond@shareworks.nl on 2026-08-26</t>
  </si>
  <si>
    <t>Rebecca Fasel</t>
  </si>
  <si>
    <t>Rebecca</t>
  </si>
  <si>
    <t>Fasel</t>
  </si>
  <si>
    <t>rfasel@vshanab.nl</t>
  </si>
  <si>
    <t>vshanab</t>
  </si>
  <si>
    <t>ETE6SM</t>
  </si>
  <si>
    <t>Sent to rfasel@vshanab.nl on 2026-08-26</t>
  </si>
  <si>
    <t>Redouane Hallouzi</t>
  </si>
  <si>
    <t>Redouane</t>
  </si>
  <si>
    <t>Hallouzi</t>
  </si>
  <si>
    <t>hallouzi@reliacon.nl</t>
  </si>
  <si>
    <t>Reliacon</t>
  </si>
  <si>
    <t>3QZJNX</t>
  </si>
  <si>
    <t>Sent to hallouzi@reliacon.nl on 2026-08-26</t>
  </si>
  <si>
    <t>Regina The</t>
  </si>
  <si>
    <t>Regina</t>
  </si>
  <si>
    <t>The</t>
  </si>
  <si>
    <t>regina@zorgkeuzelab.nl</t>
  </si>
  <si>
    <t>V4X3J2</t>
  </si>
  <si>
    <t>Sent to regina@zorgkeuzelab.nl on 2026-08-26</t>
  </si>
  <si>
    <t>Reinier van Dijk</t>
  </si>
  <si>
    <t>reinier@parapy.nl</t>
  </si>
  <si>
    <t>parapy</t>
  </si>
  <si>
    <t>YPV5LF</t>
  </si>
  <si>
    <t>Sent to reinier@parapy.nl on 2026-08-26</t>
  </si>
  <si>
    <t>Reinoud Feenstra</t>
  </si>
  <si>
    <t>Reinoud</t>
  </si>
  <si>
    <t>Feenstra</t>
  </si>
  <si>
    <t>reinoud@elementalwatermakers.com</t>
  </si>
  <si>
    <t>elementalwatermakers</t>
  </si>
  <si>
    <t>640SB0</t>
  </si>
  <si>
    <t>Sent to reinoud@elementalwatermakers.com on 2026-08-26</t>
  </si>
  <si>
    <t>Reinout vander Meulen</t>
  </si>
  <si>
    <t>Reinout</t>
  </si>
  <si>
    <t>vander Meulen</t>
  </si>
  <si>
    <t>reinout.vandermeulen@gmail.com</t>
  </si>
  <si>
    <t>QKQJ8J</t>
  </si>
  <si>
    <t>Sent to reinout.vandermeulen@gmail.com on 2026-08-26</t>
  </si>
  <si>
    <t>Reinout van der Meulen</t>
  </si>
  <si>
    <t>vandermeulen@tiincapital.nl</t>
  </si>
  <si>
    <t>tiincapital</t>
  </si>
  <si>
    <t>IPXHVG</t>
  </si>
  <si>
    <t>Sent to vandermeulen@tiincapital.nl on 2026-08-26</t>
  </si>
  <si>
    <t>Reinout Capital</t>
  </si>
  <si>
    <t>vandermeulen@tincapital.vc</t>
  </si>
  <si>
    <t>7ZF5DZ</t>
  </si>
  <si>
    <t>Sent to vandermeulen@tincapital.vc on 2026-08-26</t>
  </si>
  <si>
    <t>Remco Westerbeek</t>
  </si>
  <si>
    <t>Remco</t>
  </si>
  <si>
    <t>Westerbeek</t>
  </si>
  <si>
    <t>remco.westerbeek@invest-nl.nl</t>
  </si>
  <si>
    <t>NNKBFE</t>
  </si>
  <si>
    <t>Sent to remco.westerbeek@invest-nl.nl on 2026-08-26</t>
  </si>
  <si>
    <t>Remco Huijser</t>
  </si>
  <si>
    <t>Huijser</t>
  </si>
  <si>
    <t>remco@binki.es</t>
  </si>
  <si>
    <t>ZJXJFI</t>
  </si>
  <si>
    <t>Sent to remco@binki.es on 2026-08-26</t>
  </si>
  <si>
    <t>Remco Veenbrink</t>
  </si>
  <si>
    <t>Veenbrink</t>
  </si>
  <si>
    <t>remco@signilux.com</t>
  </si>
  <si>
    <t>Z9L312</t>
  </si>
  <si>
    <t>Sent to remco@signilux.com on 2026-08-26</t>
  </si>
  <si>
    <t>Remko Slotema</t>
  </si>
  <si>
    <t>Remko</t>
  </si>
  <si>
    <t>Slotema</t>
  </si>
  <si>
    <t>remko@quantware.eu</t>
  </si>
  <si>
    <t>Plotwise (Calendar42)</t>
  </si>
  <si>
    <t>JVATDX</t>
  </si>
  <si>
    <t>Sent to remko@quantware.eu on 2026-08-26</t>
  </si>
  <si>
    <t>RenÃ© Elstgeest</t>
  </si>
  <si>
    <t>RenÃ©</t>
  </si>
  <si>
    <t>Elstgeest</t>
  </si>
  <si>
    <t>rene@elstgeest.com</t>
  </si>
  <si>
    <t>deLight Interactive Solutions</t>
  </si>
  <si>
    <t>IV4MJT</t>
  </si>
  <si>
    <t>Sent to rene@elstgeest.com on 2026-08-26</t>
  </si>
  <si>
    <t>Renate Langhout</t>
  </si>
  <si>
    <t>Renate</t>
  </si>
  <si>
    <t>Langhout</t>
  </si>
  <si>
    <r>
      <rPr>
        <color rgb="FF1155CC"/>
        <sz val="11.0"/>
        <u/>
      </rPr>
      <t>Renate.Langhout@lansingerland.nl</t>
    </r>
  </si>
  <si>
    <t>Lansingerland</t>
  </si>
  <si>
    <t>HJ4IGU</t>
  </si>
  <si>
    <t>Sent to Renate.Langhout@lansingerland.nl on 2026-08-26</t>
  </si>
  <si>
    <t>Rene Buck</t>
  </si>
  <si>
    <t>Rene</t>
  </si>
  <si>
    <t>Buck</t>
  </si>
  <si>
    <t>rene.buck@bciglobal.com</t>
  </si>
  <si>
    <t>bciglobal</t>
  </si>
  <si>
    <t>8WRVL6</t>
  </si>
  <si>
    <t>Sent to rene.buck@bciglobal.com on 2026-08-26</t>
  </si>
  <si>
    <t>Rene Tensen</t>
  </si>
  <si>
    <t>Tensen</t>
  </si>
  <si>
    <t>rene@tensengroep.nl</t>
  </si>
  <si>
    <t>tensengroep</t>
  </si>
  <si>
    <t>P55JHX</t>
  </si>
  <si>
    <t>Sent to rene@tensengroep.nl on 2026-08-26</t>
  </si>
  <si>
    <t>Rene Savelsberg</t>
  </si>
  <si>
    <t>Savelsberg</t>
  </si>
  <si>
    <t>renesavelsberg@setventures.com</t>
  </si>
  <si>
    <t>FWLKZU</t>
  </si>
  <si>
    <t>Sent to renesavelsberg@setventures.com on 2026-08-26</t>
  </si>
  <si>
    <t>Reuben Moore</t>
  </si>
  <si>
    <t>Reuben</t>
  </si>
  <si>
    <t>Moore</t>
  </si>
  <si>
    <t>reuben@liionpower.tech</t>
  </si>
  <si>
    <t>EGH3ZL</t>
  </si>
  <si>
    <t>Sent to reuben@liionpower.tech on 2026-08-26</t>
  </si>
  <si>
    <t>Reza Lotfi</t>
  </si>
  <si>
    <t>Reza</t>
  </si>
  <si>
    <t>reza@innoboom.nl</t>
  </si>
  <si>
    <t>IK3P8I</t>
  </si>
  <si>
    <t>Sent to reza@innoboom.nl on 2026-08-26</t>
  </si>
  <si>
    <t>Rianne Wolfs</t>
  </si>
  <si>
    <t>Wolfs</t>
  </si>
  <si>
    <t>info@laevo.nl</t>
  </si>
  <si>
    <t>laevo</t>
  </si>
  <si>
    <t>X76OEQ</t>
  </si>
  <si>
    <t>Sent to info@laevo.nl on 2026-08-26</t>
  </si>
  <si>
    <t>Rianne van de Sande</t>
  </si>
  <si>
    <t>van de Sande</t>
  </si>
  <si>
    <t>rianne.van.de.sande@nl.ey.com</t>
  </si>
  <si>
    <t>nl.ey</t>
  </si>
  <si>
    <t>I1T834</t>
  </si>
  <si>
    <t>Sent to rianne.van.de.sande@nl.ey.com on 2026-08-26</t>
  </si>
  <si>
    <t>Riccardo Sarijoen</t>
  </si>
  <si>
    <t>Riccardo</t>
  </si>
  <si>
    <t>Sarijoen</t>
  </si>
  <si>
    <t>riccardo.sarijoen@outlook.com</t>
  </si>
  <si>
    <t>L125TR</t>
  </si>
  <si>
    <t>Sent to riccardo.sarijoen@outlook.com on 2026-08-26</t>
  </si>
  <si>
    <t>Richard Spijkers</t>
  </si>
  <si>
    <t>Spijkers</t>
  </si>
  <si>
    <t>r.a.spijkers@gmail.com</t>
  </si>
  <si>
    <t>SNA5I3</t>
  </si>
  <si>
    <t>Sent to r.a.spijkers@gmail.com on 2026-08-26</t>
  </si>
  <si>
    <t>Richard Goossens</t>
  </si>
  <si>
    <t>Goossens</t>
  </si>
  <si>
    <t>r.h.m.goossens@tudelft.nl</t>
  </si>
  <si>
    <t>SAE9L7</t>
  </si>
  <si>
    <t>Sent to r.h.m.goossens@tudelft.nl on 2026-08-26</t>
  </si>
  <si>
    <t>Richard Stronkman</t>
  </si>
  <si>
    <t>Stronkman</t>
  </si>
  <si>
    <t>richardstronkman@gmail.com</t>
  </si>
  <si>
    <t>Greetinq, PublicSonar, Iconic Works</t>
  </si>
  <si>
    <t>8QE2SP</t>
  </si>
  <si>
    <t>Sent to richardstronkman@gmail.com on 2026-08-26</t>
  </si>
  <si>
    <t>Richard van der Linde</t>
  </si>
  <si>
    <t>van der Linde</t>
  </si>
  <si>
    <r>
      <rPr>
        <color rgb="FF1155CC"/>
        <sz val="11.0"/>
        <u/>
      </rPr>
      <t>rqvanderlinde@gmail.co</t>
    </r>
    <r>
      <rPr>
        <color rgb="FF0000FF"/>
        <sz val="11.0"/>
        <u/>
      </rPr>
      <t>m</t>
    </r>
  </si>
  <si>
    <t>K9BHPV</t>
  </si>
  <si>
    <t>Sent to rqvanderlinde@gmail.com on 2026-08-26</t>
  </si>
  <si>
    <t>Richard van der Pluym</t>
  </si>
  <si>
    <t xml:space="preserve">Richard </t>
  </si>
  <si>
    <t>van der Pluym</t>
  </si>
  <si>
    <t>richard.van.der.pluym@nl.ey.com</t>
  </si>
  <si>
    <t>KRC98G</t>
  </si>
  <si>
    <t>Sent to richard.van.der.pluym@nl.ey.com on 2026-08-26</t>
  </si>
  <si>
    <t>Rick Fransen</t>
  </si>
  <si>
    <t>Fransen</t>
  </si>
  <si>
    <t>h.fransen@pzh.nl</t>
  </si>
  <si>
    <t>HRT1C6</t>
  </si>
  <si>
    <t>Sent to h.fransen@pzh.nl on 2026-08-26</t>
  </si>
  <si>
    <t>Rick Bonants</t>
  </si>
  <si>
    <t>Bonants</t>
  </si>
  <si>
    <t>r.b.j.bonants@tudelft.nl</t>
  </si>
  <si>
    <t>IHANJH</t>
  </si>
  <si>
    <t>Sent to r.b.j.bonants@tudelft.nl on 2026-08-26</t>
  </si>
  <si>
    <t>Rick Lenssen</t>
  </si>
  <si>
    <t>Lenssen</t>
  </si>
  <si>
    <t>rick@e-trailer.nl</t>
  </si>
  <si>
    <t>JE8FAL</t>
  </si>
  <si>
    <t>Sent to rick@e-trailer.nl on 2026-08-26</t>
  </si>
  <si>
    <t>Riemer Smink</t>
  </si>
  <si>
    <t>Riemer</t>
  </si>
  <si>
    <t>Smink</t>
  </si>
  <si>
    <t>riemer.smink@forward.one</t>
  </si>
  <si>
    <t>VDIL7H</t>
  </si>
  <si>
    <t>Sent to riemer.smink@forward.one on 2026-08-26</t>
  </si>
  <si>
    <t>Rien Kamman</t>
  </si>
  <si>
    <t>Rien</t>
  </si>
  <si>
    <t>Kamman</t>
  </si>
  <si>
    <t>rien@source.ag</t>
  </si>
  <si>
    <t>LG97YH</t>
  </si>
  <si>
    <t>Sent to rien@source.ag on 2026-08-26</t>
  </si>
  <si>
    <t>Rik Roeske</t>
  </si>
  <si>
    <t>Roeske</t>
  </si>
  <si>
    <t>rik.roeske@rvo.nl</t>
  </si>
  <si>
    <t>HC1GQD</t>
  </si>
  <si>
    <t>Sent to rik.roeske@rvo.nl on 2026-08-26</t>
  </si>
  <si>
    <t>Riley Barendse</t>
  </si>
  <si>
    <t>Riley</t>
  </si>
  <si>
    <t>Barendse</t>
  </si>
  <si>
    <t>info@baruni.nl</t>
  </si>
  <si>
    <t>baruni</t>
  </si>
  <si>
    <t>W0A4OO</t>
  </si>
  <si>
    <t>Sent to info@baruni.nl on 2026-08-26</t>
  </si>
  <si>
    <t>Rinke Zonneveld</t>
  </si>
  <si>
    <t>Rinke</t>
  </si>
  <si>
    <t>Zonneveld</t>
  </si>
  <si>
    <t>rinke.zonneveld@invest-nl.nl</t>
  </si>
  <si>
    <t>TBME40</t>
  </si>
  <si>
    <t>Sent to rinke.zonneveld@invest-nl.nl on 2026-08-26</t>
  </si>
  <si>
    <t>Rinze de Vries</t>
  </si>
  <si>
    <t>Rinze</t>
  </si>
  <si>
    <t>rinze@noria.earth</t>
  </si>
  <si>
    <t>J393G4</t>
  </si>
  <si>
    <t>Sent to rinze@noria.earth on 2026-08-26</t>
  </si>
  <si>
    <t>Rob van Mierlo</t>
  </si>
  <si>
    <t>Rob</t>
  </si>
  <si>
    <t>van Mierlo</t>
  </si>
  <si>
    <t>r.van.mierlo@moore-drv.nl</t>
  </si>
  <si>
    <t>LZHY8P</t>
  </si>
  <si>
    <t>Sent to r.van.mierlo@moore-drv.nl on 2026-08-26</t>
  </si>
  <si>
    <t>Rob van Straten</t>
  </si>
  <si>
    <t>van Straten</t>
  </si>
  <si>
    <t>rob@skytree.eu</t>
  </si>
  <si>
    <t>4DTHPW</t>
  </si>
  <si>
    <t>Sent to rob@skytree.eu on 2026-08-26</t>
  </si>
  <si>
    <t>Rob Steenbrink</t>
  </si>
  <si>
    <t>Steenbrink</t>
  </si>
  <si>
    <t>rob@stonemax.nl</t>
  </si>
  <si>
    <t>stonemax</t>
  </si>
  <si>
    <t>0RL24S</t>
  </si>
  <si>
    <t>Sent to rob@stonemax.nl on 2026-08-26</t>
  </si>
  <si>
    <t>Robbert van Putten</t>
  </si>
  <si>
    <t>Robbert</t>
  </si>
  <si>
    <t>van Putten</t>
  </si>
  <si>
    <t>r.vanputten@cyberhydra.nl</t>
  </si>
  <si>
    <t>TNKI7X</t>
  </si>
  <si>
    <t>Sent to r.vanputten@cyberhydra.nl on 2026-08-26</t>
  </si>
  <si>
    <t>Robbert Lut</t>
  </si>
  <si>
    <t>Lut</t>
  </si>
  <si>
    <t>robbert.lut@rabobank.nl</t>
  </si>
  <si>
    <t>ECYZLL</t>
  </si>
  <si>
    <t>Sent to robbert.lut@rabobank.nl on 2026-08-26</t>
  </si>
  <si>
    <t>Robbert Smit</t>
  </si>
  <si>
    <t>robbert.smit@presencedisplays.com</t>
  </si>
  <si>
    <t>presencedisplays</t>
  </si>
  <si>
    <t>9WBMBP</t>
  </si>
  <si>
    <t>Sent to robbert.smit@presencedisplays.com on 2026-08-26</t>
  </si>
  <si>
    <t>Robbert Ledeboer</t>
  </si>
  <si>
    <t>Ledeboer</t>
  </si>
  <si>
    <t>Robbert@ledeboer.org</t>
  </si>
  <si>
    <t>MPII59</t>
  </si>
  <si>
    <t>Sent to Robbert@ledeboer.org on 2026-08-26</t>
  </si>
  <si>
    <t>Robbert van Geldrop</t>
  </si>
  <si>
    <t>van Geldrop</t>
  </si>
  <si>
    <t>robbert@vangeldrop.com</t>
  </si>
  <si>
    <t>BackupAgent</t>
  </si>
  <si>
    <t>P5DPRA</t>
  </si>
  <si>
    <t>Sent to robbert@vangeldrop.com on 2026-08-26</t>
  </si>
  <si>
    <t>Robert Al</t>
  </si>
  <si>
    <t>Robert</t>
  </si>
  <si>
    <t>Al</t>
  </si>
  <si>
    <t>r.al@erasmusmc.nl</t>
  </si>
  <si>
    <t>F4PF1F</t>
  </si>
  <si>
    <t>Sent to r.al@erasmusmc.nl on 2026-08-26</t>
  </si>
  <si>
    <t>Robert Crone</t>
  </si>
  <si>
    <t>r.crone@dronesforwork.nl</t>
  </si>
  <si>
    <t>R7OK2M</t>
  </si>
  <si>
    <t>Sent to r.crone@dronesforwork.nl on 2026-08-26</t>
  </si>
  <si>
    <t>Robert Carleke</t>
  </si>
  <si>
    <t>Carleke</t>
  </si>
  <si>
    <t>robert.carleke@inter.ikea.com</t>
  </si>
  <si>
    <t>Ikea Ventures</t>
  </si>
  <si>
    <t>LG0OPT</t>
  </si>
  <si>
    <t>Sent to robert.carleke@inter.ikea.com on 2026-08-26</t>
  </si>
  <si>
    <t>robert schneider</t>
  </si>
  <si>
    <t>robert</t>
  </si>
  <si>
    <t>schneider</t>
  </si>
  <si>
    <t>robert.schneider@damen.com</t>
  </si>
  <si>
    <t>Check with Moshe</t>
  </si>
  <si>
    <t>3QYZWH</t>
  </si>
  <si>
    <t>Sent to robert.schneider@damen.com on 2026-08-26</t>
  </si>
  <si>
    <t>Robert van der Heijden</t>
  </si>
  <si>
    <t>van der Heijden</t>
  </si>
  <si>
    <r>
      <rPr>
        <color rgb="FF1155CC"/>
        <sz val="11.0"/>
        <u/>
      </rPr>
      <t>robert.van.der.heijden@alliander.com</t>
    </r>
  </si>
  <si>
    <t>Alliander</t>
  </si>
  <si>
    <t>FTWAZ8</t>
  </si>
  <si>
    <t>Sent to robert.van.der.heijden@alliander.com on 2026-08-26</t>
  </si>
  <si>
    <t>Robert Werner</t>
  </si>
  <si>
    <t>Werner</t>
  </si>
  <si>
    <t>robert@dawnaerospace.com</t>
  </si>
  <si>
    <t>N7B908</t>
  </si>
  <si>
    <t>Sent to robert@dawnaerospace.com on 2026-08-26</t>
  </si>
  <si>
    <t>Robert Vrancken</t>
  </si>
  <si>
    <t>Vrancken</t>
  </si>
  <si>
    <t>robert@gradyent.ai</t>
  </si>
  <si>
    <t>X9XV5Q</t>
  </si>
  <si>
    <t>Sent to robert@gradyent.ai on 2026-08-26</t>
  </si>
  <si>
    <t>Robert Tans</t>
  </si>
  <si>
    <t>Tans</t>
  </si>
  <si>
    <t>rpt.tans@rotterdam.nl</t>
  </si>
  <si>
    <t>404GXY</t>
  </si>
  <si>
    <t>Sent to rpt.tans@rotterdam.nl on 2026-08-26</t>
  </si>
  <si>
    <t>Robin van Boxsel</t>
  </si>
  <si>
    <t>Robin</t>
  </si>
  <si>
    <t>van Boxsel</t>
  </si>
  <si>
    <t>robin.vanboxsel@forward.one</t>
  </si>
  <si>
    <t>B1N7M4</t>
  </si>
  <si>
    <t>Sent to robin.vanboxsel@forward.one on 2026-08-26</t>
  </si>
  <si>
    <t>Robin van Scheijndel</t>
  </si>
  <si>
    <t>van Scheijndel</t>
  </si>
  <si>
    <t>robin@hightechxl.com</t>
  </si>
  <si>
    <t>JLMZ7L</t>
  </si>
  <si>
    <t>Sent to robin@hightechxl.com on 2026-08-26</t>
  </si>
  <si>
    <t>Robin Jones</t>
  </si>
  <si>
    <t>Jones</t>
  </si>
  <si>
    <t>robin@manometric.nl</t>
  </si>
  <si>
    <t>X5YJJT</t>
  </si>
  <si>
    <t>Sent to robin@manometric.nl on 2026-08-26</t>
  </si>
  <si>
    <t>Robin Goudappel</t>
  </si>
  <si>
    <t>Goudappel</t>
  </si>
  <si>
    <t>robingoudappel@hotmail.com</t>
  </si>
  <si>
    <t>FMCMFG</t>
  </si>
  <si>
    <t>Sent to robingoudappel@hotmail.com on 2026-08-26</t>
  </si>
  <si>
    <t>Robin Langerak</t>
  </si>
  <si>
    <t xml:space="preserve">Robin </t>
  </si>
  <si>
    <t>Langerak</t>
  </si>
  <si>
    <t>robin.langerak@nl.ey.com</t>
  </si>
  <si>
    <t>7HCHEK</t>
  </si>
  <si>
    <t>Sent to robin.langerak@nl.ey.com on 2026-08-26</t>
  </si>
  <si>
    <t>roderick rodenburg</t>
  </si>
  <si>
    <t>roderick</t>
  </si>
  <si>
    <t>rodenburg</t>
  </si>
  <si>
    <t>roderick.rodenburg@rosemanlabs.com</t>
  </si>
  <si>
    <t>E2C0V2</t>
  </si>
  <si>
    <t>Sent to roderick.rodenburg@rosemanlabs.com on 2026-08-26</t>
  </si>
  <si>
    <t>Roderick Ruinard</t>
  </si>
  <si>
    <t>Roderick</t>
  </si>
  <si>
    <t>Ruinard</t>
  </si>
  <si>
    <t>roderick.ruinard@invesdor.com</t>
  </si>
  <si>
    <t>invesdor</t>
  </si>
  <si>
    <t>ESC9EJ</t>
  </si>
  <si>
    <t>Sent to roderick.ruinard@invesdor.com on 2026-08-26</t>
  </si>
  <si>
    <t>Roel Eerkens</t>
  </si>
  <si>
    <t>Eerkens</t>
  </si>
  <si>
    <t>r.h.p.eerkens@t-minus.nl</t>
  </si>
  <si>
    <t>V97DQ9</t>
  </si>
  <si>
    <t>Sent to r.h.p.eerkens@t-minus.nl on 2026-08-26</t>
  </si>
  <si>
    <t>Roel Dekkers</t>
  </si>
  <si>
    <t>Dekkers</t>
  </si>
  <si>
    <t>rdekkers@noaber.com</t>
  </si>
  <si>
    <t>noaber</t>
  </si>
  <si>
    <t>IQNAOS</t>
  </si>
  <si>
    <t>Sent to rdekkers@noaber.com on 2026-08-26</t>
  </si>
  <si>
    <t>Roel Reijnen</t>
  </si>
  <si>
    <t>Reijnen</t>
  </si>
  <si>
    <t>reijnen@tincapital.vc</t>
  </si>
  <si>
    <t>NM4CEV</t>
  </si>
  <si>
    <t>Sent to reijnen@tincapital.vc on 2026-08-26</t>
  </si>
  <si>
    <t>Roel Willemse</t>
  </si>
  <si>
    <t>Willemse</t>
  </si>
  <si>
    <t>roel.willemse@v-ems.com</t>
  </si>
  <si>
    <t>VEMS BV</t>
  </si>
  <si>
    <t>9812WD</t>
  </si>
  <si>
    <t>Sent to roel.willemse@v-ems.com on 2026-08-26</t>
  </si>
  <si>
    <t>Roel Lakmaker</t>
  </si>
  <si>
    <t>Lakmaker</t>
  </si>
  <si>
    <t>roel@lakmaker.com</t>
  </si>
  <si>
    <t>ID0FN1</t>
  </si>
  <si>
    <t>Sent to roel@lakmaker.com on 2026-08-26</t>
  </si>
  <si>
    <t>Roelof Segers</t>
  </si>
  <si>
    <t>Roelof</t>
  </si>
  <si>
    <t>Segers</t>
  </si>
  <si>
    <t>roelof.segers@heineken.com</t>
  </si>
  <si>
    <t>heineken</t>
  </si>
  <si>
    <t>EO3WR1</t>
  </si>
  <si>
    <t>Sent to roelof.segers@heineken.com on 2026-08-26</t>
  </si>
  <si>
    <t>Roelof Vuurboom</t>
  </si>
  <si>
    <t>Vuurboom</t>
  </si>
  <si>
    <t>roelof.vuurboom@monroeblue.nl</t>
  </si>
  <si>
    <t>monroeblue</t>
  </si>
  <si>
    <t>GZVIIU</t>
  </si>
  <si>
    <t>Sent to roelof.vuurboom@monroeblue.nl on 2026-08-26</t>
  </si>
  <si>
    <t>Roland Ortt</t>
  </si>
  <si>
    <t>Roland</t>
  </si>
  <si>
    <t>Ortt</t>
  </si>
  <si>
    <t>j.r.ortt@tudelft.nl</t>
  </si>
  <si>
    <t>RHR54W</t>
  </si>
  <si>
    <t>Sent to j.r.ortt@tudelft.nl on 2026-08-26</t>
  </si>
  <si>
    <t>Roland Sars</t>
  </si>
  <si>
    <t>Sars</t>
  </si>
  <si>
    <t>mail@rolandsars.com</t>
  </si>
  <si>
    <t>Media Distillery, BackupAgent</t>
  </si>
  <si>
    <t>5STN4K</t>
  </si>
  <si>
    <t>Sent to mail@rolandsars.com on 2026-08-26</t>
  </si>
  <si>
    <t>Roland Schmehl</t>
  </si>
  <si>
    <t>Schmehl</t>
  </si>
  <si>
    <t>r.schmehl@tudelft.nl</t>
  </si>
  <si>
    <t>Kitepower</t>
  </si>
  <si>
    <t>6XA8ZP</t>
  </si>
  <si>
    <t>Sent to r.schmehl@tudelft.nl on 2026-08-26</t>
  </si>
  <si>
    <t>Roland van Vliet</t>
  </si>
  <si>
    <t>roland.vanvliet@nearfieldinstruments.com</t>
  </si>
  <si>
    <t>nearfieldinstruments</t>
  </si>
  <si>
    <t>Y8CLGT</t>
  </si>
  <si>
    <t>Sent to roland.vanvliet@nearfieldinstruments.com on 2026-08-26</t>
  </si>
  <si>
    <t>Roland Zegger</t>
  </si>
  <si>
    <t>Zegger</t>
  </si>
  <si>
    <t>roland.zegger@planet.nl</t>
  </si>
  <si>
    <t>MMVE3L</t>
  </si>
  <si>
    <t>Sent to roland.zegger@planet.nl on 2026-08-26</t>
  </si>
  <si>
    <t>Rolph Segers</t>
  </si>
  <si>
    <t>Rolph</t>
  </si>
  <si>
    <r>
      <rPr>
        <color rgb="FF1155CC"/>
        <u/>
      </rPr>
      <t>rolph@orangeqs.com</t>
    </r>
  </si>
  <si>
    <t>Orangequantum</t>
  </si>
  <si>
    <t>33CJ67</t>
  </si>
  <si>
    <t>probably can't make it</t>
  </si>
  <si>
    <t>Ron Vink</t>
  </si>
  <si>
    <t>Ron</t>
  </si>
  <si>
    <t>Vink</t>
  </si>
  <si>
    <t>ron.vink@denhaag.nl</t>
  </si>
  <si>
    <t>TZ0VXX</t>
  </si>
  <si>
    <t>Sent to ron.vink@denhaag.nl on 2026-08-26</t>
  </si>
  <si>
    <t>Ronald Visser</t>
  </si>
  <si>
    <t>r.c.visser@hhs.nl</t>
  </si>
  <si>
    <t>S0CX2C</t>
  </si>
  <si>
    <t>Sent to r.c.visser@hhs.nl on 2026-08-26</t>
  </si>
  <si>
    <t>Ronald Monster</t>
  </si>
  <si>
    <t>Monster</t>
  </si>
  <si>
    <t>ronald.monster@newleaf.nu</t>
  </si>
  <si>
    <t>GNY2K6</t>
  </si>
  <si>
    <t>Sent to ronald.monster@newleaf.nu on 2026-08-26</t>
  </si>
  <si>
    <t>Ronald Nanninga</t>
  </si>
  <si>
    <t>Nanninga</t>
  </si>
  <si>
    <t>ronald.nanninga@gmail.com</t>
  </si>
  <si>
    <t>RHF4L8</t>
  </si>
  <si>
    <t>Sent to ronald.nanninga@gmail.com on 2026-08-26</t>
  </si>
  <si>
    <t>Ronald Loggers</t>
  </si>
  <si>
    <t>Loggers</t>
  </si>
  <si>
    <t>ronald@glassfrogventures.com</t>
  </si>
  <si>
    <t>glassfrogventures</t>
  </si>
  <si>
    <t>886SVW</t>
  </si>
  <si>
    <t>Sent to ronald@glassfrogventures.com on 2026-08-26</t>
  </si>
  <si>
    <t>Ronald Wissink</t>
  </si>
  <si>
    <t>Wissink</t>
  </si>
  <si>
    <t>ronald@vcxc.com</t>
  </si>
  <si>
    <t>EJDLCD</t>
  </si>
  <si>
    <t>Sent to ronald@vcxc.com on 2026-08-26</t>
  </si>
  <si>
    <t>Ronald van Raaij</t>
  </si>
  <si>
    <t xml:space="preserve">Ronald </t>
  </si>
  <si>
    <t>van Raaij</t>
  </si>
  <si>
    <t>ronald.van.raaij@rabobank.nl</t>
  </si>
  <si>
    <t>MNOKCY</t>
  </si>
  <si>
    <t>Sent to ronald.van.raaij@rabobank.nl on 2026-08-26</t>
  </si>
  <si>
    <t>Rory Heltzel-Groenen</t>
  </si>
  <si>
    <t>Rory</t>
  </si>
  <si>
    <t>Heltzel-Groenen</t>
  </si>
  <si>
    <t>r.heltzelgroenen@rotterdam.nl</t>
  </si>
  <si>
    <t>SGLA92</t>
  </si>
  <si>
    <t>Sent to r.heltzelgroenen@rotterdam.nl on 2026-08-26</t>
  </si>
  <si>
    <t>Rory Deen</t>
  </si>
  <si>
    <t>Deen</t>
  </si>
  <si>
    <t>rory.deen@imsystems.nl</t>
  </si>
  <si>
    <t>J07Z7A</t>
  </si>
  <si>
    <t>Sent to rory.deen@imsystems.nl on 2026-08-26</t>
  </si>
  <si>
    <t>Rosa Kuipers-Dirven</t>
  </si>
  <si>
    <t>Rosa</t>
  </si>
  <si>
    <t>Kuipers-Dirven</t>
  </si>
  <si>
    <t>r.c.e.kuipers-dirven@tudelft.nl</t>
  </si>
  <si>
    <t>6TR6SZ</t>
  </si>
  <si>
    <t>Sent to r.c.e.kuipers-dirven@tudelft.nl on 2026-08-26</t>
  </si>
  <si>
    <t>Rostislav Riabchikov</t>
  </si>
  <si>
    <t>Rostislav</t>
  </si>
  <si>
    <t>Riabchikov</t>
  </si>
  <si>
    <t>rostislav@foundamental.vc</t>
  </si>
  <si>
    <t>foundamental</t>
  </si>
  <si>
    <t>QG3WYD</t>
  </si>
  <si>
    <t>Sent to rostislav@foundamental.vc on 2026-08-26</t>
  </si>
  <si>
    <t>Roy Kok</t>
  </si>
  <si>
    <t>Roy</t>
  </si>
  <si>
    <t>r.kok@smart-ship.eu</t>
  </si>
  <si>
    <t>TGHPQ4</t>
  </si>
  <si>
    <t>Sent to r.kok@smart-ship.eu on 2026-08-26</t>
  </si>
  <si>
    <t>Roy Campe</t>
  </si>
  <si>
    <t>Campe</t>
  </si>
  <si>
    <t>roy.campe@cmb.be</t>
  </si>
  <si>
    <t>Actiflow</t>
  </si>
  <si>
    <t>9RE8JR</t>
  </si>
  <si>
    <t>Sent to roy.campe@cmb.be on 2026-08-26</t>
  </si>
  <si>
    <t>Roy de Weerd</t>
  </si>
  <si>
    <t>de Weerd</t>
  </si>
  <si>
    <t>roy@rockstart.com</t>
  </si>
  <si>
    <t>Rockstart</t>
  </si>
  <si>
    <t>7VT6X1</t>
  </si>
  <si>
    <t>Sent to roy@rockstart.com on 2026-08-26</t>
  </si>
  <si>
    <t>Roy de Wal</t>
  </si>
  <si>
    <t xml:space="preserve">Roy </t>
  </si>
  <si>
    <t>de Wal</t>
  </si>
  <si>
    <t>roy.de.wal@nl.ey.com</t>
  </si>
  <si>
    <t>FAZVBD</t>
  </si>
  <si>
    <t>Sent to roy.de.wal@nl.ey.com on 2026-08-26</t>
  </si>
  <si>
    <t>Roya Shademan</t>
  </si>
  <si>
    <t>Roya</t>
  </si>
  <si>
    <t>Shademan</t>
  </si>
  <si>
    <t>r.shademantabar@gmail.com</t>
  </si>
  <si>
    <t>UT8TIU</t>
  </si>
  <si>
    <t>Sent to r.shademantabar@gmail.com on 2026-08-26</t>
  </si>
  <si>
    <t>Rozemarijn Visser</t>
  </si>
  <si>
    <t>Rozemarijn</t>
  </si>
  <si>
    <t>rozemarijn@jaide.ai</t>
  </si>
  <si>
    <t>Jaide</t>
  </si>
  <si>
    <t>L9WA6K</t>
  </si>
  <si>
    <t>Sent to rozemarijn@jaide.ai on 2026-08-26</t>
  </si>
  <si>
    <t>Ruben van Eijnatten</t>
  </si>
  <si>
    <t>van Eijnatten</t>
  </si>
  <si>
    <t>r.vaneijnatten@gmail.com</t>
  </si>
  <si>
    <t>Greetinq</t>
  </si>
  <si>
    <t>0D55W0</t>
  </si>
  <si>
    <t>Sent to r.vaneijnatten@gmail.com on 2026-08-26</t>
  </si>
  <si>
    <t>Ruben Brinckmann</t>
  </si>
  <si>
    <t>Brinckmann</t>
  </si>
  <si>
    <t>ruben.brinckmann@tno.nl</t>
  </si>
  <si>
    <t>2TXX3G</t>
  </si>
  <si>
    <t>Sent to ruben.brinckmann@tno.nl on 2026-08-26</t>
  </si>
  <si>
    <t>Ruben Dekker</t>
  </si>
  <si>
    <t>ruben@dekker-net.nl</t>
  </si>
  <si>
    <t>Ailixr - No-code AI Builder</t>
  </si>
  <si>
    <t>NGQEO3</t>
  </si>
  <si>
    <t>Sent to ruben@dekker-net.nl on 2026-08-26</t>
  </si>
  <si>
    <t>Ruben Rodriguez</t>
  </si>
  <si>
    <t>Rodriguez</t>
  </si>
  <si>
    <t>ruben@lexarpartners.com</t>
  </si>
  <si>
    <t>lexarpartners</t>
  </si>
  <si>
    <t>735VAX</t>
  </si>
  <si>
    <t>Sent to ruben@lexarpartners.com on 2026-08-26</t>
  </si>
  <si>
    <t>Ruben Rutgers</t>
  </si>
  <si>
    <t>ruben@platformzero.co</t>
  </si>
  <si>
    <t>HQMN76</t>
  </si>
  <si>
    <t>Sent to ruben@platformzero.co on 2026-08-26</t>
  </si>
  <si>
    <t>Ruben Geutjens</t>
  </si>
  <si>
    <t>Geutjens</t>
  </si>
  <si>
    <t>ruben@qlayers.com</t>
  </si>
  <si>
    <t>ER1ATG</t>
  </si>
  <si>
    <t>Sent to ruben@qlayers.com on 2026-08-26</t>
  </si>
  <si>
    <t>Ruben Nieuwenhuis</t>
  </si>
  <si>
    <t>Nieuwenhuis</t>
  </si>
  <si>
    <t>rubenswindow@gmail.com</t>
  </si>
  <si>
    <t>LM1PWQ</t>
  </si>
  <si>
    <t>Sent to rubenswindow@gmail.com on 2026-08-26</t>
  </si>
  <si>
    <t>Rudiger Mees</t>
  </si>
  <si>
    <t>Rudiger</t>
  </si>
  <si>
    <t>Mees</t>
  </si>
  <si>
    <t>rudiger.mees@rqradvisors.com</t>
  </si>
  <si>
    <t>rqradvisors</t>
  </si>
  <si>
    <t>QBUYVS</t>
  </si>
  <si>
    <t>Sent to rudiger.mees@rqradvisors.com on 2026-08-26</t>
  </si>
  <si>
    <t>Rudo Enserink</t>
  </si>
  <si>
    <t>Rudo</t>
  </si>
  <si>
    <t>Enserink</t>
  </si>
  <si>
    <t>rudo@shapewave.nl</t>
  </si>
  <si>
    <t>BG1YIE</t>
  </si>
  <si>
    <t>Sent to rudo@shapewave.nl on 2026-08-26</t>
  </si>
  <si>
    <t>rutger@deltasync.nl</t>
  </si>
  <si>
    <t>NMITJD</t>
  </si>
  <si>
    <t>Maarten Rutgers</t>
  </si>
  <si>
    <t>m.rutgers@tablomonto.com</t>
  </si>
  <si>
    <t>3OY5ZA</t>
  </si>
  <si>
    <t>Sent to m.rutgers@tablomonto.com on 2026-08-26</t>
  </si>
  <si>
    <t>Ruud Welschen</t>
  </si>
  <si>
    <t>Welschen</t>
  </si>
  <si>
    <t>ruud.welschen@siemens.com</t>
  </si>
  <si>
    <t>PVTF9H</t>
  </si>
  <si>
    <t>Sent to ruud.welschen@siemens.com on 2026-08-26</t>
  </si>
  <si>
    <t>Ruud Zandvliet</t>
  </si>
  <si>
    <t>ruud.zandvliet@invest-nl.nl</t>
  </si>
  <si>
    <t>CFVVEP</t>
  </si>
  <si>
    <t>Sent to ruud.zandvliet@invest-nl.nl on 2026-08-26</t>
  </si>
  <si>
    <t>Sabina Groenveld</t>
  </si>
  <si>
    <t>Sabina</t>
  </si>
  <si>
    <t>sabina.groenveld@portxl.org</t>
  </si>
  <si>
    <t>SJA34B</t>
  </si>
  <si>
    <t>Sent to sabina.groenveld@portxl.org on 2026-08-26</t>
  </si>
  <si>
    <t>Sabine Kerssens</t>
  </si>
  <si>
    <t>Kerssens</t>
  </si>
  <si>
    <t>sabine.kerssens@tno.nl</t>
  </si>
  <si>
    <t>M9Q0CI</t>
  </si>
  <si>
    <t>Sent to sabine.kerssens@tno.nl on 2026-08-26</t>
  </si>
  <si>
    <t>Saied Mohammed Hussaini</t>
  </si>
  <si>
    <t xml:space="preserve">Saied </t>
  </si>
  <si>
    <t>Mohammed Hussaini</t>
  </si>
  <si>
    <t>said.hussaini@innoboom.nl</t>
  </si>
  <si>
    <t>HJXZL5</t>
  </si>
  <si>
    <t>Sent to said.hussaini@innoboom.nl on 2026-08-26</t>
  </si>
  <si>
    <t>Sal Bosman</t>
  </si>
  <si>
    <t>Sal</t>
  </si>
  <si>
    <t>Bosman</t>
  </si>
  <si>
    <t>sal@delft-circuits.com</t>
  </si>
  <si>
    <t>Delft Circuits</t>
  </si>
  <si>
    <t>7NINB2</t>
  </si>
  <si>
    <t>Sent to sal@delft-circuits.com on 2026-08-26</t>
  </si>
  <si>
    <t>Sam van der Schaaf</t>
  </si>
  <si>
    <t>van der Schaaf</t>
  </si>
  <si>
    <r>
      <rPr>
        <color rgb="FF1155CC"/>
        <sz val="11.0"/>
        <u/>
      </rPr>
      <t>rs.vander.schaaf@pzh.nl</t>
    </r>
  </si>
  <si>
    <t>QNISSO</t>
  </si>
  <si>
    <t>Sent to rs.vander.schaaf@pzh.nl on 2026-08-26</t>
  </si>
  <si>
    <t>Samir Amghar</t>
  </si>
  <si>
    <t>Samir</t>
  </si>
  <si>
    <t>Amghar</t>
  </si>
  <si>
    <t>Samir.Amghar@lansingerland.nl</t>
  </si>
  <si>
    <t>C6SMT3</t>
  </si>
  <si>
    <t>Sent to Samir.Amghar@lansingerland.nl on 2026-08-26</t>
  </si>
  <si>
    <t>Sana Fateh</t>
  </si>
  <si>
    <t>Sana</t>
  </si>
  <si>
    <t>Fateh</t>
  </si>
  <si>
    <t>s.fateh@synano.eu</t>
  </si>
  <si>
    <t>Synano</t>
  </si>
  <si>
    <t>03JL22</t>
  </si>
  <si>
    <t>Sent to s.fateh@synano.eu on 2026-08-26</t>
  </si>
  <si>
    <t>Sanaz Saeid</t>
  </si>
  <si>
    <t>Sanaz</t>
  </si>
  <si>
    <t>Saeid</t>
  </si>
  <si>
    <t>s.saeid@shmnext.com</t>
  </si>
  <si>
    <t>shmnext</t>
  </si>
  <si>
    <t>PWFRI5</t>
  </si>
  <si>
    <t>Sent to s.saeid@shmnext.com on 2026-08-26</t>
  </si>
  <si>
    <t>Sander den Hoedt</t>
  </si>
  <si>
    <t>den Hoedt</t>
  </si>
  <si>
    <t>hoedt@delmic.com</t>
  </si>
  <si>
    <t>GT83XF</t>
  </si>
  <si>
    <t>Sent to hoedt@delmic.com on 2026-08-26</t>
  </si>
  <si>
    <t>Sander Dorenbos</t>
  </si>
  <si>
    <t>Dorenbos</t>
  </si>
  <si>
    <t>s.dorenbos@singlequantum.com</t>
  </si>
  <si>
    <t>Single Quantum</t>
  </si>
  <si>
    <t>6K0UZT</t>
  </si>
  <si>
    <t>Sent to s.dorenbos@singlequantum.com on 2026-08-26</t>
  </si>
  <si>
    <t>Sander Schutte</t>
  </si>
  <si>
    <t>Schutte</t>
  </si>
  <si>
    <t>s.schutte@mapiq.com</t>
  </si>
  <si>
    <t>mapiq</t>
  </si>
  <si>
    <t>KXKY8I</t>
  </si>
  <si>
    <t>Sent to s.schutte@mapiq.com on 2026-08-26</t>
  </si>
  <si>
    <t>Sander Dorigo</t>
  </si>
  <si>
    <t>Dorigo</t>
  </si>
  <si>
    <t>sander.dorigo@sentyron.com</t>
  </si>
  <si>
    <t>Sentyron</t>
  </si>
  <si>
    <t>VGRWEG</t>
  </si>
  <si>
    <t>Sent to sander.dorigo@sentyron.com on 2026-08-26</t>
  </si>
  <si>
    <t>Sander Hulsman</t>
  </si>
  <si>
    <t>Hulsman</t>
  </si>
  <si>
    <t>sander.shulsman@gmail.com</t>
  </si>
  <si>
    <t>Atmos UAV</t>
  </si>
  <si>
    <t>HWAN1P</t>
  </si>
  <si>
    <t>Sent to sander.shulsman@gmail.com on 2026-08-26</t>
  </si>
  <si>
    <t>Sander van Wijngaarden</t>
  </si>
  <si>
    <t>sander@embeddedacoustics.com</t>
  </si>
  <si>
    <t>949MTQ</t>
  </si>
  <si>
    <t>Sent to sander@embeddedacoustics.com on 2026-08-26</t>
  </si>
  <si>
    <t>Sander Maas</t>
  </si>
  <si>
    <t>Maas</t>
  </si>
  <si>
    <t>sander@offensys.nl</t>
  </si>
  <si>
    <t>EK42AX</t>
  </si>
  <si>
    <t>Sent to sander@offensys.nl on 2026-08-26</t>
  </si>
  <si>
    <t>Sander Verseput</t>
  </si>
  <si>
    <t>Verseput</t>
  </si>
  <si>
    <t>verseput@chainels.com</t>
  </si>
  <si>
    <t>8FNS1G</t>
  </si>
  <si>
    <t>Sent to verseput@chainels.com on 2026-08-26</t>
  </si>
  <si>
    <t>Sandro Hubar</t>
  </si>
  <si>
    <t>Sandro</t>
  </si>
  <si>
    <t>Hubar</t>
  </si>
  <si>
    <t>s.hubar@sevenheavens.nl</t>
  </si>
  <si>
    <t>sevenheavens</t>
  </si>
  <si>
    <t>C9P49Y</t>
  </si>
  <si>
    <t>Sent to s.hubar@sevenheavens.nl on 2026-08-26</t>
  </si>
  <si>
    <t>Sandro Fazio</t>
  </si>
  <si>
    <t>Fazio</t>
  </si>
  <si>
    <t>sf@icoscapital.com</t>
  </si>
  <si>
    <t>W16PVT</t>
  </si>
  <si>
    <t>Sent to sf@icoscapital.com on 2026-08-26</t>
  </si>
  <si>
    <t>Sanno van der Graaf</t>
  </si>
  <si>
    <t>Sanno</t>
  </si>
  <si>
    <t>van der Graaf</t>
  </si>
  <si>
    <t>svdg@passguard.com</t>
  </si>
  <si>
    <t>Passguard</t>
  </si>
  <si>
    <t>VOJSUQ</t>
  </si>
  <si>
    <t>Sent to svdg@passguard.com on 2026-08-26</t>
  </si>
  <si>
    <t>Sara Okhuijsen</t>
  </si>
  <si>
    <t>Sara</t>
  </si>
  <si>
    <t>Okhuijsen</t>
  </si>
  <si>
    <t>sara@oasysnow.com</t>
  </si>
  <si>
    <t>PM8W69</t>
  </si>
  <si>
    <t>Sent to sara@oasysnow.com on 2026-08-26</t>
  </si>
  <si>
    <t>Sara Krupansky</t>
  </si>
  <si>
    <t>Krupansky</t>
  </si>
  <si>
    <t>Sara@yesdelft.nl</t>
  </si>
  <si>
    <t>SKQEAW</t>
  </si>
  <si>
    <t>Sent to Sara@yesdelft.nl on 2026-08-26</t>
  </si>
  <si>
    <t>Sarah Jones</t>
  </si>
  <si>
    <t>Sarah</t>
  </si>
  <si>
    <t>sarah@zerocarbon.capital</t>
  </si>
  <si>
    <t>zerocarbon.capital</t>
  </si>
  <si>
    <t>QJLCUJ</t>
  </si>
  <si>
    <t>Sent to sarah@zerocarbon.capital on 2026-08-26</t>
  </si>
  <si>
    <t>Sascha Schwarz</t>
  </si>
  <si>
    <t>Sascha</t>
  </si>
  <si>
    <t>Schwarz</t>
  </si>
  <si>
    <t>sascha.schwarz@unternehmertum.de</t>
  </si>
  <si>
    <t>H2WMV4</t>
  </si>
  <si>
    <t>Sent to sascha.schwarz@unternehmertum.de on 2026-08-26</t>
  </si>
  <si>
    <t>Sasha Madhavji</t>
  </si>
  <si>
    <t>Sasha</t>
  </si>
  <si>
    <t>Madhavji</t>
  </si>
  <si>
    <t>sasha@pelagen.bio</t>
  </si>
  <si>
    <t>Pelagen (Daphne Textiles)</t>
  </si>
  <si>
    <t>QTN2SY</t>
  </si>
  <si>
    <t>Sent to sasha@pelagen.bio on 2026-08-26</t>
  </si>
  <si>
    <t>Sasja Heijman</t>
  </si>
  <si>
    <t>Sasja</t>
  </si>
  <si>
    <t>Heijman</t>
  </si>
  <si>
    <t>sasja.heijman@innovationquarter.nl</t>
  </si>
  <si>
    <t>A73R7R</t>
  </si>
  <si>
    <t>Sent to sasja.heijman@innovationquarter.nl on 2026-08-26</t>
  </si>
  <si>
    <t>Saul Oost</t>
  </si>
  <si>
    <t>Saul</t>
  </si>
  <si>
    <t>Oost</t>
  </si>
  <si>
    <t>saul.oost@hyerpower.nl</t>
  </si>
  <si>
    <t>1HYKA7</t>
  </si>
  <si>
    <t>Sent to saul.oost@hyerpower.nl on 2026-08-26</t>
  </si>
  <si>
    <t>Sebastiaan Berendse</t>
  </si>
  <si>
    <t>Sebastiaan</t>
  </si>
  <si>
    <t>Berendse</t>
  </si>
  <si>
    <t>sebastiaan.berendse@wur.nl</t>
  </si>
  <si>
    <t>PDFBLT</t>
  </si>
  <si>
    <t>Sent to sebastiaan.berendse@wur.nl on 2026-08-26</t>
  </si>
  <si>
    <t>Sebastian Peck</t>
  </si>
  <si>
    <t>Sebastian</t>
  </si>
  <si>
    <t>sebastian@kompas.vc</t>
  </si>
  <si>
    <t>Kompas VC</t>
  </si>
  <si>
    <t>Y5HBZ6</t>
  </si>
  <si>
    <t>Sent to sebastian@kompas.vc on 2026-08-26</t>
  </si>
  <si>
    <t>Sebastian Dressen</t>
  </si>
  <si>
    <t>Dressen</t>
  </si>
  <si>
    <r>
      <rPr>
        <color rgb="FF1155CC"/>
        <u/>
      </rPr>
      <t>sebastian.dressen@siemens.com</t>
    </r>
  </si>
  <si>
    <t>10EDEH</t>
  </si>
  <si>
    <t>Sent to sebastian.dressen@siemens.com on 2026-08-26</t>
  </si>
  <si>
    <t>Sem Mekking</t>
  </si>
  <si>
    <t>Sem</t>
  </si>
  <si>
    <t>Mekking</t>
  </si>
  <si>
    <t>s.mekking@acoustic-insight.com</t>
  </si>
  <si>
    <t>Acoustic Insight</t>
  </si>
  <si>
    <t>MLRL8M</t>
  </si>
  <si>
    <t>Sent to s.mekking@acoustic-insight.com on 2026-08-26</t>
  </si>
  <si>
    <t>Servaas Duterloo</t>
  </si>
  <si>
    <t>Servaas</t>
  </si>
  <si>
    <t>Duterloo</t>
  </si>
  <si>
    <t>s.b.duterloo@tudelft.nl</t>
  </si>
  <si>
    <t>LJW0NC</t>
  </si>
  <si>
    <t>Sent to s.b.duterloo@tudelft.nl on 2026-08-26</t>
  </si>
  <si>
    <t>Servaas Clerckx</t>
  </si>
  <si>
    <t>Clerckx</t>
  </si>
  <si>
    <t>s.clerckx@fdcl.nl</t>
  </si>
  <si>
    <t>Fiducial</t>
  </si>
  <si>
    <t>9MSB3E</t>
  </si>
  <si>
    <t>Sent to s.clerckx@fdcl.nl on 2026-08-26</t>
  </si>
  <si>
    <t>Sharon Mullen</t>
  </si>
  <si>
    <t>Sharon</t>
  </si>
  <si>
    <t>Mullen</t>
  </si>
  <si>
    <t>sharon.mullen@rotterdamsquare.nl</t>
  </si>
  <si>
    <t>1WAMFJ</t>
  </si>
  <si>
    <t>Sent to sharon.mullen@rotterdamsquare.nl on 2026-08-26</t>
  </si>
  <si>
    <t>Shiqian Wang</t>
  </si>
  <si>
    <t>Shiqian</t>
  </si>
  <si>
    <t>mskytop@hotmail.com</t>
  </si>
  <si>
    <t>9P56KN</t>
  </si>
  <si>
    <t>Sent to mskytop@hotmail.com on 2026-08-26</t>
  </si>
  <si>
    <t>Sid Vollebregt</t>
  </si>
  <si>
    <t>Sid</t>
  </si>
  <si>
    <t>Vollebregt</t>
  </si>
  <si>
    <t>sidvollebregt@gmail.com</t>
  </si>
  <si>
    <t>8FGCA0</t>
  </si>
  <si>
    <t>Sent to sidvollebregt@gmail.com on 2026-08-26</t>
  </si>
  <si>
    <t>Siebe Nooij</t>
  </si>
  <si>
    <t>Siebe</t>
  </si>
  <si>
    <t>Nooij</t>
  </si>
  <si>
    <t>siebenooij@gmail.com</t>
  </si>
  <si>
    <t>TANIQ</t>
  </si>
  <si>
    <t>5QEM97</t>
  </si>
  <si>
    <t>Sent to siebenooij@gmail.com on 2026-08-26</t>
  </si>
  <si>
    <t>Siemon van den Berg</t>
  </si>
  <si>
    <t>Siemon</t>
  </si>
  <si>
    <t>siemon@impactequity.nl</t>
  </si>
  <si>
    <t>3APW7P</t>
  </si>
  <si>
    <t>Sent to siemon@impactequity.nl on 2026-08-26</t>
  </si>
  <si>
    <t>Silvan Thus</t>
  </si>
  <si>
    <t>Silvan</t>
  </si>
  <si>
    <t>Thus</t>
  </si>
  <si>
    <t>silvan.thus@gmail.com</t>
  </si>
  <si>
    <t>Elemetal</t>
  </si>
  <si>
    <t>7NM293</t>
  </si>
  <si>
    <t>Sent to silvan.thus@gmail.com on 2026-08-26</t>
  </si>
  <si>
    <t>Simon Bosschieter</t>
  </si>
  <si>
    <t>Bosschieter</t>
  </si>
  <si>
    <t>sbosschieter@gmx.net</t>
  </si>
  <si>
    <t>Q6MX5J</t>
  </si>
  <si>
    <t>Sent to sbosschieter@gmx.net on 2026-08-26</t>
  </si>
  <si>
    <t>Simon van der Jagt</t>
  </si>
  <si>
    <t>van der Jagt</t>
  </si>
  <si>
    <t>simonvdjagt@gmail.com</t>
  </si>
  <si>
    <t>Nexperia</t>
  </si>
  <si>
    <t>5YREEK</t>
  </si>
  <si>
    <t>Sent to simonvdjagt@gmail.com on 2026-08-26</t>
  </si>
  <si>
    <t>Simone Hermans</t>
  </si>
  <si>
    <t>Hermans</t>
  </si>
  <si>
    <t>hermans@health-holland.com</t>
  </si>
  <si>
    <t>7ATZR9</t>
  </si>
  <si>
    <t>Sent to hermans@health-holland.com on 2026-08-26</t>
  </si>
  <si>
    <t>Simone Brummelhuis</t>
  </si>
  <si>
    <t>Brummelhuis</t>
  </si>
  <si>
    <t>simone@borskifund.com</t>
  </si>
  <si>
    <t>7261H8</t>
  </si>
  <si>
    <t>Sent to simone@borskifund.com on 2026-08-26</t>
  </si>
  <si>
    <t>Sjoerd Tijmons</t>
  </si>
  <si>
    <t>sjoerd@pats-drones.com</t>
  </si>
  <si>
    <t>DSHXU5</t>
  </si>
  <si>
    <t>Sent to sjoerd@pats-drones.com on 2026-08-26</t>
  </si>
  <si>
    <t>Skip Van De Kandelaar</t>
  </si>
  <si>
    <t>Skip</t>
  </si>
  <si>
    <t>Van De Kandelaar</t>
  </si>
  <si>
    <t>skip.vandekandelaar@micro-cosmos.nl</t>
  </si>
  <si>
    <t>IUJXSD</t>
  </si>
  <si>
    <t>Sent to skip.vandekandelaar@micro-cosmos.nl on 2026-08-26</t>
  </si>
  <si>
    <t>Soheil Jahanshahi</t>
  </si>
  <si>
    <t>Soheil</t>
  </si>
  <si>
    <t>Jahanshahi</t>
  </si>
  <si>
    <t>soheil@mythronics.com</t>
  </si>
  <si>
    <t>mythronics</t>
  </si>
  <si>
    <t>FXYY5K</t>
  </si>
  <si>
    <t>Sent to soheil@mythronics.com on 2026-08-26</t>
  </si>
  <si>
    <t>Sonja Feenstra</t>
  </si>
  <si>
    <t>Sonja</t>
  </si>
  <si>
    <t>la_bruins@hotmail.com</t>
  </si>
  <si>
    <t>2DS245</t>
  </si>
  <si>
    <t>Sent to la_bruins@hotmail.com on 2026-08-26</t>
  </si>
  <si>
    <t>Soren Blomaard</t>
  </si>
  <si>
    <t>Soren</t>
  </si>
  <si>
    <t>Blomaard</t>
  </si>
  <si>
    <t>s.blomaard@taniq.com</t>
  </si>
  <si>
    <t>P6TLGP</t>
  </si>
  <si>
    <t>Sent to s.blomaard@taniq.com on 2026-08-26</t>
  </si>
  <si>
    <t>Sourena Nasrollahi</t>
  </si>
  <si>
    <t>Sourena</t>
  </si>
  <si>
    <t>Nasrollahi</t>
  </si>
  <si>
    <t>sourena@mythronics.com</t>
  </si>
  <si>
    <t>AD6XK6</t>
  </si>
  <si>
    <t>Sent to sourena@mythronics.com on 2026-08-26</t>
  </si>
  <si>
    <t>Srimannarayana Baratam</t>
  </si>
  <si>
    <t>Srimannarayana</t>
  </si>
  <si>
    <t>Baratam</t>
  </si>
  <si>
    <t>sriman@perciv.ai</t>
  </si>
  <si>
    <t>ZSYDH6</t>
  </si>
  <si>
    <t>Sent to sriman@perciv.ai on 2026-08-26</t>
  </si>
  <si>
    <t>Stanley Sie</t>
  </si>
  <si>
    <t>Stanley</t>
  </si>
  <si>
    <t>Sie</t>
  </si>
  <si>
    <t>stanley@vertepac.com</t>
  </si>
  <si>
    <t>VWR4CJ</t>
  </si>
  <si>
    <t>Sent to stanley@vertepac.com on 2026-08-26</t>
  </si>
  <si>
    <t>Stefaan Ghijs</t>
  </si>
  <si>
    <t>Stefaan</t>
  </si>
  <si>
    <t>Ghijs</t>
  </si>
  <si>
    <t>ssaghijs@flyaeolus.com</t>
  </si>
  <si>
    <t>Fly Aeolus</t>
  </si>
  <si>
    <t>F4K871</t>
  </si>
  <si>
    <t>Sent to ssaghijs@flyaeolus.com on 2026-08-26</t>
  </si>
  <si>
    <t>Stefan Drüssler</t>
  </si>
  <si>
    <t>Drüssler</t>
  </si>
  <si>
    <r>
      <rPr>
        <color rgb="FF1155CC"/>
        <sz val="11.0"/>
        <u/>
      </rPr>
      <t>druessler@unternehmertum.de</t>
    </r>
  </si>
  <si>
    <t>Unternehmen TUM</t>
  </si>
  <si>
    <t>G4YNAD</t>
  </si>
  <si>
    <t>Sent to druessler@unternehmertum.de on 2026-08-26</t>
  </si>
  <si>
    <t>Stefan Sleijfer</t>
  </si>
  <si>
    <t>Sleijfer</t>
  </si>
  <si>
    <t>s.sleijfer@erasmusmc.nl</t>
  </si>
  <si>
    <t>8TQF03</t>
  </si>
  <si>
    <t>Sent to s.sleijfer@erasmusmc.nl on 2026-08-26</t>
  </si>
  <si>
    <t>Stefan Roest</t>
  </si>
  <si>
    <t>Roest</t>
  </si>
  <si>
    <t>sroest@eternalsun.com</t>
  </si>
  <si>
    <t>ORAPZ8</t>
  </si>
  <si>
    <t>Sent to sroest@eternalsun.com on 2026-08-26</t>
  </si>
  <si>
    <t>Stefan Bonhof</t>
  </si>
  <si>
    <t>Bonhof</t>
  </si>
  <si>
    <t>stefan.bonhof@corbotics.com</t>
  </si>
  <si>
    <t>6N3E30</t>
  </si>
  <si>
    <t>Sent to stefan.bonhof@corbotics.com on 2026-08-26</t>
  </si>
  <si>
    <t>Stefan Braam</t>
  </si>
  <si>
    <t>Braam</t>
  </si>
  <si>
    <t>stefan.braam@utrechtinc.nl</t>
  </si>
  <si>
    <t>utrechtinc</t>
  </si>
  <si>
    <t>D7V4NC</t>
  </si>
  <si>
    <t>Sent to stefan.braam@utrechtinc.nl on 2026-08-26</t>
  </si>
  <si>
    <t>Stefan Versluis</t>
  </si>
  <si>
    <t>Versluis</t>
  </si>
  <si>
    <t>stefan.versluis@shifft.com</t>
  </si>
  <si>
    <t>shifft</t>
  </si>
  <si>
    <t>OCEK9N</t>
  </si>
  <si>
    <t>Sent to stefan.versluis@shifft.com on 2026-08-26</t>
  </si>
  <si>
    <t>Stefan Powell</t>
  </si>
  <si>
    <t>Powell</t>
  </si>
  <si>
    <t>stefan@dawnaerospace.com</t>
  </si>
  <si>
    <t>9BE051</t>
  </si>
  <si>
    <t>Sent to stefan@dawnaerospace.com on 2026-08-26</t>
  </si>
  <si>
    <t>Stefan van Eijk</t>
  </si>
  <si>
    <t>van Eijk</t>
  </si>
  <si>
    <t>stefan@ifund.nl</t>
  </si>
  <si>
    <t>ifund</t>
  </si>
  <si>
    <t>Y2DAX3</t>
  </si>
  <si>
    <t>Sent to stefan@ifund.nl on 2026-08-26</t>
  </si>
  <si>
    <t>Stefan Ellenbroek</t>
  </si>
  <si>
    <t>Ellenbroek</t>
  </si>
  <si>
    <t>stefan@plnt.nl</t>
  </si>
  <si>
    <t>5KWK98</t>
  </si>
  <si>
    <t>Sent to stefan@plnt.nl on 2026-08-26</t>
  </si>
  <si>
    <t>Sten Ouborg</t>
  </si>
  <si>
    <t>Sten</t>
  </si>
  <si>
    <t>stenouborg@gmail.com</t>
  </si>
  <si>
    <t>Kien</t>
  </si>
  <si>
    <t>0H1U5T</t>
  </si>
  <si>
    <t>Sent to stenouborg@gmail.com on 2026-08-26</t>
  </si>
  <si>
    <t>Stephan Rutten</t>
  </si>
  <si>
    <t>Stephan</t>
  </si>
  <si>
    <t>Rutten</t>
  </si>
  <si>
    <t>stephan@lobster-robotics.com</t>
  </si>
  <si>
    <t>16PA43</t>
  </si>
  <si>
    <t>Sent to stephan@lobster-robotics.com on 2026-08-26</t>
  </si>
  <si>
    <t>Sterre Witteveen</t>
  </si>
  <si>
    <t>Sterre</t>
  </si>
  <si>
    <t>Witteveen</t>
  </si>
  <si>
    <t>sterre.witteveen@hollandcapital.nl</t>
  </si>
  <si>
    <t>hollandcapital</t>
  </si>
  <si>
    <t>BDL621</t>
  </si>
  <si>
    <t>Sent to sterre.witteveen@hollandcapital.nl on 2026-08-26</t>
  </si>
  <si>
    <t>Stijn de Jong</t>
  </si>
  <si>
    <t>sapdejong@gmail.com</t>
  </si>
  <si>
    <t>Disdro</t>
  </si>
  <si>
    <t>133H8E</t>
  </si>
  <si>
    <t>Sent to sapdejong@gmail.com on 2026-08-26</t>
  </si>
  <si>
    <t>Stijn van 't Veer</t>
  </si>
  <si>
    <t>van 't Veer</t>
  </si>
  <si>
    <t>stijn@renset.nl</t>
  </si>
  <si>
    <t>Renset</t>
  </si>
  <si>
    <t>NAA3R3</t>
  </si>
  <si>
    <t>Sent to stijn@renset.nl on 2026-08-26</t>
  </si>
  <si>
    <t>Stijn Antonisse</t>
  </si>
  <si>
    <t>Antonisse</t>
  </si>
  <si>
    <t>stijn@somnox.nl</t>
  </si>
  <si>
    <t>2QS2DR</t>
  </si>
  <si>
    <t>Sent to stijn@somnox.nl on 2026-08-26</t>
  </si>
  <si>
    <t>Surya Prakash</t>
  </si>
  <si>
    <t>Surya</t>
  </si>
  <si>
    <t>Prakash</t>
  </si>
  <si>
    <t>surya@effium.com</t>
  </si>
  <si>
    <t>Effium (NeoStove)</t>
  </si>
  <si>
    <t>OGKNIC</t>
  </si>
  <si>
    <t>Sent to surya@effium.com on 2026-08-26</t>
  </si>
  <si>
    <t>Susanne Sleenhoff</t>
  </si>
  <si>
    <t>Susanne</t>
  </si>
  <si>
    <t>Sleenhoff</t>
  </si>
  <si>
    <t>s.sleenhoff@tudelft.nl</t>
  </si>
  <si>
    <t>O24M80</t>
  </si>
  <si>
    <t>Sent to s.sleenhoff@tudelft.nl on 2026-08-26</t>
  </si>
  <si>
    <t>Sylvia Boer</t>
  </si>
  <si>
    <t>sylvia@maritimesisters.com</t>
  </si>
  <si>
    <t>J2PREO</t>
  </si>
  <si>
    <t>Sent to sylvia@maritimesisters.com on 2026-08-26</t>
  </si>
  <si>
    <t>Taco Ekkel</t>
  </si>
  <si>
    <t>Taco</t>
  </si>
  <si>
    <t>Ekkel</t>
  </si>
  <si>
    <t>taco.ekkel@gmail.com</t>
  </si>
  <si>
    <t>7X395I</t>
  </si>
  <si>
    <t>Sent to taco.ekkel@gmail.com on 2026-08-26</t>
  </si>
  <si>
    <t>Tamara Obradov</t>
  </si>
  <si>
    <t>Tamara</t>
  </si>
  <si>
    <t>Obradov</t>
  </si>
  <si>
    <t>tamara@tablomonto.com</t>
  </si>
  <si>
    <t>I7JFRU</t>
  </si>
  <si>
    <t>Sent to tamara@tablomonto.com on 2026-08-26</t>
  </si>
  <si>
    <t>Tania Rahmandad</t>
  </si>
  <si>
    <t>Tania</t>
  </si>
  <si>
    <t>Rahmandad</t>
  </si>
  <si>
    <t>t.rahmandad@shmnext.com</t>
  </si>
  <si>
    <t>VGE866</t>
  </si>
  <si>
    <t>Sent to t.rahmandad@shmnext.com on 2026-08-26</t>
  </si>
  <si>
    <t>Tareq Jaber</t>
  </si>
  <si>
    <t>Tareq</t>
  </si>
  <si>
    <t>Jaber</t>
  </si>
  <si>
    <t>tareq@medvice.io</t>
  </si>
  <si>
    <t>medvice</t>
  </si>
  <si>
    <t>VR2NOH</t>
  </si>
  <si>
    <t>Sent to tareq@medvice.io on 2026-08-26</t>
  </si>
  <si>
    <t>Tayra Algera</t>
  </si>
  <si>
    <t>Tayra</t>
  </si>
  <si>
    <t>Algera</t>
  </si>
  <si>
    <t>t.algera@pzh.nl</t>
  </si>
  <si>
    <t>QNX03I</t>
  </si>
  <si>
    <t>Sent to t.algera@pzh.nl on 2026-08-26</t>
  </si>
  <si>
    <t>Teun van 't Veer</t>
  </si>
  <si>
    <t>Teun</t>
  </si>
  <si>
    <t>teun@renset.nl</t>
  </si>
  <si>
    <t>OL8STU</t>
  </si>
  <si>
    <t>Sent to teun@renset.nl on 2026-08-26</t>
  </si>
  <si>
    <t>Thatcher Peskens</t>
  </si>
  <si>
    <t>Thatcher</t>
  </si>
  <si>
    <t>Peskens</t>
  </si>
  <si>
    <t>thatcher@sharesquare.com</t>
  </si>
  <si>
    <t>Share Square</t>
  </si>
  <si>
    <t>1XO5DW</t>
  </si>
  <si>
    <t>Sent to thatcher@sharesquare.com on 2026-08-26</t>
  </si>
  <si>
    <t>Theun Baller</t>
  </si>
  <si>
    <t>Theun</t>
  </si>
  <si>
    <t>Baller</t>
  </si>
  <si>
    <t>t.s.baller@tudelft.nl</t>
  </si>
  <si>
    <t>RP730O</t>
  </si>
  <si>
    <t>Sent to t.s.baller@tudelft.nl on 2026-08-26</t>
  </si>
  <si>
    <t>Thibaud Verschoor</t>
  </si>
  <si>
    <t>Thibaud</t>
  </si>
  <si>
    <t>thibaud.verschoor@imsystems.nl</t>
  </si>
  <si>
    <t>3DJA9E</t>
  </si>
  <si>
    <t>Sent to thibaud.verschoor@imsystems.nl on 2026-08-26</t>
  </si>
  <si>
    <t>Thijs van oorschot</t>
  </si>
  <si>
    <t>van oorschot</t>
  </si>
  <si>
    <t>info@thijsvanoorschot.nl</t>
  </si>
  <si>
    <t>Nightbalance</t>
  </si>
  <si>
    <t>WUWUYI</t>
  </si>
  <si>
    <t>Sent to info@thijsvanoorschot.nl on 2026-08-26</t>
  </si>
  <si>
    <t>Thijs Blad</t>
  </si>
  <si>
    <t>Blad</t>
  </si>
  <si>
    <t>thijs@memsys.nl</t>
  </si>
  <si>
    <t>MLAG7U</t>
  </si>
  <si>
    <t>Sent to thijs@memsys.nl on 2026-08-26</t>
  </si>
  <si>
    <t>Thijs de Vries</t>
  </si>
  <si>
    <t>thijs@warp.industries</t>
  </si>
  <si>
    <t>SSSV1Y</t>
  </si>
  <si>
    <t>Sent to thijs@warp.industries on 2026-08-26</t>
  </si>
  <si>
    <t>Thijs Vries</t>
  </si>
  <si>
    <t>Vries</t>
  </si>
  <si>
    <t>thijs@warpvr.com</t>
  </si>
  <si>
    <t>Warp VR</t>
  </si>
  <si>
    <t>0DO61C</t>
  </si>
  <si>
    <t>Sent to thijs@warpvr.com on 2026-08-26</t>
  </si>
  <si>
    <t>Thijs Schaap</t>
  </si>
  <si>
    <t>tschaap@noaber.com</t>
  </si>
  <si>
    <t>X2UN1Y</t>
  </si>
  <si>
    <t>Sent to tschaap@noaber.com on 2026-08-26</t>
  </si>
  <si>
    <t>Thijs Dijkman</t>
  </si>
  <si>
    <t xml:space="preserve">Thijs </t>
  </si>
  <si>
    <t>Dijkman</t>
  </si>
  <si>
    <t>thijs@peak.capital</t>
  </si>
  <si>
    <t>peak</t>
  </si>
  <si>
    <t>PR5B1G</t>
  </si>
  <si>
    <t>Sent to thijs@peak.capital on 2026-08-26</t>
  </si>
  <si>
    <t>Thom Rasche</t>
  </si>
  <si>
    <t>Thom</t>
  </si>
  <si>
    <t>Rasche</t>
  </si>
  <si>
    <t>thom@earlybird.com</t>
  </si>
  <si>
    <t>earlybird</t>
  </si>
  <si>
    <t>3EQR3T</t>
  </si>
  <si>
    <t>Sent to thom@earlybird.com on 2026-08-26</t>
  </si>
  <si>
    <t>Thom van den Homberg</t>
  </si>
  <si>
    <t>van den Homberg</t>
  </si>
  <si>
    <t>thom@shoresystems.nl</t>
  </si>
  <si>
    <t>FLY2F7</t>
  </si>
  <si>
    <t>Sent to thom@shoresystems.nl on 2026-08-26</t>
  </si>
  <si>
    <t>Thomas Dohmen</t>
  </si>
  <si>
    <t>Dohmen</t>
  </si>
  <si>
    <t>t.dohmen@luris.nl</t>
  </si>
  <si>
    <t>luris</t>
  </si>
  <si>
    <t>A0TTGW</t>
  </si>
  <si>
    <t>Sent to t.dohmen@luris.nl on 2026-08-26</t>
  </si>
  <si>
    <t>Thomas Oomens</t>
  </si>
  <si>
    <t>Oomens</t>
  </si>
  <si>
    <t>t.oomens@breeze.social</t>
  </si>
  <si>
    <t>8H814Z</t>
  </si>
  <si>
    <t>Sent to t.oomens@breeze.social on 2026-08-26</t>
  </si>
  <si>
    <t>Thomas van Dijk</t>
  </si>
  <si>
    <t>t.van.dijk@antoniusziekenhuis.nl</t>
  </si>
  <si>
    <t>N02W0S</t>
  </si>
  <si>
    <t>Sent to t.van.dijk@antoniusziekenhuis.nl on 2026-08-26</t>
  </si>
  <si>
    <t>Thomas Liebrand</t>
  </si>
  <si>
    <t>Liebrand</t>
  </si>
  <si>
    <t>thomas.liebrand@lignitec.nl</t>
  </si>
  <si>
    <t>Lignitec</t>
  </si>
  <si>
    <t>873QQR</t>
  </si>
  <si>
    <t>Sent to thomas.liebrand@lignitec.nl on 2026-08-26</t>
  </si>
  <si>
    <t>Thomas Schiet</t>
  </si>
  <si>
    <t>Schiet</t>
  </si>
  <si>
    <t>thomas.schiet@gmail.com</t>
  </si>
  <si>
    <t>flux furniture</t>
  </si>
  <si>
    <t>JE09XE</t>
  </si>
  <si>
    <t>Sent to thomas.schiet@gmail.com on 2026-08-26</t>
  </si>
  <si>
    <t>Thomas Klem Andersen</t>
  </si>
  <si>
    <t>Klem Andersen</t>
  </si>
  <si>
    <t>thomas@deeptechalliance.org</t>
  </si>
  <si>
    <t>deeptechalliance</t>
  </si>
  <si>
    <t>NOY21D</t>
  </si>
  <si>
    <t>Sent to thomas@deeptechalliance.org on 2026-08-26</t>
  </si>
  <si>
    <t>Thomas van den Groenendaal</t>
  </si>
  <si>
    <t>van den Groenendaal</t>
  </si>
  <si>
    <t>thomas@evening-breeze.com</t>
  </si>
  <si>
    <t>evening-breeze</t>
  </si>
  <si>
    <t>F8BAPT</t>
  </si>
  <si>
    <t>Sent to thomas@evening-breeze.com on 2026-08-26</t>
  </si>
  <si>
    <t>Thomas Mensink</t>
  </si>
  <si>
    <t>thomas@goldeneggcheck.com</t>
  </si>
  <si>
    <t>goldeneggcheck</t>
  </si>
  <si>
    <t>CP5MGU</t>
  </si>
  <si>
    <t>Sent to thomas@goldeneggcheck.com on 2026-08-26</t>
  </si>
  <si>
    <t>Thomas Calis</t>
  </si>
  <si>
    <t xml:space="preserve">Calis </t>
  </si>
  <si>
    <t>twjn.calis@gmail.com</t>
  </si>
  <si>
    <t>BGFM64</t>
  </si>
  <si>
    <t>Sent to twjn.calis@gmail.com on 2026-08-26</t>
  </si>
  <si>
    <t>Thong Le Hoang</t>
  </si>
  <si>
    <t>Thong</t>
  </si>
  <si>
    <t>Le Hoang</t>
  </si>
  <si>
    <t>thong@visionariesclub.vc</t>
  </si>
  <si>
    <t>3RZ0G9</t>
  </si>
  <si>
    <t>Sent to thong@visionariesclub.vc on 2026-08-26</t>
  </si>
  <si>
    <t>Thore Vogel</t>
  </si>
  <si>
    <t>Thore</t>
  </si>
  <si>
    <t>tv@leanox.eu</t>
  </si>
  <si>
    <t>Leanox</t>
  </si>
  <si>
    <t>9REDTR</t>
  </si>
  <si>
    <t>Sent to tv@leanox.eu on 2026-08-26</t>
  </si>
  <si>
    <t>Tienko Rasker</t>
  </si>
  <si>
    <t>Tienko</t>
  </si>
  <si>
    <t>Rasker</t>
  </si>
  <si>
    <t>tienko@leapfunder.com</t>
  </si>
  <si>
    <t>8SO5TC</t>
  </si>
  <si>
    <t>Sent to tienko@leapfunder.com on 2026-08-26</t>
  </si>
  <si>
    <t>Ties van der Heijden</t>
  </si>
  <si>
    <t xml:space="preserve">Ties </t>
  </si>
  <si>
    <t>ties@pythia-energy.nl</t>
  </si>
  <si>
    <t>05GJH4</t>
  </si>
  <si>
    <t>Sent to ties@pythia-energy.nl on 2026-08-26</t>
  </si>
  <si>
    <t>Tijmen de Jong</t>
  </si>
  <si>
    <t>Tijmen</t>
  </si>
  <si>
    <t>tijmen@tarnoc.nl</t>
  </si>
  <si>
    <t>I4U0YA</t>
  </si>
  <si>
    <t>Sent to tijmen@tarnoc.nl on 2026-08-26</t>
  </si>
  <si>
    <t>Tijs Koops</t>
  </si>
  <si>
    <t>Tijs</t>
  </si>
  <si>
    <t>Koops</t>
  </si>
  <si>
    <t>tijs.koops@topsector-ict.nl</t>
  </si>
  <si>
    <t>topsector-ict</t>
  </si>
  <si>
    <t>FLQBME</t>
  </si>
  <si>
    <t>Sent to tijs.koops@topsector-ict.nl on 2026-08-26</t>
  </si>
  <si>
    <t>Tim Horeman</t>
  </si>
  <si>
    <t>Horeman</t>
  </si>
  <si>
    <t>t.horeman@tudelft.nl</t>
  </si>
  <si>
    <t>medishielddelft</t>
  </si>
  <si>
    <t>UR89PN</t>
  </si>
  <si>
    <t>Sent to t.horeman@tudelft.nl on 2026-08-26</t>
  </si>
  <si>
    <t>Tim Houter</t>
  </si>
  <si>
    <t>Houter</t>
  </si>
  <si>
    <t>tim@hardt.global</t>
  </si>
  <si>
    <t>hardt.global</t>
  </si>
  <si>
    <t>KA46VS</t>
  </si>
  <si>
    <t>Sent to tim@hardt.global on 2026-08-26</t>
  </si>
  <si>
    <t>Tim Bruines</t>
  </si>
  <si>
    <t>Bruines</t>
  </si>
  <si>
    <t>tim@sensible.health</t>
  </si>
  <si>
    <t>sensible.health</t>
  </si>
  <si>
    <t>GPIFPS</t>
  </si>
  <si>
    <t>Sent to tim@sensible.health on 2026-08-26</t>
  </si>
  <si>
    <t>Tim Laverty</t>
  </si>
  <si>
    <t>Laverty</t>
  </si>
  <si>
    <t>timlav@microsoft.com</t>
  </si>
  <si>
    <t>microsoft</t>
  </si>
  <si>
    <t>S9NMDO</t>
  </si>
  <si>
    <t>Sent to timlav@microsoft.com on 2026-08-26</t>
  </si>
  <si>
    <t>Timothy Armstrong</t>
  </si>
  <si>
    <t>Timothy</t>
  </si>
  <si>
    <t>Armstrong</t>
  </si>
  <si>
    <t>tim@treestle.com</t>
  </si>
  <si>
    <t>EMKT6R</t>
  </si>
  <si>
    <t>Sent to tim@treestle.com on 2026-08-26</t>
  </si>
  <si>
    <t>Tjark Tjin-a-Tsoi</t>
  </si>
  <si>
    <t>Tjark</t>
  </si>
  <si>
    <t>Tjin-a-Tsoi</t>
  </si>
  <si>
    <t>tjark.tjin-a-tsoi@tno.nl</t>
  </si>
  <si>
    <t>K9NGUG</t>
  </si>
  <si>
    <t>Sent to tjark.tjin-a-tsoi@tno.nl on 2026-08-26</t>
  </si>
  <si>
    <t>Tjewei Hu</t>
  </si>
  <si>
    <t>Tjewei</t>
  </si>
  <si>
    <t>Hu</t>
  </si>
  <si>
    <t>tjeweihu@gmail.com</t>
  </si>
  <si>
    <t>Synext</t>
  </si>
  <si>
    <t>6TEJG5</t>
  </si>
  <si>
    <t>Sent to tjeweihu@gmail.com on 2026-08-26</t>
  </si>
  <si>
    <t>Tobias Gutleb</t>
  </si>
  <si>
    <t>Tobias</t>
  </si>
  <si>
    <t>Gutleb</t>
  </si>
  <si>
    <t>tgutleb@volkerwessels.com</t>
  </si>
  <si>
    <t>QMCYHG</t>
  </si>
  <si>
    <t>Sent to tgutleb@volkerwessels.com on 2026-08-26</t>
  </si>
  <si>
    <t>Tobias Ouwerkerk</t>
  </si>
  <si>
    <t>to@innovationindustries.com</t>
  </si>
  <si>
    <t>1TY7US</t>
  </si>
  <si>
    <t>Sent to to@innovationindustries.com on 2026-08-26</t>
  </si>
  <si>
    <t>Tobias Knop</t>
  </si>
  <si>
    <t>Knop</t>
  </si>
  <si>
    <t>tobias@dawnaerospace.com</t>
  </si>
  <si>
    <t>8LVBOU</t>
  </si>
  <si>
    <t>Sent to tobias@dawnaerospace.com on 2026-08-26</t>
  </si>
  <si>
    <t>Tobias Pfeiffer</t>
  </si>
  <si>
    <t>Pfeiffer</t>
  </si>
  <si>
    <t>tobiaspfeiffer@gmail.com</t>
  </si>
  <si>
    <t>FDXXRY</t>
  </si>
  <si>
    <t>Sent to tobiaspfeiffer@gmail.com on 2026-08-26</t>
  </si>
  <si>
    <t>Tom Alma</t>
  </si>
  <si>
    <t>Alma</t>
  </si>
  <si>
    <t>thomasadriaanalma@gmail.com</t>
  </si>
  <si>
    <t>Vliegwiel Impact</t>
  </si>
  <si>
    <t>6RS8MC</t>
  </si>
  <si>
    <t>Sent to thomasadriaanalma@gmail.com on 2026-08-26</t>
  </si>
  <si>
    <t>Tom Leijte</t>
  </si>
  <si>
    <t>Leijte</t>
  </si>
  <si>
    <t>tl@passguard.com</t>
  </si>
  <si>
    <t>SNC7UX</t>
  </si>
  <si>
    <t>Sent to tl@passguard.com on 2026-08-26</t>
  </si>
  <si>
    <t>Tom Buchmann</t>
  </si>
  <si>
    <t>Buchmann</t>
  </si>
  <si>
    <t>tom.buchmann110@gmail.com</t>
  </si>
  <si>
    <t>K1ZA0L</t>
  </si>
  <si>
    <t>Sent to tom.buchmann110@gmail.com on 2026-08-26</t>
  </si>
  <si>
    <t>Tom Savels</t>
  </si>
  <si>
    <t>Savels</t>
  </si>
  <si>
    <t>tom.savels@whitespacesolutions.eu</t>
  </si>
  <si>
    <t>VQRFKN</t>
  </si>
  <si>
    <t>Sent to tom.savels@whitespacesolutions.eu on 2026-08-26</t>
  </si>
  <si>
    <t>Tom van Aken</t>
  </si>
  <si>
    <t>van Aken</t>
  </si>
  <si>
    <t>tom.vanaken@avantium.com</t>
  </si>
  <si>
    <t>avantium</t>
  </si>
  <si>
    <t>0RU4KN</t>
  </si>
  <si>
    <t>Sent to tom.vanaken@avantium.com on 2026-08-26</t>
  </si>
  <si>
    <t>Tom Schouten</t>
  </si>
  <si>
    <t>tom@ape.amsterdam</t>
  </si>
  <si>
    <t>MBZMOP</t>
  </si>
  <si>
    <t>Sent to tom@ape.amsterdam on 2026-08-26</t>
  </si>
  <si>
    <t>Tom Leenders</t>
  </si>
  <si>
    <t>Leenders</t>
  </si>
  <si>
    <t>tom@gerrardstreet.nl</t>
  </si>
  <si>
    <t>gerrardstreet</t>
  </si>
  <si>
    <t>8IKPJ9</t>
  </si>
  <si>
    <t>Sent to tom@gerrardstreet.nl on 2026-08-26</t>
  </si>
  <si>
    <t>Tom de Leeuw</t>
  </si>
  <si>
    <t>de Leeuw</t>
  </si>
  <si>
    <t>tom@pava.ai</t>
  </si>
  <si>
    <t>8EXVWO</t>
  </si>
  <si>
    <t>Sent to tom@pava.ai on 2026-08-26</t>
  </si>
  <si>
    <t>Tom de Gier</t>
  </si>
  <si>
    <t xml:space="preserve">Tom </t>
  </si>
  <si>
    <t>de Gier</t>
  </si>
  <si>
    <t>tom@geobirds.io</t>
  </si>
  <si>
    <t>Geobirds</t>
  </si>
  <si>
    <t>ILP1OJ</t>
  </si>
  <si>
    <t>Sent to tom@geobirds.io on 2026-08-26</t>
  </si>
  <si>
    <t>Tomas Kemtys</t>
  </si>
  <si>
    <t>Kemtys</t>
  </si>
  <si>
    <t>tomas.kemtys@cventures.vc</t>
  </si>
  <si>
    <t>cventures</t>
  </si>
  <si>
    <t>GJAPIB</t>
  </si>
  <si>
    <t>Sent to tomas.kemtys@cventures.vc on 2026-08-26</t>
  </si>
  <si>
    <t>Tomaso De Ponti</t>
  </si>
  <si>
    <t>Tomaso</t>
  </si>
  <si>
    <t>De Ponti</t>
  </si>
  <si>
    <t>tomaso@aerogriduav.com</t>
  </si>
  <si>
    <t>N5IO23</t>
  </si>
  <si>
    <t>Sent to tomaso@aerogriduav.com on 2026-08-26</t>
  </si>
  <si>
    <t>Tommy Hurley</t>
  </si>
  <si>
    <t>Tommy</t>
  </si>
  <si>
    <t>Hurley</t>
  </si>
  <si>
    <t>tommy@shamrockventures.nl</t>
  </si>
  <si>
    <t>shamrockventures</t>
  </si>
  <si>
    <t>I446OO</t>
  </si>
  <si>
    <t>Sent to tommy@shamrockventures.nl on 2026-08-26</t>
  </si>
  <si>
    <t>Tonnie Rijkers</t>
  </si>
  <si>
    <t>Tonnie</t>
  </si>
  <si>
    <t>Rijkers</t>
  </si>
  <si>
    <t>tonnie.rijkers@rvo.nl</t>
  </si>
  <si>
    <t>RVO</t>
  </si>
  <si>
    <t>IMN12V</t>
  </si>
  <si>
    <t>Sent to tonnie.rijkers@rvo.nl on 2026-08-26</t>
  </si>
  <si>
    <t>Tonnis de Boer</t>
  </si>
  <si>
    <t>Tonnis</t>
  </si>
  <si>
    <t>tonnis@tradecloud.nl</t>
  </si>
  <si>
    <t>VHCR5F</t>
  </si>
  <si>
    <t>Sent to tonnis@tradecloud.nl on 2026-08-26</t>
  </si>
  <si>
    <t>Toon van Bodegom</t>
  </si>
  <si>
    <t>Toon</t>
  </si>
  <si>
    <t>van Bodegom</t>
  </si>
  <si>
    <t>toon@numa.nl</t>
  </si>
  <si>
    <t>numa</t>
  </si>
  <si>
    <t>06S6F5</t>
  </si>
  <si>
    <t>Sent to toon@numa.nl on 2026-08-26</t>
  </si>
  <si>
    <t>Tristan Nikolaas Mwinmaalo Somé</t>
  </si>
  <si>
    <t>Tristan</t>
  </si>
  <si>
    <t>Nikolaas Mwinmaalo Somé</t>
  </si>
  <si>
    <t>tristansome@gmail.com</t>
  </si>
  <si>
    <t>A2JNYA</t>
  </si>
  <si>
    <t>Sent to tristansome@gmail.com on 2026-08-26</t>
  </si>
  <si>
    <t>Ugur Kizilkaya</t>
  </si>
  <si>
    <t>Ugur</t>
  </si>
  <si>
    <t>Kizilkaya</t>
  </si>
  <si>
    <t>ugur.kizilkaya@braindrop.eu</t>
  </si>
  <si>
    <t>braindrop</t>
  </si>
  <si>
    <t>UEB2M0</t>
  </si>
  <si>
    <t>Sent to ugur.kizilkaya@braindrop.eu on 2026-08-26</t>
  </si>
  <si>
    <t>Uros Lekic</t>
  </si>
  <si>
    <t>Uros</t>
  </si>
  <si>
    <t>Lekic</t>
  </si>
  <si>
    <t>smiletoday@tennine.vc</t>
  </si>
  <si>
    <t>tennine</t>
  </si>
  <si>
    <t>V6TR8S</t>
  </si>
  <si>
    <t>Sent to smiletoday@tennine.vc on 2026-08-26</t>
  </si>
  <si>
    <t>V.A. Wingerden</t>
  </si>
  <si>
    <t>V.A.</t>
  </si>
  <si>
    <t>Wingerden</t>
  </si>
  <si>
    <t>v.a.wingerden@minfin.nl</t>
  </si>
  <si>
    <t>minfin</t>
  </si>
  <si>
    <t>AFU5X1</t>
  </si>
  <si>
    <t>Sent to v.a.wingerden@minfin.nl on 2026-08-26</t>
  </si>
  <si>
    <t>V.H.H. (Vincent)</t>
  </si>
  <si>
    <t>V.H.H.</t>
  </si>
  <si>
    <t>(Vincent)</t>
  </si>
  <si>
    <t>v.h.h.schenkeveld@minezk.nl</t>
  </si>
  <si>
    <t>OG5NN5</t>
  </si>
  <si>
    <t>Sent to v.h.h.schenkeveld@minezk.nl on 2026-08-26</t>
  </si>
  <si>
    <t>Valentin Angelov</t>
  </si>
  <si>
    <t>Valentin</t>
  </si>
  <si>
    <t>Angelov</t>
  </si>
  <si>
    <t>valentin.angelov@vizionz.nl</t>
  </si>
  <si>
    <t>vizionz</t>
  </si>
  <si>
    <t>0WYHCA</t>
  </si>
  <si>
    <t>Sent to valentin.angelov@vizionz.nl on 2026-08-26</t>
  </si>
  <si>
    <t>Valentino Jadrisko</t>
  </si>
  <si>
    <t>Valentino</t>
  </si>
  <si>
    <t>Jadrisko</t>
  </si>
  <si>
    <t>valentino.jadrisko@constructor.capital</t>
  </si>
  <si>
    <t>constructor.capital</t>
  </si>
  <si>
    <t>2I0MV5</t>
  </si>
  <si>
    <t>Sent to valentino.jadrisko@constructor.capital on 2026-08-26</t>
  </si>
  <si>
    <t>Vanesa Casan Ibanez</t>
  </si>
  <si>
    <t>Vanesa</t>
  </si>
  <si>
    <t>Casan Ibanez</t>
  </si>
  <si>
    <t>vanesa.casanibanez@shell.com</t>
  </si>
  <si>
    <t>TZ2YOK</t>
  </si>
  <si>
    <t>Sent to vanesa.casanibanez@shell.com on 2026-08-26</t>
  </si>
  <si>
    <t>Venkatesh Chandrasekar</t>
  </si>
  <si>
    <t>Venkatesh</t>
  </si>
  <si>
    <t>Chandrasekar</t>
  </si>
  <si>
    <t>venchandrasekar@gmail.com</t>
  </si>
  <si>
    <t>Inkless/Tocano</t>
  </si>
  <si>
    <t>Y7XCKS</t>
  </si>
  <si>
    <t>Sent to venchandrasekar@gmail.com on 2026-08-26</t>
  </si>
  <si>
    <t>Versleijen Anouschka</t>
  </si>
  <si>
    <t>Versleijen</t>
  </si>
  <si>
    <t>Anouschka</t>
  </si>
  <si>
    <t>a.g.s.versleijen@luris.nl</t>
  </si>
  <si>
    <t>Leiden UNi</t>
  </si>
  <si>
    <t>FTO2K2</t>
  </si>
  <si>
    <t>Sent to a.g.s.versleijen@luris.nl on 2026-08-26</t>
  </si>
  <si>
    <t>Victor Rijkaart</t>
  </si>
  <si>
    <t>Victor</t>
  </si>
  <si>
    <t>Rijkaart</t>
  </si>
  <si>
    <t>a.c.v.rijkaart@tudelft.nl</t>
  </si>
  <si>
    <t>9BC39C</t>
  </si>
  <si>
    <t>Sent to a.c.v.rijkaart@tudelft.nl on 2026-08-26</t>
  </si>
  <si>
    <t>Victor Scholten</t>
  </si>
  <si>
    <t>Scholten</t>
  </si>
  <si>
    <t>v.e.scholten@tudelft.nl</t>
  </si>
  <si>
    <t>4SIYIW</t>
  </si>
  <si>
    <t>Sent to v.e.scholten@tudelft.nl on 2026-08-26</t>
  </si>
  <si>
    <t>Victor Hartong</t>
  </si>
  <si>
    <t>victor.hartong@rvo.nl</t>
  </si>
  <si>
    <t>4FDC4K</t>
  </si>
  <si>
    <t>Sent to victor.hartong@rvo.nl on 2026-08-26</t>
  </si>
  <si>
    <t>Victor Sonneveld</t>
  </si>
  <si>
    <t>Sonneveld</t>
  </si>
  <si>
    <t>victor@shoresystems.nl</t>
  </si>
  <si>
    <t>2CD04P</t>
  </si>
  <si>
    <t>Sent to victor@shoresystems.nl on 2026-08-26</t>
  </si>
  <si>
    <t>Victor Pereboom</t>
  </si>
  <si>
    <t>Pereboom</t>
  </si>
  <si>
    <t>victor@ubiops.com</t>
  </si>
  <si>
    <t>Z31D98</t>
  </si>
  <si>
    <t>Sent to victor@ubiops.com on 2026-08-26</t>
  </si>
  <si>
    <t>Viktor Koppenol</t>
  </si>
  <si>
    <t>Viktor</t>
  </si>
  <si>
    <t>Koppenol</t>
  </si>
  <si>
    <t>viktor@oasysnow.com</t>
  </si>
  <si>
    <t>688YFP</t>
  </si>
  <si>
    <t>Sent to viktor@oasysnow.com on 2026-08-26</t>
  </si>
  <si>
    <t>Vladimir Nedovic</t>
  </si>
  <si>
    <t>Vladimir</t>
  </si>
  <si>
    <t>Nedovic</t>
  </si>
  <si>
    <t>vladimir.nedovic@aic4nl.nl</t>
  </si>
  <si>
    <t>WZ0NC5</t>
  </si>
  <si>
    <t>Sent to vladimir.nedovic@aic4nl.nl on 2026-08-26</t>
  </si>
  <si>
    <t>Vladimir Ponomarev</t>
  </si>
  <si>
    <t>Ponomarev</t>
  </si>
  <si>
    <t>vpo@evist.ai</t>
  </si>
  <si>
    <t>Y992TF</t>
  </si>
  <si>
    <t>Sent to vpo@evist.ai on 2026-08-26</t>
  </si>
  <si>
    <t xml:space="preserve">Vladimir </t>
  </si>
  <si>
    <t>v.ponomarev@evist.ai</t>
  </si>
  <si>
    <t>OP6VLW</t>
  </si>
  <si>
    <t>Sent to v.ponomarev@evist.ai on 2026-08-26</t>
  </si>
  <si>
    <t>W de jong</t>
  </si>
  <si>
    <t>W</t>
  </si>
  <si>
    <t>de jong</t>
  </si>
  <si>
    <t>wdejong@senseit.nl</t>
  </si>
  <si>
    <t>DUCIVA</t>
  </si>
  <si>
    <t>Sent to wdejong@senseit.nl on 2026-08-26</t>
  </si>
  <si>
    <t>Walt Bouwmeester</t>
  </si>
  <si>
    <t>Walt</t>
  </si>
  <si>
    <t>Bouwmeester</t>
  </si>
  <si>
    <t>WK.Bouwmeester@mindef.nl</t>
  </si>
  <si>
    <t>KMar / COMMIT/DIR K&amp;I/MIND</t>
  </si>
  <si>
    <t>K5DXNI</t>
  </si>
  <si>
    <t>Sent to WK.Bouwmeester@mindef.nl on 2026-08-26</t>
  </si>
  <si>
    <t>Wanda Stevens</t>
  </si>
  <si>
    <t>Wanda</t>
  </si>
  <si>
    <t>wanda_stevens@hotmail.com</t>
  </si>
  <si>
    <t>IS4FYL</t>
  </si>
  <si>
    <t>Sent to wanda_stevens@hotmail.com on 2026-08-26</t>
  </si>
  <si>
    <t>Warner Venstra</t>
  </si>
  <si>
    <t>Warner</t>
  </si>
  <si>
    <t>Venstra</t>
  </si>
  <si>
    <t>wjv@quantifiedair.nl</t>
  </si>
  <si>
    <t>quantifiedair</t>
  </si>
  <si>
    <t>297TK4</t>
  </si>
  <si>
    <t>Sent to wjv@quantifiedair.nl on 2026-08-26</t>
  </si>
  <si>
    <t>Wesley Johnson</t>
  </si>
  <si>
    <t>Johnson</t>
  </si>
  <si>
    <t>wesley@pelagen.bio</t>
  </si>
  <si>
    <t>NZXAI7</t>
  </si>
  <si>
    <t>Sent to wesley@pelagen.bio on 2026-08-26</t>
  </si>
  <si>
    <t>Wichert Put</t>
  </si>
  <si>
    <t xml:space="preserve">Wichert </t>
  </si>
  <si>
    <t>Put</t>
  </si>
  <si>
    <t>w.put@sparkdesign.nl</t>
  </si>
  <si>
    <t>F3PLV6</t>
  </si>
  <si>
    <t>Sent to w.put@sparkdesign.nl on 2026-08-26</t>
  </si>
  <si>
    <t>Wilfried de Wever</t>
  </si>
  <si>
    <t>Wilfried</t>
  </si>
  <si>
    <t>de Wever</t>
  </si>
  <si>
    <t>w.m.a.de.wever@minjenv.nl</t>
  </si>
  <si>
    <t>7I9L3I</t>
  </si>
  <si>
    <t>Sent to w.m.a.de.wever@minjenv.nl on 2026-08-26</t>
  </si>
  <si>
    <t>Willem Ridderhof</t>
  </si>
  <si>
    <t>Ridderhof</t>
  </si>
  <si>
    <t>w.ridderhof@outlook.com</t>
  </si>
  <si>
    <t>ISPS software</t>
  </si>
  <si>
    <t>G9UI3E</t>
  </si>
  <si>
    <t>Sent to w.ridderhof@outlook.com on 2026-08-26</t>
  </si>
  <si>
    <t>Willem Weijers</t>
  </si>
  <si>
    <t>Weijers</t>
  </si>
  <si>
    <t>willem.weijers@multifix.nl</t>
  </si>
  <si>
    <t>ZAL7OU</t>
  </si>
  <si>
    <t>Sent to willem.weijers@multifix.nl on 2026-08-26</t>
  </si>
  <si>
    <t>Willem Zwetsloot</t>
  </si>
  <si>
    <t>Zwetsloot</t>
  </si>
  <si>
    <t>willem.zwetsloot@dotrobotsystems.com</t>
  </si>
  <si>
    <t>NHKQK5</t>
  </si>
  <si>
    <t>Sent to willem.zwetsloot@dotrobotsystems.com on 2026-08-26</t>
  </si>
  <si>
    <t>Willem Kesteloo</t>
  </si>
  <si>
    <t>Kesteloo</t>
  </si>
  <si>
    <t>willem@fotoniq.com</t>
  </si>
  <si>
    <t>FOTONIQ (Physee spin-out)</t>
  </si>
  <si>
    <t>TM7G9J</t>
  </si>
  <si>
    <t>Sent to willem@fotoniq.com on 2026-08-26</t>
  </si>
  <si>
    <t>Willem van der Graaf</t>
  </si>
  <si>
    <t>willem@mcnetiq.nl</t>
  </si>
  <si>
    <t>XVIEZP</t>
  </si>
  <si>
    <t>Sent to willem@mcnetiq.nl on 2026-08-26</t>
  </si>
  <si>
    <t>Willem Nerkens</t>
  </si>
  <si>
    <t>Nerkens</t>
  </si>
  <si>
    <t>willemnerkens@medishielddelft.com</t>
  </si>
  <si>
    <t>O52TL2</t>
  </si>
  <si>
    <t>Sent to willemnerkens@medishielddelft.com on 2026-08-26</t>
  </si>
  <si>
    <t>Willem Schellekens</t>
  </si>
  <si>
    <t xml:space="preserve">Willem </t>
  </si>
  <si>
    <t>Schellekens</t>
  </si>
  <si>
    <t>willem@velotech.ai</t>
  </si>
  <si>
    <t>velotech</t>
  </si>
  <si>
    <t>UQWFZ6</t>
  </si>
  <si>
    <t>Sent to willem@velotech.ai on 2026-08-26</t>
  </si>
  <si>
    <t>Willem Mees van der Bijl</t>
  </si>
  <si>
    <t>Willem Mees</t>
  </si>
  <si>
    <t>willemmees.vanderbijl@panton.nl</t>
  </si>
  <si>
    <t>YP4AFF</t>
  </si>
  <si>
    <t>Sent to willemmees.vanderbijl@panton.nl on 2026-08-26</t>
  </si>
  <si>
    <t>William Nefkens</t>
  </si>
  <si>
    <t>Nefkens</t>
  </si>
  <si>
    <t>w.nefkens@pnptc.com</t>
  </si>
  <si>
    <t>2A2Q8N</t>
  </si>
  <si>
    <t>Sent to w.nefkens@pnptc.com on 2026-08-26</t>
  </si>
  <si>
    <t>William Simmonds</t>
  </si>
  <si>
    <t>Simmonds</t>
  </si>
  <si>
    <r>
      <rPr>
        <color rgb="FF1155CC"/>
        <sz val="11.0"/>
        <u/>
      </rPr>
      <t>william@adinnovations.nl</t>
    </r>
  </si>
  <si>
    <t>ADI Innovations</t>
  </si>
  <si>
    <t>89FOBS</t>
  </si>
  <si>
    <t>Sent to william@adinnovations.nl on 2026-08-26</t>
  </si>
  <si>
    <t>William Madsen</t>
  </si>
  <si>
    <t>Madsen</t>
  </si>
  <si>
    <t>wm@noon-ventures.com</t>
  </si>
  <si>
    <t>NOON ventures</t>
  </si>
  <si>
    <t>Q3KOMD</t>
  </si>
  <si>
    <t>Sent to wm@noon-ventures.com on 2026-08-26</t>
  </si>
  <si>
    <t>Wim Grootscholten</t>
  </si>
  <si>
    <t>Grootscholten</t>
  </si>
  <si>
    <t>w.grootscholten@rijkzwaan.nl</t>
  </si>
  <si>
    <t>MJLUZJ</t>
  </si>
  <si>
    <t>Sent to w.grootscholten@rijkzwaan.nl on 2026-08-26</t>
  </si>
  <si>
    <t>Wim Reyntiens</t>
  </si>
  <si>
    <t>Reyntiens</t>
  </si>
  <si>
    <t>wim@re-wire.vc</t>
  </si>
  <si>
    <t>PGJ41F</t>
  </si>
  <si>
    <t>Sent to wim@re-wire.vc on 2026-08-26</t>
  </si>
  <si>
    <t>Wim van der Zande VCM Holding</t>
  </si>
  <si>
    <t>van der Zande VCM Holding</t>
  </si>
  <si>
    <t>wpm.vanderzande@vcmholding.nl</t>
  </si>
  <si>
    <t>vcmholding</t>
  </si>
  <si>
    <t>1OK3UW</t>
  </si>
  <si>
    <t>Sent to wpm.vanderzande@vcmholding.nl on 2026-08-26</t>
  </si>
  <si>
    <t>Wout Rensink</t>
  </si>
  <si>
    <t>Wout</t>
  </si>
  <si>
    <t>Rensink</t>
  </si>
  <si>
    <t>w.rensink@leiden.nl</t>
  </si>
  <si>
    <t>leiden</t>
  </si>
  <si>
    <t>QEKIIP</t>
  </si>
  <si>
    <t>Sent to w.rensink@leiden.nl on 2026-08-26</t>
  </si>
  <si>
    <t>Wout van Dijken</t>
  </si>
  <si>
    <t xml:space="preserve">Wout </t>
  </si>
  <si>
    <t>woutvdijken@gmail.com</t>
  </si>
  <si>
    <t>SOL-R&amp;D</t>
  </si>
  <si>
    <t>2VQKLJ</t>
  </si>
  <si>
    <t>Sent to woutvdijken@gmail.com on 2026-08-26</t>
  </si>
  <si>
    <t>Wouter van Dorsser</t>
  </si>
  <si>
    <t>van Dorsser</t>
  </si>
  <si>
    <r>
      <rPr>
        <color rgb="FF0000FF"/>
        <sz val="11.0"/>
        <u/>
      </rPr>
      <t>W.d.vandorsser@gmail.com</t>
    </r>
  </si>
  <si>
    <t>0GWIFY</t>
  </si>
  <si>
    <t>Sent to W.d.vandorsser@gmail.com on 2026-08-26</t>
  </si>
  <si>
    <t>Wouter Holtslag</t>
  </si>
  <si>
    <t>Holtslag</t>
  </si>
  <si>
    <t>wfholtslag@gmail.com</t>
  </si>
  <si>
    <t>8EQQI1</t>
  </si>
  <si>
    <t>Sent to wfholtslag@gmail.com on 2026-08-26</t>
  </si>
  <si>
    <t>Wouter Smit</t>
  </si>
  <si>
    <t>wouter@smitpower.com</t>
  </si>
  <si>
    <t>O9PP8R</t>
  </si>
  <si>
    <t>Sent to wouter@smitpower.com on 2026-08-26</t>
  </si>
  <si>
    <t>Wouter van Guldener</t>
  </si>
  <si>
    <t>van Guldener</t>
  </si>
  <si>
    <t>wouter@somnox.nl</t>
  </si>
  <si>
    <t>BDMY6H</t>
  </si>
  <si>
    <t>Sent to wouter@somnox.nl on 2026-08-26</t>
  </si>
  <si>
    <t>Wouter de Bruijne</t>
  </si>
  <si>
    <t>de Bruijne</t>
  </si>
  <si>
    <t>wouterdebruijne@gmail.com</t>
  </si>
  <si>
    <t>ParkBee, YES!Delft</t>
  </si>
  <si>
    <t>VHW0SW</t>
  </si>
  <si>
    <t>Sent to wouterdebruijne@gmail.com on 2026-08-26</t>
  </si>
  <si>
    <t>Wouter Riedijk</t>
  </si>
  <si>
    <t>Riedijk</t>
  </si>
  <si>
    <t>wriedijk@mocs.nl</t>
  </si>
  <si>
    <t>I9HT01</t>
  </si>
  <si>
    <t>Sent to wriedijk@mocs.nl on 2026-08-26</t>
  </si>
  <si>
    <t>Wouter Jan Ubbels</t>
  </si>
  <si>
    <t>Wouter Jan</t>
  </si>
  <si>
    <t>Ubbels</t>
  </si>
  <si>
    <t>w.j.ubbels@isispace.nl</t>
  </si>
  <si>
    <t>LJWO6K</t>
  </si>
  <si>
    <t>Sent to w.j.ubbels@isispace.nl on 2026-08-26</t>
  </si>
  <si>
    <t>Wytze Vries</t>
  </si>
  <si>
    <t>Wytze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</si>
  <si>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wytzedevries@live.nl</t>
    </r>
  </si>
  <si>
    <t>8OW5P6</t>
  </si>
  <si>
    <t>Sent to wytzedevries@live.nl on 2026-08-26</t>
  </si>
  <si>
    <t>Xavier Aubry</t>
  </si>
  <si>
    <t>Xavier</t>
  </si>
  <si>
    <t>Aubry</t>
  </si>
  <si>
    <t xml:space="preserve">xavier.aubry@zazventures.com </t>
  </si>
  <si>
    <t>ZAZ Ventures</t>
  </si>
  <si>
    <t>FD7458</t>
  </si>
  <si>
    <t>Sent to xavier.aubry@zazventures.com  on 2026-08-26</t>
  </si>
  <si>
    <t>Yaella Essed</t>
  </si>
  <si>
    <t>Yaella</t>
  </si>
  <si>
    <t>Essed</t>
  </si>
  <si>
    <t>yaella.essed@innovationquarter.nl</t>
  </si>
  <si>
    <t>K2GP82</t>
  </si>
  <si>
    <t>Sent to yaella.essed@innovationquarter.nl on 2026-08-26</t>
  </si>
  <si>
    <t>Yannick Maltha</t>
  </si>
  <si>
    <t>Maltha</t>
  </si>
  <si>
    <t>yannick@ubiops.com</t>
  </si>
  <si>
    <t>BY0MFH</t>
  </si>
  <si>
    <t>Sent to yannick@ubiops.com on 2026-08-26</t>
  </si>
  <si>
    <t>Yoeri Nagtegaal</t>
  </si>
  <si>
    <t>Yoeri</t>
  </si>
  <si>
    <t>Nagtegaal</t>
  </si>
  <si>
    <t>yoeri@evening-breeze.com</t>
  </si>
  <si>
    <t>NROP78</t>
  </si>
  <si>
    <t>Sent to yoeri@evening-breeze.com on 2026-08-26</t>
  </si>
  <si>
    <t>Yorick Niessink</t>
  </si>
  <si>
    <t>Yorick</t>
  </si>
  <si>
    <t>Niessink</t>
  </si>
  <si>
    <t>yorick@fluxthor.com</t>
  </si>
  <si>
    <t>SOZKXP</t>
  </si>
  <si>
    <t>Sent to yorick@fluxthor.com on 2026-08-26</t>
  </si>
  <si>
    <t>Yuri Meijer</t>
  </si>
  <si>
    <t>yuri@mangostone.com</t>
  </si>
  <si>
    <t>Y93NMU</t>
  </si>
  <si>
    <t>Sent to yuri@mangostone.com on 2026-08-26</t>
  </si>
  <si>
    <t>Yvette Fleming</t>
  </si>
  <si>
    <t>Yvette</t>
  </si>
  <si>
    <t>yvette.fleming@tno.nl</t>
  </si>
  <si>
    <t>UNYP9R</t>
  </si>
  <si>
    <t>Sent to yvette.fleming@tno.nl on 2026-08-26</t>
  </si>
  <si>
    <t>Yvonne Ramdin-Trip</t>
  </si>
  <si>
    <t>Yvonne</t>
  </si>
  <si>
    <t>Ramdin-Trip</t>
  </si>
  <si>
    <t>y.ramdintrip@rotterdam.nl</t>
  </si>
  <si>
    <t>VLI8WO</t>
  </si>
  <si>
    <t>Sent to y.ramdintrip@rotterdam.nl on 2026-08-26</t>
  </si>
  <si>
    <t>Yvonne de Greeuw</t>
  </si>
  <si>
    <t>de Greeuw</t>
  </si>
  <si>
    <t>yvonne.greeuw@invest-nl.nl</t>
  </si>
  <si>
    <t>Invest-NL</t>
  </si>
  <si>
    <t>3TX8T7</t>
  </si>
  <si>
    <t>Sent to yvonne.greeuw@invest-nl.nl on 2026-08-26</t>
  </si>
  <si>
    <t>Zac Cesaro</t>
  </si>
  <si>
    <t xml:space="preserve">Zac </t>
  </si>
  <si>
    <t>Cesaro</t>
  </si>
  <si>
    <r>
      <rPr>
        <color rgb="FF1155CC"/>
        <sz val="11.0"/>
        <u/>
      </rPr>
      <t>zachary.cesaro@hymonic.com</t>
    </r>
  </si>
  <si>
    <t>EHMTM0</t>
  </si>
  <si>
    <t>Sent to zachary.cesaro@hymonic.com on 2026-08-26</t>
  </si>
  <si>
    <t>Zdravko Angelov</t>
  </si>
  <si>
    <t>Zdravko</t>
  </si>
  <si>
    <t>zdravko.angelov@vizionz.nl</t>
  </si>
  <si>
    <t>5SQ874</t>
  </si>
  <si>
    <t>Sent to zdravko.angelov@vizionz.nl on 2026-08-26</t>
  </si>
  <si>
    <t>Ziyaad Jaber</t>
  </si>
  <si>
    <t>Ziyaad</t>
  </si>
  <si>
    <t>ziyaad@medvice.io</t>
  </si>
  <si>
    <t>AIHXPM</t>
  </si>
  <si>
    <t>Sent to ziyaad@medvice.io on 2026-08-26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</si>
</sst>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78">
    <font>
      <sz val="10.0"/>
      <color rgb="FF000000"/>
      <name val="Arial"/>
      <scheme val="minor"/>
    </font>
    <font>
      <b/>
      <color theme="1"/>
      <name val="Arial"/>
      <scheme val="minor"/>
    </font>
    <font>
      <sz val="8.0"/>
      <color rgb="FF000000"/>
      <name val="Roboto"/>
    </font>
    <font>
      <color rgb="FF000000"/>
      <name val="Roboto"/>
    </font>
    <font>
      <sz val="11.0"/>
      <color rgb="FF000000"/>
      <name val="Roboto"/>
    </font>
    <font>
      <color theme="1"/>
      <name val="Arial"/>
      <scheme val="minor"/>
    </font>
    <font>
      <sz val="11.0"/>
      <color rgb="FF000000"/>
      <name val="Arial"/>
      <scheme val="minor"/>
    </font>
    <font>
      <color rgb="FF1F1F1F"/>
      <name val="&quot;Google Sans Mono&quot;"/>
    </font>
    <font>
      <color rgb="FF000000"/>
      <name val="Arial"/>
      <scheme val="minor"/>
    </font>
    <font>
      <color rgb="FF000000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theme="1"/>
      <name val="Calibri"/>
    </font>
    <font>
      <sz val="11.0"/>
      <color rgb="FF1F1F1F"/>
      <name val="Arial"/>
    </font>
    <font>
      <sz val="10.0"/>
      <color rgb="FF000000"/>
      <name val="Arial"/>
    </font>
    <font>
      <color rgb="FF000000"/>
      <name val="&quot;Aptos Narrow&quot;"/>
    </font>
    <font>
      <sz val="11.0"/>
      <color theme="1"/>
      <name val="&quot;Aptos Narrow&quot;"/>
    </font>
    <font>
      <u/>
      <color rgb="FF0000FF"/>
    </font>
    <font>
      <sz val="11.0"/>
      <color rgb="FF000000"/>
      <name val="Helvetica Neue"/>
    </font>
    <font>
      <u/>
      <sz val="11.0"/>
      <color rgb="FF0000FF"/>
    </font>
    <font>
      <color rgb="FF3C4043"/>
      <name val="'Roboto Mono'"/>
    </font>
    <font>
      <color rgb="FF5F6368"/>
      <name val="'Roboto Mono'"/>
    </font>
    <font>
      <strike/>
      <sz val="11.0"/>
      <color theme="1"/>
      <name val="Arial"/>
    </font>
    <font>
      <color theme="1"/>
      <name val="Tahoma"/>
    </font>
    <font>
      <color rgb="FFB31412"/>
      <name val="'Roboto Mono'"/>
    </font>
    <font>
      <u/>
      <sz val="10.0"/>
      <color rgb="FF1155CC"/>
      <name val="Arial"/>
    </font>
    <font>
      <sz val="11.0"/>
      <color rgb="FF000000"/>
      <name val="Arial"/>
    </font>
    <font>
      <u/>
      <sz val="11.0"/>
      <color rgb="FF0000FF"/>
    </font>
    <font>
      <sz val="11.0"/>
      <color rgb="FF222222"/>
      <name val="Arial"/>
      <scheme val="minor"/>
    </font>
    <font>
      <u/>
      <sz val="11.0"/>
      <color rgb="FF0000FF"/>
    </font>
    <font>
      <u/>
      <sz val="11.0"/>
      <color rgb="FF0000FF"/>
    </font>
    <font>
      <sz val="11.0"/>
      <color rgb="FF1F1F1F"/>
      <name val="Arial"/>
      <scheme val="minor"/>
    </font>
    <font>
      <b/>
      <sz val="11.0"/>
      <color rgb="FF000000"/>
      <name val="Helvetica Neue"/>
    </font>
    <font>
      <color theme="1"/>
      <name val="&quot;Aptos Narrow&quot;"/>
    </font>
    <font>
      <b/>
      <sz val="11.0"/>
      <color theme="1"/>
      <name val="Arial"/>
    </font>
    <font>
      <u/>
      <color rgb="FF0000FF"/>
      <name val="Arial"/>
    </font>
    <font>
      <u/>
      <color rgb="FF0000FF"/>
    </font>
    <font>
      <sz val="11.0"/>
      <color rgb="FF5E5E5E"/>
      <name val="Arial"/>
      <scheme val="minor"/>
    </font>
    <font>
      <u/>
      <color rgb="FF0000FF"/>
    </font>
    <font>
      <color rgb="FF222222"/>
      <name val="Arial"/>
    </font>
    <font>
      <sz val="11.0"/>
      <color theme="1"/>
      <name val="Helvetica Neue"/>
    </font>
    <font>
      <u/>
      <sz val="11.0"/>
      <color rgb="FF0000FF"/>
    </font>
    <font>
      <u/>
      <sz val="11.0"/>
      <color rgb="FF000000"/>
      <name val="-apple-system"/>
    </font>
    <font>
      <u/>
      <sz val="11.0"/>
      <color rgb="FF242424"/>
    </font>
    <font>
      <u/>
      <color rgb="FF222222"/>
      <name val="Arial"/>
    </font>
    <font>
      <color rgb="FFFF0000"/>
      <name val="Arial"/>
    </font>
    <font>
      <sz val="11.0"/>
      <color rgb="FF222222"/>
      <name val="Arial"/>
    </font>
    <font>
      <sz val="11.0"/>
      <color rgb="FF222222"/>
      <name val="&quot;Google Sans&quot;"/>
    </font>
    <font>
      <b/>
      <u/>
      <sz val="9.0"/>
      <color rgb="FFFF0000"/>
      <name val="Verdana"/>
    </font>
    <font>
      <sz val="11.0"/>
      <color rgb="FF1F1F1F"/>
      <name val="&quot;Google Sans&quot;"/>
    </font>
    <font>
      <color rgb="FFFF0000"/>
      <name val="Arial"/>
      <scheme val="minor"/>
    </font>
    <font>
      <u/>
      <sz val="11.0"/>
      <color rgb="FF0000FF"/>
    </font>
    <font>
      <sz val="11.0"/>
      <color rgb="FF333333"/>
      <name val="Arial"/>
      <scheme val="minor"/>
    </font>
    <font>
      <b/>
      <sz val="11.0"/>
      <color rgb="FF767676"/>
      <name val="Arial"/>
    </font>
    <font>
      <sz val="9.0"/>
      <color rgb="FF77D86B"/>
      <name val="&quot;SF Mono&quot;"/>
    </font>
    <font>
      <u/>
      <sz val="11.0"/>
      <color rgb="FF222222"/>
      <name val="Aptos"/>
    </font>
    <font>
      <u/>
      <sz val="11.0"/>
      <color theme="1"/>
      <name val="Arial"/>
      <scheme val="minor"/>
    </font>
    <font>
      <u/>
      <color rgb="FF222222"/>
      <name val="Arial"/>
    </font>
    <font>
      <color rgb="FF1F1F1F"/>
      <name val="Arial"/>
    </font>
    <font>
      <u/>
      <sz val="11.0"/>
      <color rgb="FF0000FF"/>
    </font>
    <font>
      <color rgb="FF000000"/>
      <name val="Helvetica Neue"/>
    </font>
    <font/>
    <font>
      <sz val="11.0"/>
      <color rgb="FF767676"/>
      <name val="Arial"/>
    </font>
    <font>
      <u/>
      <sz val="11.0"/>
      <color rgb="FF0000FF"/>
    </font>
    <font>
      <u/>
      <sz val="11.0"/>
      <color rgb="FF0000FF"/>
      <name val="Calibri"/>
    </font>
    <font>
      <u/>
      <sz val="11.0"/>
      <color rgb="FF0000FF"/>
    </font>
    <font>
      <u/>
      <sz val="11.0"/>
      <color rgb="FF222222"/>
    </font>
    <font>
      <color rgb="FF5E5E5E"/>
      <name val="&quot;Google Sans&quot;"/>
    </font>
    <font>
      <sz val="11.0"/>
      <color rgb="FF5E5E5E"/>
      <name val="Google Sans"/>
    </font>
    <font>
      <u/>
      <sz val="11.0"/>
      <color rgb="FF0000FF"/>
    </font>
    <font>
      <b/>
      <sz val="11.0"/>
      <color rgb="FF767676"/>
      <name val="Arial"/>
      <scheme val="minor"/>
    </font>
    <font>
      <u/>
      <color rgb="FF0000FF"/>
      <name val="Arial"/>
    </font>
    <font>
      <u/>
      <sz val="11.0"/>
      <color rgb="FF000000"/>
      <name val="-apple-system"/>
    </font>
    <font>
      <u/>
      <sz val="11.0"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0F4F9"/>
        <bgColor rgb="FFF0F4F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3CBD2C"/>
        <bgColor rgb="FF3CBD2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/>
    </xf>
    <xf borderId="0" fillId="2" fontId="1" numFmtId="0" xfId="0" applyFill="1" applyFont="1"/>
    <xf borderId="1" fillId="0" fontId="3" numFmtId="0" xfId="0" applyAlignment="1" applyBorder="1" applyFont="1">
      <alignment readingOrder="0" vertical="bottom"/>
    </xf>
    <xf borderId="0" fillId="0" fontId="1" numFmtId="0" xfId="0" applyFont="1"/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readingOrder="0"/>
    </xf>
    <xf borderId="0" fillId="0" fontId="7" numFmtId="0" xfId="0" applyFont="1"/>
    <xf borderId="1" fillId="0" fontId="8" numFmtId="0" xfId="0" applyAlignment="1" applyBorder="1" applyFont="1">
      <alignment readingOrder="0" vertical="bottom"/>
    </xf>
    <xf borderId="0" fillId="4" fontId="5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2" fillId="0" fontId="1" numFmtId="0" xfId="0" applyBorder="1" applyFont="1"/>
    <xf borderId="1" fillId="0" fontId="9" numFmtId="0" xfId="0" applyAlignment="1" applyBorder="1" applyFont="1">
      <alignment vertical="bottom"/>
    </xf>
    <xf borderId="1" fillId="0" fontId="10" numFmtId="0" xfId="0" applyBorder="1" applyFont="1"/>
    <xf borderId="1" fillId="0" fontId="11" numFmtId="0" xfId="0" applyBorder="1" applyFont="1"/>
    <xf borderId="0" fillId="0" fontId="5" numFmtId="0" xfId="0" applyFont="1"/>
    <xf borderId="1" fillId="0" fontId="12" numFmtId="0" xfId="0" applyBorder="1" applyFont="1"/>
    <xf borderId="1" fillId="0" fontId="9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/>
    </xf>
    <xf borderId="1" fillId="0" fontId="13" numFmtId="0" xfId="0" applyBorder="1" applyFont="1"/>
    <xf borderId="1" fillId="3" fontId="12" numFmtId="0" xfId="0" applyAlignment="1" applyBorder="1" applyFill="1" applyFont="1">
      <alignment readingOrder="0"/>
    </xf>
    <xf borderId="0" fillId="0" fontId="12" numFmtId="0" xfId="0" applyFont="1"/>
    <xf borderId="1" fillId="0" fontId="14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vertical="bottom"/>
    </xf>
    <xf borderId="1" fillId="0" fontId="15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vertical="bottom"/>
    </xf>
    <xf borderId="1" fillId="0" fontId="5" numFmtId="0" xfId="0" applyBorder="1" applyFont="1"/>
    <xf borderId="0" fillId="0" fontId="12" numFmtId="0" xfId="0" applyAlignment="1" applyFont="1">
      <alignment vertical="bottom"/>
    </xf>
    <xf borderId="1" fillId="4" fontId="5" numFmtId="0" xfId="0" applyAlignment="1" applyBorder="1" applyFill="1" applyFont="1">
      <alignment readingOrder="0"/>
    </xf>
    <xf borderId="1" fillId="2" fontId="10" numFmtId="0" xfId="0" applyBorder="1" applyFill="1" applyFont="1"/>
    <xf borderId="0" fillId="5" fontId="7" numFmtId="0" xfId="0" applyFill="1" applyFont="1"/>
    <xf borderId="1" fillId="2" fontId="10" numFmtId="0" xfId="0" applyAlignment="1" applyBorder="1" applyFill="1" applyFont="1">
      <alignment readingOrder="0"/>
    </xf>
    <xf borderId="1" fillId="2" fontId="17" numFmtId="0" xfId="0" applyAlignment="1" applyBorder="1" applyFill="1" applyFont="1">
      <alignment readingOrder="0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0" fillId="0" fontId="21" numFmtId="0" xfId="0" applyFont="1"/>
    <xf borderId="1" fillId="2" fontId="22" numFmtId="0" xfId="0" applyAlignment="1" applyBorder="1" applyFill="1" applyFont="1">
      <alignment readingOrder="0" shrinkToFit="0" vertical="top" wrapText="0"/>
    </xf>
    <xf borderId="1" fillId="2" fontId="22" numFmtId="0" xfId="0" applyAlignment="1" applyBorder="1" applyFill="1" applyFont="1">
      <alignment shrinkToFit="0" vertical="top" wrapText="0"/>
    </xf>
    <xf borderId="1" fillId="0" fontId="23" numFmtId="0" xfId="0" applyAlignment="1" applyBorder="1" applyFont="1">
      <alignment shrinkToFit="0" vertical="top" wrapText="0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readingOrder="0" shrinkToFit="0" vertical="bottom" wrapText="0"/>
    </xf>
    <xf borderId="1" fillId="0" fontId="18" numFmtId="0" xfId="0" applyBorder="1" applyFont="1"/>
    <xf borderId="0" fillId="0" fontId="10" numFmtId="0" xfId="0" applyFont="1"/>
    <xf borderId="0" fillId="6" fontId="24" numFmtId="0" xfId="0" applyFill="1" applyFont="1"/>
    <xf borderId="0" fillId="6" fontId="24" numFmtId="0" xfId="0" applyAlignment="1" applyFill="1" applyFont="1">
      <alignment readingOrder="0"/>
    </xf>
    <xf borderId="0" fillId="6" fontId="25" numFmtId="0" xfId="0" applyAlignment="1" applyFill="1" applyFont="1">
      <alignment readingOrder="0"/>
    </xf>
    <xf borderId="0" fillId="6" fontId="25" numFmtId="0" xfId="0" applyFill="1" applyFont="1"/>
    <xf borderId="1" fillId="0" fontId="26" numFmtId="0" xfId="0" applyBorder="1" applyFont="1"/>
    <xf borderId="1" fillId="0" fontId="27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6" fontId="28" numFmtId="0" xfId="0" applyAlignment="1" applyFill="1" applyFont="1">
      <alignment readingOrder="0"/>
    </xf>
    <xf borderId="1" fillId="0" fontId="11" numFmtId="0" xfId="0" applyAlignment="1" applyBorder="1" applyFont="1">
      <alignment vertical="bottom"/>
    </xf>
    <xf borderId="0" fillId="6" fontId="28" numFmtId="0" xfId="0" applyFill="1" applyFont="1"/>
    <xf borderId="1" fillId="0" fontId="15" numFmtId="0" xfId="0" applyAlignment="1" applyBorder="1" applyFont="1">
      <alignment horizontal="left" readingOrder="0" shrinkToFit="0" vertical="bottom" wrapText="0"/>
    </xf>
    <xf borderId="1" fillId="0" fontId="11" numFmtId="0" xfId="0" applyBorder="1" applyFont="1"/>
    <xf borderId="1" fillId="0" fontId="13" numFmtId="0" xfId="0" applyAlignment="1" applyBorder="1" applyFont="1">
      <alignment horizontal="left" readingOrder="0"/>
    </xf>
    <xf borderId="1" fillId="3" fontId="12" numFmtId="0" xfId="0" applyBorder="1" applyFill="1" applyFont="1"/>
    <xf borderId="1" fillId="0" fontId="29" numFmtId="0" xfId="0" applyBorder="1" applyFont="1"/>
    <xf borderId="1" fillId="0" fontId="30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18" numFmtId="0" xfId="0" applyAlignment="1" applyBorder="1" applyFont="1">
      <alignment horizontal="left"/>
    </xf>
    <xf borderId="1" fillId="0" fontId="30" numFmtId="0" xfId="0" applyAlignment="1" applyBorder="1" applyFont="1">
      <alignment readingOrder="0" shrinkToFit="0" vertical="bottom" wrapText="0"/>
    </xf>
    <xf borderId="1" fillId="0" fontId="20" numFmtId="0" xfId="0" applyBorder="1" applyFont="1"/>
    <xf borderId="1" fillId="7" fontId="11" numFmtId="0" xfId="0" applyAlignment="1" applyBorder="1" applyFill="1" applyFont="1">
      <alignment readingOrder="0"/>
    </xf>
    <xf borderId="1" fillId="0" fontId="12" numFmtId="0" xfId="0" applyAlignment="1" applyBorder="1" applyFont="1">
      <alignment horizontal="left"/>
    </xf>
    <xf borderId="1" fillId="0" fontId="31" numFmtId="0" xfId="0" applyAlignment="1" applyBorder="1" applyFont="1">
      <alignment readingOrder="0"/>
    </xf>
    <xf borderId="1" fillId="0" fontId="32" numFmtId="0" xfId="0" applyAlignment="1" applyBorder="1" applyFont="1">
      <alignment vertical="bottom"/>
    </xf>
    <xf borderId="1" fillId="2" fontId="9" numFmtId="0" xfId="0" applyAlignment="1" applyBorder="1" applyFill="1" applyFont="1">
      <alignment vertical="bottom"/>
    </xf>
    <xf borderId="1" fillId="2" fontId="14" numFmtId="0" xfId="0" applyAlignment="1" applyBorder="1" applyFill="1" applyFont="1">
      <alignment readingOrder="0" shrinkToFit="0" vertical="bottom" wrapText="0"/>
    </xf>
    <xf borderId="1" fillId="0" fontId="33" numFmtId="0" xfId="0" applyAlignment="1" applyBorder="1" applyFont="1">
      <alignment vertical="bottom"/>
    </xf>
    <xf borderId="1" fillId="2" fontId="34" numFmtId="0" xfId="0" applyAlignment="1" applyBorder="1" applyFill="1" applyFont="1">
      <alignment readingOrder="0"/>
    </xf>
    <xf borderId="1" fillId="2" fontId="12" numFmtId="0" xfId="0" applyAlignment="1" applyBorder="1" applyFill="1" applyFont="1">
      <alignment readingOrder="0"/>
    </xf>
    <xf borderId="1" fillId="2" fontId="19" numFmtId="0" xfId="0" applyAlignment="1" applyBorder="1" applyFill="1" applyFont="1">
      <alignment readingOrder="0" shrinkToFit="0" vertical="bottom" wrapText="0"/>
    </xf>
    <xf borderId="1" fillId="2" fontId="13" numFmtId="0" xfId="0" applyAlignment="1" applyBorder="1" applyFill="1" applyFont="1">
      <alignment readingOrder="0"/>
    </xf>
    <xf borderId="1" fillId="2" fontId="5" numFmtId="0" xfId="0" applyBorder="1" applyFill="1" applyFont="1"/>
    <xf borderId="1" fillId="2" fontId="13" numFmtId="0" xfId="0" applyBorder="1" applyFill="1" applyFont="1"/>
    <xf borderId="1" fillId="2" fontId="5" numFmtId="0" xfId="0" applyAlignment="1" applyBorder="1" applyFill="1" applyFont="1">
      <alignment readingOrder="0"/>
    </xf>
    <xf borderId="0" fillId="0" fontId="11" numFmtId="0" xfId="0" applyFont="1"/>
    <xf borderId="0" fillId="2" fontId="5" numFmtId="0" xfId="0" applyFill="1" applyFont="1"/>
    <xf borderId="1" fillId="2" fontId="12" numFmtId="0" xfId="0" applyBorder="1" applyFill="1" applyFont="1"/>
    <xf borderId="1" fillId="4" fontId="12" numFmtId="0" xfId="0" applyAlignment="1" applyBorder="1" applyFill="1" applyFont="1">
      <alignment readingOrder="0"/>
    </xf>
    <xf borderId="1" fillId="2" fontId="11" numFmtId="0" xfId="0" applyBorder="1" applyFill="1" applyFont="1"/>
    <xf borderId="1" fillId="0" fontId="30" numFmtId="0" xfId="0" applyAlignment="1" applyBorder="1" applyFont="1">
      <alignment horizontal="left"/>
    </xf>
    <xf borderId="1" fillId="0" fontId="35" numFmtId="0" xfId="0" applyBorder="1" applyFont="1"/>
    <xf borderId="0" fillId="0" fontId="12" numFmtId="0" xfId="0" applyAlignment="1" applyFont="1">
      <alignment readingOrder="0"/>
    </xf>
    <xf borderId="0" fillId="0" fontId="13" numFmtId="0" xfId="0" applyFont="1"/>
    <xf borderId="1" fillId="0" fontId="10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36" numFmtId="0" xfId="0" applyAlignment="1" applyBorder="1" applyFont="1">
      <alignment shrinkToFit="0" vertical="top" wrapText="0"/>
    </xf>
    <xf borderId="1" fillId="0" fontId="22" numFmtId="0" xfId="0" applyAlignment="1" applyBorder="1" applyFont="1">
      <alignment shrinkToFit="0" vertical="top" wrapText="0"/>
    </xf>
    <xf borderId="1" fillId="0" fontId="11" numFmtId="0" xfId="0" applyAlignment="1" applyBorder="1" applyFont="1">
      <alignment shrinkToFit="0" vertical="top" wrapText="0"/>
    </xf>
    <xf borderId="1" fillId="0" fontId="19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1" fillId="0" fontId="37" numFmtId="0" xfId="0" applyAlignment="1" applyBorder="1" applyFont="1">
      <alignment readingOrder="0" shrinkToFit="0" vertical="bottom" wrapText="0"/>
    </xf>
    <xf borderId="1" fillId="0" fontId="38" numFmtId="0" xfId="0" applyAlignment="1" applyBorder="1" applyFont="1">
      <alignment readingOrder="0" vertical="bottom"/>
    </xf>
    <xf borderId="1" fillId="0" fontId="38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/>
    </xf>
    <xf borderId="1" fillId="0" fontId="11" numFmtId="49" xfId="0" applyAlignment="1" applyBorder="1" applyFont="1" applyNumberFormat="1">
      <alignment vertical="bottom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16" numFmtId="0" xfId="0" applyAlignment="1" applyBorder="1" applyFont="1">
      <alignment vertical="bottom"/>
    </xf>
    <xf borderId="1" fillId="0" fontId="10" numFmtId="0" xfId="0" applyAlignment="1" applyBorder="1" applyFont="1">
      <alignment readingOrder="0"/>
    </xf>
    <xf borderId="1" fillId="0" fontId="30" numFmtId="0" xfId="0" applyAlignment="1" applyBorder="1" applyFont="1">
      <alignment horizontal="left" readingOrder="0"/>
    </xf>
    <xf borderId="1" fillId="4" fontId="12" numFmtId="0" xfId="0" applyAlignment="1" applyBorder="1" applyFill="1" applyFont="1">
      <alignment horizontal="left" readingOrder="0"/>
    </xf>
    <xf borderId="1" fillId="4" fontId="12" numFmtId="0" xfId="0" applyBorder="1" applyFill="1" applyFont="1"/>
    <xf borderId="1" fillId="0" fontId="17" numFmtId="0" xfId="0" applyBorder="1" applyFont="1"/>
    <xf borderId="0" fillId="0" fontId="14" numFmtId="0" xfId="0" applyAlignment="1" applyFont="1">
      <alignment readingOrder="0" shrinkToFit="0" vertical="bottom" wrapText="0"/>
    </xf>
    <xf borderId="1" fillId="0" fontId="39" numFmtId="0" xfId="0" applyAlignment="1" applyBorder="1" applyFont="1">
      <alignment readingOrder="0"/>
    </xf>
    <xf borderId="1" fillId="0" fontId="40" numFmtId="0" xfId="0" applyAlignment="1" applyBorder="1" applyFont="1">
      <alignment readingOrder="0"/>
    </xf>
    <xf borderId="0" fillId="0" fontId="30" numFmtId="0" xfId="0" applyAlignment="1" applyFont="1">
      <alignment readingOrder="0" shrinkToFit="0" vertical="bottom" wrapText="0"/>
    </xf>
    <xf borderId="1" fillId="4" fontId="11" numFmtId="0" xfId="0" applyBorder="1" applyFill="1" applyFont="1"/>
    <xf borderId="1" fillId="0" fontId="41" numFmtId="0" xfId="0" applyAlignment="1" applyBorder="1" applyFont="1">
      <alignment horizontal="left" shrinkToFit="0" vertical="top" wrapText="0"/>
    </xf>
    <xf borderId="1" fillId="4" fontId="13" numFmtId="0" xfId="0" applyAlignment="1" applyBorder="1" applyFill="1" applyFont="1">
      <alignment horizontal="left" readingOrder="0"/>
    </xf>
    <xf borderId="1" fillId="0" fontId="11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left" readingOrder="0" shrinkToFit="0" vertical="bottom" wrapText="0"/>
    </xf>
    <xf borderId="1" fillId="3" fontId="13" numFmtId="0" xfId="0" applyAlignment="1" applyBorder="1" applyFill="1" applyFont="1">
      <alignment readingOrder="0"/>
    </xf>
    <xf borderId="1" fillId="0" fontId="42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bottom"/>
    </xf>
    <xf borderId="0" fillId="7" fontId="12" numFmtId="0" xfId="0" applyAlignment="1" applyFill="1" applyFont="1">
      <alignment vertical="bottom"/>
    </xf>
    <xf borderId="1" fillId="0" fontId="10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left" readingOrder="0"/>
    </xf>
    <xf borderId="1" fillId="0" fontId="10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1" fillId="0" fontId="14" numFmtId="0" xfId="0" applyBorder="1" applyFont="1"/>
    <xf borderId="1" fillId="0" fontId="6" numFmtId="0" xfId="0" applyBorder="1" applyFont="1"/>
    <xf borderId="0" fillId="0" fontId="6" numFmtId="0" xfId="0" applyAlignment="1" applyFont="1">
      <alignment readingOrder="0" shrinkToFit="0" vertical="bottom" wrapText="0"/>
    </xf>
    <xf borderId="1" fillId="0" fontId="22" numFmtId="0" xfId="0" applyAlignment="1" applyBorder="1" applyFont="1">
      <alignment readingOrder="0" shrinkToFit="0" vertical="top" wrapText="0"/>
    </xf>
    <xf borderId="1" fillId="0" fontId="41" numFmtId="0" xfId="0" applyAlignment="1" applyBorder="1" applyFont="1">
      <alignment readingOrder="0"/>
    </xf>
    <xf borderId="1" fillId="7" fontId="43" numFmtId="0" xfId="0" applyAlignment="1" applyBorder="1" applyFill="1" applyFont="1">
      <alignment readingOrder="0"/>
    </xf>
    <xf borderId="1" fillId="0" fontId="15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shrinkToFit="0" vertical="bottom" wrapText="0"/>
    </xf>
    <xf borderId="0" fillId="3" fontId="12" numFmtId="0" xfId="0" applyAlignment="1" applyFill="1" applyFont="1">
      <alignment readingOrder="0"/>
    </xf>
    <xf borderId="1" fillId="0" fontId="41" numFmtId="0" xfId="0" applyAlignment="1" applyBorder="1" applyFont="1">
      <alignment horizontal="left" readingOrder="0" shrinkToFit="0" vertical="top" wrapText="0"/>
    </xf>
    <xf borderId="1" fillId="0" fontId="44" numFmtId="0" xfId="0" applyAlignment="1" applyBorder="1" applyFont="1">
      <alignment shrinkToFit="0" vertical="top" wrapText="0"/>
    </xf>
    <xf borderId="1" fillId="0" fontId="44" numFmtId="0" xfId="0" applyAlignment="1" applyBorder="1" applyFont="1">
      <alignment readingOrder="0" shrinkToFit="0" vertical="top" wrapText="0"/>
    </xf>
    <xf borderId="1" fillId="0" fontId="11" numFmtId="0" xfId="0" applyAlignment="1" applyBorder="1" applyFont="1">
      <alignment vertical="bottom"/>
    </xf>
    <xf borderId="1" fillId="0" fontId="45" numFmtId="0" xfId="0" applyBorder="1" applyFont="1"/>
    <xf borderId="1" fillId="0" fontId="46" numFmtId="0" xfId="0" applyAlignment="1" applyBorder="1" applyFont="1">
      <alignment readingOrder="0"/>
    </xf>
    <xf borderId="0" fillId="0" fontId="14" numFmtId="0" xfId="0" applyAlignment="1" applyFont="1">
      <alignment shrinkToFit="0" vertical="bottom" wrapText="0"/>
    </xf>
    <xf borderId="3" fillId="0" fontId="12" numFmtId="0" xfId="0" applyAlignment="1" applyBorder="1" applyFont="1">
      <alignment vertical="bottom"/>
    </xf>
    <xf borderId="1" fillId="0" fontId="13" numFmtId="0" xfId="0" applyAlignment="1" applyBorder="1" applyFont="1">
      <alignment horizontal="left"/>
    </xf>
    <xf borderId="1" fillId="0" fontId="12" numFmtId="0" xfId="0" applyAlignment="1" applyBorder="1" applyFont="1">
      <alignment vertical="bottom"/>
    </xf>
    <xf borderId="1" fillId="7" fontId="43" numFmtId="0" xfId="0" applyAlignment="1" applyBorder="1" applyFill="1" applyFont="1">
      <alignment readingOrder="0"/>
    </xf>
    <xf borderId="1" fillId="0" fontId="30" numFmtId="0" xfId="0" applyBorder="1" applyFont="1"/>
    <xf borderId="1" fillId="0" fontId="47" numFmtId="0" xfId="0" applyAlignment="1" applyBorder="1" applyFont="1">
      <alignment vertical="bottom"/>
    </xf>
    <xf borderId="1" fillId="7" fontId="48" numFmtId="0" xfId="0" applyAlignment="1" applyBorder="1" applyFill="1" applyFont="1">
      <alignment readingOrder="0"/>
    </xf>
    <xf borderId="1" fillId="0" fontId="15" numFmtId="0" xfId="0" applyAlignment="1" applyBorder="1" applyFont="1">
      <alignment readingOrder="0" shrinkToFit="0" vertical="bottom" wrapText="0"/>
    </xf>
    <xf borderId="1" fillId="0" fontId="49" numFmtId="0" xfId="0" applyBorder="1" applyFont="1"/>
    <xf borderId="1" fillId="0" fontId="50" numFmtId="0" xfId="0" applyAlignment="1" applyBorder="1" applyFont="1">
      <alignment vertical="bottom"/>
    </xf>
    <xf borderId="1" fillId="0" fontId="32" numFmtId="0" xfId="0" applyAlignment="1" applyBorder="1" applyFont="1">
      <alignment vertical="bottom"/>
    </xf>
    <xf borderId="1" fillId="0" fontId="43" numFmtId="0" xfId="0" applyAlignment="1" applyBorder="1" applyFont="1">
      <alignment horizontal="left"/>
    </xf>
    <xf borderId="1" fillId="7" fontId="51" numFmtId="0" xfId="0" applyAlignment="1" applyBorder="1" applyFill="1" applyFont="1">
      <alignment readingOrder="0"/>
    </xf>
    <xf borderId="0" fillId="0" fontId="14" numFmtId="0" xfId="0" applyFont="1"/>
    <xf borderId="1" fillId="7" fontId="52" numFmtId="0" xfId="0" applyAlignment="1" applyBorder="1" applyFill="1" applyFont="1">
      <alignment readingOrder="0"/>
    </xf>
    <xf borderId="1" fillId="0" fontId="53" numFmtId="0" xfId="0" applyAlignment="1" applyBorder="1" applyFont="1">
      <alignment horizontal="left" readingOrder="0" shrinkToFit="0" wrapText="0"/>
    </xf>
    <xf borderId="1" fillId="0" fontId="54" numFmtId="0" xfId="0" applyBorder="1" applyFont="1"/>
    <xf borderId="1" fillId="0" fontId="11" numFmtId="0" xfId="0" applyAlignment="1" applyBorder="1" applyFont="1">
      <alignment horizontal="left"/>
    </xf>
    <xf borderId="1" fillId="0" fontId="50" numFmtId="0" xfId="0" applyAlignment="1" applyBorder="1" applyFont="1">
      <alignment readingOrder="0"/>
    </xf>
    <xf borderId="1" fillId="5" fontId="7" numFmtId="0" xfId="0" applyBorder="1" applyFill="1" applyFont="1"/>
    <xf borderId="1" fillId="0" fontId="11" numFmtId="0" xfId="0" applyBorder="1" applyFont="1"/>
    <xf borderId="0" fillId="0" fontId="5" numFmtId="0" xfId="0" applyFont="1"/>
    <xf borderId="1" fillId="0" fontId="55" numFmtId="0" xfId="0" applyAlignment="1" applyBorder="1" applyFont="1">
      <alignment readingOrder="0"/>
    </xf>
    <xf borderId="1" fillId="0" fontId="56" numFmtId="0" xfId="0" applyAlignment="1" applyBorder="1" applyFont="1">
      <alignment vertical="bottom"/>
    </xf>
    <xf borderId="0" fillId="8" fontId="9" numFmtId="0" xfId="0" applyAlignment="1" applyFill="1" applyFont="1">
      <alignment readingOrder="0" vertical="bottom"/>
    </xf>
    <xf borderId="1" fillId="0" fontId="10" numFmtId="164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1" fillId="0" fontId="57" numFmtId="0" xfId="0" applyAlignment="1" applyBorder="1" applyFont="1">
      <alignment readingOrder="0"/>
    </xf>
    <xf borderId="1" fillId="9" fontId="58" numFmtId="0" xfId="0" applyAlignment="1" applyBorder="1" applyFill="1" applyFont="1">
      <alignment readingOrder="0" shrinkToFit="0" wrapText="0"/>
    </xf>
    <xf borderId="1" fillId="7" fontId="59" numFmtId="0" xfId="0" applyAlignment="1" applyBorder="1" applyFill="1" applyFont="1">
      <alignment readingOrder="0"/>
    </xf>
    <xf borderId="0" fillId="0" fontId="30" numFmtId="0" xfId="0" applyAlignment="1" applyFont="1">
      <alignment horizontal="left"/>
    </xf>
    <xf borderId="1" fillId="0" fontId="60" numFmtId="0" xfId="0" applyAlignment="1" applyBorder="1" applyFont="1">
      <alignment vertical="bottom"/>
    </xf>
    <xf borderId="0" fillId="7" fontId="61" numFmtId="0" xfId="0" applyAlignment="1" applyFill="1" applyFont="1">
      <alignment readingOrder="0"/>
    </xf>
    <xf borderId="0" fillId="0" fontId="16" numFmtId="0" xfId="0" applyAlignment="1" applyFont="1">
      <alignment readingOrder="0" vertical="bottom"/>
    </xf>
    <xf borderId="1" fillId="7" fontId="62" numFmtId="0" xfId="0" applyAlignment="1" applyBorder="1" applyFill="1" applyFont="1">
      <alignment readingOrder="0"/>
    </xf>
    <xf borderId="0" fillId="7" fontId="12" numFmtId="0" xfId="0" applyAlignment="1" applyFill="1" applyFont="1">
      <alignment vertical="bottom"/>
    </xf>
    <xf borderId="1" fillId="0" fontId="6" numFmtId="0" xfId="0" applyAlignment="1" applyBorder="1" applyFont="1">
      <alignment readingOrder="0" shrinkToFit="0" vertical="top" wrapText="0"/>
    </xf>
    <xf borderId="0" fillId="0" fontId="11" numFmtId="0" xfId="0" applyAlignment="1" applyFont="1">
      <alignment vertical="bottom"/>
    </xf>
    <xf borderId="1" fillId="0" fontId="63" numFmtId="0" xfId="0" applyAlignment="1" applyBorder="1" applyFont="1">
      <alignment readingOrder="0" shrinkToFit="0" vertical="top" wrapText="0"/>
    </xf>
    <xf borderId="0" fillId="0" fontId="10" numFmtId="0" xfId="0" applyAlignment="1" applyFont="1">
      <alignment vertical="bottom"/>
    </xf>
    <xf borderId="1" fillId="0" fontId="64" numFmtId="0" xfId="0" applyAlignment="1" applyBorder="1" applyFont="1">
      <alignment horizontal="left" shrinkToFit="0" vertical="top" wrapText="0"/>
    </xf>
    <xf borderId="1" fillId="0" fontId="6" numFmtId="0" xfId="0" applyAlignment="1" applyBorder="1" applyFont="1">
      <alignment horizontal="left"/>
    </xf>
    <xf borderId="4" fillId="0" fontId="30" numFmtId="0" xfId="0" applyAlignment="1" applyBorder="1" applyFont="1">
      <alignment readingOrder="0" shrinkToFit="0" vertical="bottom" wrapText="0"/>
    </xf>
    <xf borderId="5" fillId="0" fontId="65" numFmtId="0" xfId="0" applyBorder="1" applyFont="1"/>
    <xf borderId="1" fillId="0" fontId="66" numFmtId="0" xfId="0" applyAlignment="1" applyBorder="1" applyFont="1">
      <alignment readingOrder="0"/>
    </xf>
    <xf borderId="0" fillId="0" fontId="67" numFmtId="0" xfId="0" applyAlignment="1" applyFont="1">
      <alignment shrinkToFit="0" vertical="top" wrapText="0"/>
    </xf>
    <xf borderId="1" fillId="0" fontId="68" numFmtId="0" xfId="0" applyAlignment="1" applyBorder="1" applyFont="1">
      <alignment vertical="bottom"/>
    </xf>
    <xf borderId="1" fillId="0" fontId="36" numFmtId="0" xfId="0" applyAlignment="1" applyBorder="1" applyFont="1">
      <alignment readingOrder="0" shrinkToFit="0" vertical="top" wrapText="0"/>
    </xf>
    <xf borderId="1" fillId="0" fontId="69" numFmtId="0" xfId="0" applyAlignment="1" applyBorder="1" applyFont="1">
      <alignment horizontal="left"/>
    </xf>
    <xf borderId="1" fillId="0" fontId="70" numFmtId="0" xfId="0" applyAlignment="1" applyBorder="1" applyFont="1">
      <alignment vertical="bottom"/>
    </xf>
    <xf borderId="1" fillId="0" fontId="5" numFmtId="0" xfId="0" applyBorder="1" applyFont="1"/>
    <xf borderId="0" fillId="0" fontId="11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8" numFmtId="0" xfId="0" applyFont="1"/>
    <xf borderId="0" fillId="0" fontId="11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6" numFmtId="0" xfId="0" applyFont="1"/>
    <xf borderId="0" fillId="0" fontId="18" numFmtId="0" xfId="0" applyAlignment="1" applyFont="1">
      <alignment horizontal="left"/>
    </xf>
    <xf borderId="1" fillId="7" fontId="71" numFmtId="0" xfId="0" applyAlignment="1" applyBorder="1" applyFill="1" applyFont="1">
      <alignment horizontal="left" readingOrder="0" shrinkToFit="0" vertical="top" wrapText="0"/>
    </xf>
    <xf borderId="1" fillId="0" fontId="10" numFmtId="164" xfId="0" applyBorder="1" applyFont="1" applyNumberFormat="1"/>
    <xf borderId="0" fillId="0" fontId="22" numFmtId="0" xfId="0" applyAlignment="1" applyFont="1">
      <alignment shrinkToFit="0" vertical="top" wrapText="0"/>
    </xf>
    <xf borderId="1" fillId="0" fontId="72" numFmtId="0" xfId="0" applyAlignment="1" applyBorder="1" applyFont="1">
      <alignment vertical="top"/>
    </xf>
    <xf borderId="1" fillId="0" fontId="16" numFmtId="0" xfId="0" applyBorder="1" applyFont="1"/>
    <xf borderId="0" fillId="0" fontId="15" numFmtId="0" xfId="0" applyAlignment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30" numFmtId="0" xfId="0" applyFont="1"/>
    <xf borderId="0" fillId="0" fontId="15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35" numFmtId="0" xfId="0" applyFont="1"/>
    <xf borderId="0" fillId="0" fontId="11" numFmtId="0" xfId="0" applyFont="1"/>
    <xf borderId="0" fillId="0" fontId="73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74" numFmtId="0" xfId="0" applyAlignment="1" applyFont="1">
      <alignment readingOrder="0"/>
    </xf>
    <xf borderId="0" fillId="7" fontId="7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12" numFmtId="0" xfId="0" applyAlignment="1" applyFont="1">
      <alignment horizontal="left"/>
    </xf>
    <xf borderId="0" fillId="0" fontId="20" numFmtId="0" xfId="0" applyAlignment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left"/>
    </xf>
    <xf borderId="0" fillId="0" fontId="11" numFmtId="0" xfId="0" applyAlignment="1" applyFont="1">
      <alignment vertical="top"/>
    </xf>
    <xf borderId="0" fillId="0" fontId="76" numFmtId="0" xfId="0" applyAlignment="1" applyFont="1">
      <alignment readingOrder="0"/>
    </xf>
    <xf borderId="0" fillId="0" fontId="36" numFmtId="0" xfId="0" applyAlignment="1" applyFont="1">
      <alignment shrinkToFit="0" vertical="top" wrapText="0"/>
    </xf>
    <xf borderId="0" fillId="0" fontId="17" numFmtId="0" xfId="0" applyFont="1"/>
    <xf borderId="0" fillId="0" fontId="35" numFmtId="0" xfId="0" applyAlignment="1" applyFont="1">
      <alignment readingOrder="0"/>
    </xf>
    <xf borderId="0" fillId="0" fontId="77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164" xfId="0" applyFont="1" applyNumberFormat="1"/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81b26dc-0a41-4cff-9869-47c0b84fbe8c}">
    <Anchor>
      <Comment id="{c5069e47-0f8f-4e66-9451-d5df656d4e8b}"/>
    </Anchor>
    <History>
      <Event time="2026-07-02T10:58:34.00" id="{a5c16436-8544-41e8-b3c1-92a94c59cf6c}">
        <Attribution userId="placeholder@email.com" userName="Amber Marijs" userProvider="google-sheets"/>
        <Anchor>
          <Comment id="{c5069e47-0f8f-4e66-9451-d5df656d4e8b}"/>
        </Anchor>
        <Create/>
      </Event>
      <Event time="2026-07-02T10:58:34.00" id="{e6abf0ad-d815-427a-9abd-ea35fe4c21c4}">
        <Attribution userId="placeholder@email.com" userName="Amber Marijs" userProvider="google-sheets"/>
        <Anchor>
          <Comment id="{c5069e47-0f8f-4e66-9451-d5df656d4e8b}"/>
        </Anchor>
        <Assign userId="freek@yesdelft.nl" userName="freek@yesdelft.nl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42e1ce6d-1e28-4895-8ca6-36e7af54dd28}">
    <Anchor>
      <Comment id="{8adbd251-02a9-47df-b932-9819809ee581}"/>
    </Anchor>
    <History>
      <Event time="2026-07-13T10:45:48.00" id="{630ca34d-78dd-4df2-a345-22cc209d9c94}">
        <Attribution userId="placeholder@email.com" userName="Amber Marijs" userProvider="google-sheets"/>
        <Anchor>
          <Comment id="{8adbd251-02a9-47df-b932-9819809ee581}"/>
        </Anchor>
        <Create/>
      </Event>
      <Event time="2026-07-13T10:45:48.00" id="{6186842c-efe3-4fe9-8ca2-59aa3ad35124}">
        <Attribution userId="placeholder@email.com" userName="Amber Marijs" userProvider="google-sheets"/>
        <Anchor>
          <Comment id="{8adbd251-02a9-47df-b932-9819809ee581}"/>
        </Anchor>
        <Assign userId="freek@yesdelft.nl" userName="freek@yesdelft.nl" userProvider="google-sheets"/>
      </Event>
    </History>
  </Task>
  <Task id="{86c00651-b2ef-4aa6-87e7-9275811cdb92}">
    <Anchor>
      <Comment id="{ea7bdf58-8306-4bb3-942c-3e2fea0971fa}"/>
    </Anchor>
    <History>
      <Event time="2026-07-13T11:03:02.00" id="{08289366-e1a1-4426-921c-0667ecfaf042}">
        <Attribution userId="placeholder@email.com" userName="Amber Marijs" userProvider="google-sheets"/>
        <Anchor>
          <Comment id="{ea7bdf58-8306-4bb3-942c-3e2fea0971fa}"/>
        </Anchor>
        <Create/>
      </Event>
      <Event time="2026-07-13T11:03:02.00" id="{b3073f90-2ab0-433d-bce0-284306190f48}">
        <Attribution userId="placeholder@email.com" userName="Amber Marijs" userProvider="google-sheets"/>
        <Anchor>
          <Comment id="{ea7bdf58-8306-4bb3-942c-3e2fea0971fa}"/>
        </Anchor>
        <Assign userId="ras@yesdelft.nl" userName="ras@yesdelft.nl" userProvider="google-sheets"/>
      </Event>
    </History>
  </Task>
  <Task id="{b54e7f23-b8b0-4b76-b200-7d1d60b15f01}">
    <Anchor>
      <Comment id="{daec4fcf-bcde-4f7e-afad-cf271fd37417}"/>
    </Anchor>
    <History>
      <Event time="2026-07-15T07:02:15.00" id="{ef7e1733-abcd-4b0f-a7f9-1bc2f0e291e3}">
        <Attribution userId="placeholder@email.com" userName="Amber Marijs" userProvider="google-sheets"/>
        <Anchor>
          <Comment id="{daec4fcf-bcde-4f7e-afad-cf271fd37417}"/>
        </Anchor>
        <Create/>
      </Event>
      <Event time="2026-07-15T07:02:15.00" id="{46db0491-750c-4d8a-a23d-ce9423fb292e}">
        <Attribution userId="placeholder@email.com" userName="Amber Marijs" userProvider="google-sheets"/>
        <Anchor>
          <Comment id="{daec4fcf-bcde-4f7e-afad-cf271fd37417}"/>
        </Anchor>
        <Assign userId="moshe@yesdelft.nl" userName="moshe@yesdelft.nl" userProvider="google-sheets"/>
      </Event>
    </History>
  </Task>
  <Task id="{a7d8c5e5-aa3b-49a2-a0ae-38f7c6fabcc0}">
    <Anchor>
      <Comment id="{60616a44-5643-475d-8c05-f021be43c1fe}"/>
    </Anchor>
    <History>
      <Event time="2026-07-13T11:01:35.00" id="{41ecb824-58c3-49b9-b33c-2e0570e59335}">
        <Attribution userId="placeholder@email.com" userName="Amber Marijs" userProvider="google-sheets"/>
        <Anchor>
          <Comment id="{60616a44-5643-475d-8c05-f021be43c1fe}"/>
        </Anchor>
        <Create/>
      </Event>
      <Event time="2026-07-13T11:01:35.00" id="{0ae2889a-b9ce-4d2a-9d83-ddc83c206739}">
        <Attribution userId="placeholder@email.com" userName="Amber Marijs" userProvider="google-sheets"/>
        <Anchor>
          <Comment id="{60616a44-5643-475d-8c05-f021be43c1fe}"/>
        </Anchor>
        <Assign userId="freek@yesdelft.nl" userName="freek@yesdelft.nl" userProvider="google-sheets"/>
      </Event>
    </History>
  </Task>
  <Task id="{59bc7338-6a9c-4893-a0d7-e668721200de}">
    <Anchor>
      <Comment id="{aaf71fef-4f00-40ac-a931-0d5d4abc1d23}"/>
    </Anchor>
    <History>
      <Event time="2026-07-13T10:59:52.00" id="{b89c95f8-2651-4870-87dd-c470d56d3ccf}">
        <Attribution userId="placeholder@email.com" userName="Amber Marijs" userProvider="google-sheets"/>
        <Anchor>
          <Comment id="{aaf71fef-4f00-40ac-a931-0d5d4abc1d23}"/>
        </Anchor>
        <Create/>
      </Event>
      <Event time="2026-07-13T10:59:52.00" id="{379f5ffe-2288-40ef-b5c3-2e60189f929c}">
        <Attribution userId="placeholder@email.com" userName="Amber Marijs" userProvider="google-sheets"/>
        <Anchor>
          <Comment id="{aaf71fef-4f00-40ac-a931-0d5d4abc1d23}"/>
        </Anchor>
        <Assign userId="freek@yesdelft.nl" userName="freek@yesdelft.nl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reek@yesdelft.nl" id="{58d2e4fb-2379-4c5f-8503-28598e863a0b}" userId="freek@yesdelft.nl" providerId="google-sheets"/>
  <x18tc:person displayName="Freek Smoes" id="{1b02ed85-d820-4bc3-a65a-a6c117a5a442}" providerId="google-sheets"/>
  <x18tc:person displayName="moshe@yesdelft.nl" id="{959373fb-2f97-41f4-b8be-bc7d7b88b3ee}" userId="moshe@yesdelft.nl" providerId="google-sheets"/>
  <x18tc:person displayName="amber@yesdelft.nl" id="{9cd91b69-4674-4029-acb0-d4aadd1afaf6}" userId="amber@yesdelft.nl" providerId="google-sheets"/>
  <x18tc:person displayName="ras@yesdelft.nl" id="{05797cc3-2312-4f6d-b4b1-09788d52f395}" userId="ras@yesdelft.nl" providerId="google-sheets"/>
  <x18tc:person displayName="radena@yesdelft.nl" id="{010d2bc9-2b3a-470f-8f7f-bd889becd6b6}" userId="radena@yesdelft.nl" providerId="google-sheets"/>
  <x18tc:person displayName="Pablo Benéitez" id="{97bf216c-1111-48b3-b88b-b09c3698dde8}" providerId="google-sheets"/>
  <x18tc:person displayName="Amber Marijs" id="{ff9ed2e3-85a5-479f-93cd-6637262b22d5}" providerId="google-sheets"/>
  <x18tc:person displayName="Radena Tsoneva" id="{f86669bf-b6e1-4c1c-8637-afb4c79e8c1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34" dT="2026-07-01T12:28:00.00" personId="{97bf216c-1111-48b3-b88b-b09c3698dde8}" id="{d1c15daa-586d-4dd5-ab89-0e886bcebe43}" done="0">
    <x18tc:text xml:space="preserve">Check with @radena@yesdelft.nl what he wants to do with him, as he is a mentor.</x18tc:text>
    <x18tc:mentions>
      <x18tc:mention mentionpersonId="{010d2bc9-2b3a-470f-8f7f-bd889becd6b6}" mentionId="{778ff45f-655f-4f9a-92df-482b0b398dbc}" startIndex="11" length="19"/>
    </x18tc:mentions>
  </x18tc:threadedComment>
  <x18tc:threadedComment ref="K1091" dT="2026-06-03T08:43:21.00" personId="{ff9ed2e3-85a5-479f-93cd-6637262b22d5}" id="{c45bc6d0-de25-480d-8c70-3dd4b1bfe045}" done="1">
    <x18tc:text xml:space="preserve">@moshe@yesdelft.nl moeten deze uit de lijst of moet er iets veranderd?</x18tc:text>
    <x18tc:mentions>
      <x18tc:mention mentionpersonId="{959373fb-2f97-41f4-b8be-bc7d7b88b3ee}" mentionId="{041a05da-83e0-4629-9597-12402e3ebddd}" startIndex="0" length="18"/>
    </x18tc:mentions>
  </x18tc:threadedComment>
  <x18tc:threadedComment ref="A1" dT="2026-05-26T10:57:57.00" personId="{ff9ed2e3-85a5-479f-93cd-6637262b22d5}" id="{acee1d73-525e-4c6a-b354-2e6e7a9d935c}" done="1">
    <x18tc:text xml:space="preserve">Sophie is weg daar</x18tc:text>
  </x18tc:threadedComment>
  <x18tc:threadedComment ref="B1526" dT="2026-07-01T12:35:35.00" personId="{97bf216c-1111-48b3-b88b-b09c3698dde8}" id="{4a626fd8-8a25-4645-a089-282e0d91bb58}" done="0">
    <x18tc:text xml:space="preserve">@radena@yesdelft.nl , these are mentor who were active in the past. Can I move them to you on the "Connection" column?</x18tc:text>
    <x18tc:mentions>
      <x18tc:mention mentionpersonId="{010d2bc9-2b3a-470f-8f7f-bd889becd6b6}" mentionId="{9ee4bcb6-5c35-4883-b082-aa806d81fe14}" startIndex="0" length="19"/>
    </x18tc:mentions>
  </x18tc:threadedComment>
  <x18tc:threadedComment ref="B1526" dT="2026-07-01T13:50:59.00" personId="{f86669bf-b6e1-4c1c-8637-afb4c79e8c19}" id="{6d3f3bea-8a9d-4538-a387-606999ebb0a7}" parentId="{4a626fd8-8a25-4645-a089-282e0d91bb58}">
    <x18tc:text xml:space="preserve">yes</x18tc:text>
  </x18tc:threadedComment>
  <x18tc:threadedComment ref="E1418" dT="2026-07-02T10:58:34.00" personId="{ff9ed2e3-85a5-479f-93cd-6637262b22d5}" id="{c5069e47-0f8f-4e66-9451-d5df656d4e8b}" done="1">
    <x18tc:text xml:space="preserve">@freek@yesdelft.nl ken je hem?
Assigned to freek@yesdelft.nl</x18tc:text>
    <x18tc:mentions>
      <x18tc:mention mentionpersonId="{58d2e4fb-2379-4c5f-8503-28598e863a0b}" mentionId="{f3a9c889-ea38-44c3-9f0d-b99292fd450d}" startIndex="0" length="18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5-27T14:33:59.00" personId="{97bf216c-1111-48b3-b88b-b09c3698dde8}" id="{a3973540-d56c-4096-9ed9-41230f3f3f8a}" done="0">
    <x18tc:text xml:space="preserve">@amber@yesdelft.nl can we delete leads from this list? if so, this would be one.</x18tc:text>
    <x18tc:mentions>
      <x18tc:mention mentionpersonId="{9cd91b69-4674-4029-acb0-d4aadd1afaf6}" mentionId="{1dcfd9dc-dd30-4070-8a71-235461fd3800}" startIndex="0" length="18"/>
    </x18tc:mentions>
  </x18tc:threadedComment>
  <x18tc:threadedComment ref="C2" dT="2026-06-02T11:14:42.00" personId="{ff9ed2e3-85a5-479f-93cd-6637262b22d5}" id="{6f87e5a0-ff36-4650-bbbc-0561b5cb8c76}" parentId="{a3973540-d56c-4096-9ed9-41230f3f3f8a}">
    <x18tc:text xml:space="preserve">yes</x18tc:text>
  </x18tc:threadedComment>
  <x18tc:threadedComment ref="C2" dT="2026-07-02T12:50:27.00" personId="{1b02ed85-d820-4bc3-a65a-a6c117a5a442}" id="{b53408f1-bfe0-4e7b-a68f-5ac1d815d619}" parentId="{a3973540-d56c-4096-9ed9-41230f3f3f8a}">
    <x18tc:text xml:space="preserve">I hope there is a backup :-)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88" dT="2026-07-13T10:45:48.00" personId="{ff9ed2e3-85a5-479f-93cd-6637262b22d5}" id="{8adbd251-02a9-47df-b932-9819809ee581}" done="1">
    <x18tc:text xml:space="preserve">@freek@yesdelft.nl IS UITGENODIGD
Assigned to freek@yesdelft.nl</x18tc:text>
    <x18tc:mentions>
      <x18tc:mention mentionpersonId="{58d2e4fb-2379-4c5f-8503-28598e863a0b}" mentionId="{f03785fe-461b-42bc-b7e0-850bdf7d9baf}" startIndex="0" length="18"/>
    </x18tc:mentions>
  </x18tc:threadedComment>
  <x18tc:threadedComment ref="M118" dT="2026-07-13T11:03:02.00" personId="{ff9ed2e3-85a5-479f-93cd-6637262b22d5}" id="{ea7bdf58-8306-4bb3-942c-3e2fea0971fa}" done="0">
    <x18tc:text xml:space="preserve">@ras@yesdelft.nl  is dit ok?
Assigned to ras@yesdelft.nl</x18tc:text>
    <x18tc:mentions>
      <x18tc:mention mentionpersonId="{05797cc3-2312-4f6d-b4b1-09788d52f395}" mentionId="{86147145-75ef-443d-bed3-594b9167df5a}" startIndex="0" length="16"/>
    </x18tc:mentions>
  </x18tc:threadedComment>
  <x18tc:threadedComment ref="M14" dT="2026-07-15T07:02:15.00" personId="{ff9ed2e3-85a5-479f-93cd-6637262b22d5}" id="{daec4fcf-bcde-4f7e-afad-cf271fd37417}" done="1">
    <x18tc:text xml:space="preserve">@moshe@yesdelft.nl is het ok dat deze komt?
Assigned to moshe@yesdelft.nl</x18tc:text>
    <x18tc:mentions>
      <x18tc:mention mentionpersonId="{959373fb-2f97-41f4-b8be-bc7d7b88b3ee}" mentionId="{ed117df2-7ef3-471e-b94c-6d266f55a7c5}" startIndex="0" length="18"/>
    </x18tc:mentions>
  </x18tc:threadedComment>
  <x18tc:threadedComment ref="M14" dT="2026-07-16T09:36:37.00" personId="{ff9ed2e3-85a5-479f-93cd-6637262b22d5}" id="{766f140c-07e6-4cea-aca6-c3a21f7921a7}" parentId="{daec4fcf-bcde-4f7e-afad-cf271fd37417}">
    <x18tc:text xml:space="preserve">Actie!?!? @moshe@yesdelft.nl</x18tc:text>
    <x18tc:mentions>
      <x18tc:mention mentionpersonId="{959373fb-2f97-41f4-b8be-bc7d7b88b3ee}" mentionId="{e5ca32d3-818e-43ed-8f81-efa0b8ff7b5a}" startIndex="10" length="18"/>
    </x18tc:mentions>
  </x18tc:threadedComment>
  <x18tc:threadedComment ref="M123" dT="2026-07-13T11:01:35.00" personId="{ff9ed2e3-85a5-479f-93cd-6637262b22d5}" id="{60616a44-5643-475d-8c05-f021be43c1fe}" done="1">
    <x18tc:text xml:space="preserve">@freek@yesdelft.nl
Assigned to freek@yesdelft.nl</x18tc:text>
    <x18tc:mentions>
      <x18tc:mention mentionpersonId="{58d2e4fb-2379-4c5f-8503-28598e863a0b}" mentionId="{5a698f94-719e-41b9-8cca-009ed0e5db21}" startIndex="0" length="18"/>
    </x18tc:mentions>
  </x18tc:threadedComment>
  <x18tc:threadedComment ref="M123" dT="2026-07-16T09:36:19.00" personId="{ff9ed2e3-85a5-479f-93cd-6637262b22d5}" id="{e0a4bbff-eba9-41b9-a651-36e82d62b97d}" parentId="{60616a44-5643-475d-8c05-f021be43c1fe}">
    <x18tc:text xml:space="preserve">is dit oke? @freek@yesdelft.nl</x18tc:text>
    <x18tc:mentions>
      <x18tc:mention mentionpersonId="{58d2e4fb-2379-4c5f-8503-28598e863a0b}" mentionId="{bd26e4d3-53be-435d-961e-5be56cb72b01}" startIndex="12" length="18"/>
    </x18tc:mentions>
  </x18tc:threadedComment>
  <x18tc:threadedComment ref="M123" dT="2026-07-16T09:55:37.00" personId="{1b02ed85-d820-4bc3-a65a-a6c117a5a442}" id="{960fd412-2dea-4233-aa1b-c2f245dcf010}" parentId="{60616a44-5643-475d-8c05-f021be43c1fe}">
    <x18tc:text xml:space="preserve">Zie app, is oud startup scout.. Ja, is goed</x18tc:text>
  </x18tc:threadedComment>
  <x18tc:threadedComment ref="M72" dT="2026-07-13T10:59:52.00" personId="{ff9ed2e3-85a5-479f-93cd-6637262b22d5}" id="{aaf71fef-4f00-40ac-a931-0d5d4abc1d23}" done="1">
    <x18tc:text xml:space="preserve">@freek@yesdelft.nl
Assigned to freek@yesdelft.nl</x18tc:text>
    <x18tc:mentions>
      <x18tc:mention mentionpersonId="{58d2e4fb-2379-4c5f-8503-28598e863a0b}" mentionId="{f93941a7-9b7d-47b1-b9aa-06447e6b2f11}" startIndex="0" length="1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utger@deltasync.nl?bcc=yesdelft4%40pipedrivemail.com" TargetMode="External"/><Relationship Id="rId42" Type="http://schemas.openxmlformats.org/officeDocument/2006/relationships/hyperlink" Target="mailto:sander.vroom@rabobank.nl" TargetMode="External"/><Relationship Id="rId41" Type="http://schemas.openxmlformats.org/officeDocument/2006/relationships/hyperlink" Target="mailto:sander.peltenburg@rabobank.nl" TargetMode="External"/><Relationship Id="rId44" Type="http://schemas.openxmlformats.org/officeDocument/2006/relationships/hyperlink" Target="mailto:balazs.bondici@iseeq.hu" TargetMode="External"/><Relationship Id="rId43" Type="http://schemas.openxmlformats.org/officeDocument/2006/relationships/hyperlink" Target="mailto:tamas.puski@iseeq.co" TargetMode="External"/><Relationship Id="rId46" Type="http://schemas.openxmlformats.org/officeDocument/2006/relationships/hyperlink" Target="mailto:boudewijn@intespring.nl" TargetMode="External"/><Relationship Id="rId45" Type="http://schemas.openxmlformats.org/officeDocument/2006/relationships/hyperlink" Target="mailto:bob@treestle.com" TargetMode="External"/><Relationship Id="rId48" Type="http://schemas.openxmlformats.org/officeDocument/2006/relationships/hyperlink" Target="mailto:david@nif.fund" TargetMode="External"/><Relationship Id="rId47" Type="http://schemas.openxmlformats.org/officeDocument/2006/relationships/hyperlink" Target="mailto:crijnbouman@gmail.com" TargetMode="External"/><Relationship Id="rId49" Type="http://schemas.openxmlformats.org/officeDocument/2006/relationships/hyperlink" Target="mailto:malone.devin@gmail.com" TargetMode="External"/><Relationship Id="rId31" Type="http://schemas.openxmlformats.org/officeDocument/2006/relationships/hyperlink" Target="mailto:cmousaoui@gmail.com?bcc=yesdelft4%40pipedrivemail.com" TargetMode="External"/><Relationship Id="rId30" Type="http://schemas.openxmlformats.org/officeDocument/2006/relationships/hyperlink" Target="mailto:berend.vandenboomen@delfinvest.nl" TargetMode="External"/><Relationship Id="rId33" Type="http://schemas.openxmlformats.org/officeDocument/2006/relationships/hyperlink" Target="mailto:dj@innovationindustries.com" TargetMode="External"/><Relationship Id="rId32" Type="http://schemas.openxmlformats.org/officeDocument/2006/relationships/hyperlink" Target="mailto:veen@maritimetechnology.nl" TargetMode="External"/><Relationship Id="rId35" Type="http://schemas.openxmlformats.org/officeDocument/2006/relationships/hyperlink" Target="mailto:jeroen.mann@mannovation.nl" TargetMode="External"/><Relationship Id="rId34" Type="http://schemas.openxmlformats.org/officeDocument/2006/relationships/hyperlink" Target="mailto:enrique.vervoort@delfinvest.nl" TargetMode="External"/><Relationship Id="rId37" Type="http://schemas.openxmlformats.org/officeDocument/2006/relationships/hyperlink" Target="mailto:michiel.vanstapele@octrooicentrum.nl" TargetMode="External"/><Relationship Id="rId36" Type="http://schemas.openxmlformats.org/officeDocument/2006/relationships/hyperlink" Target="mailto:M.vanderElst@tudelft.nl" TargetMode="External"/><Relationship Id="rId39" Type="http://schemas.openxmlformats.org/officeDocument/2006/relationships/hyperlink" Target="mailto:renze.blokland@fme.nl" TargetMode="External"/><Relationship Id="rId38" Type="http://schemas.openxmlformats.org/officeDocument/2006/relationships/hyperlink" Target="mailto:quentin.vandriel@innoenergy.com" TargetMode="External"/><Relationship Id="rId20" Type="http://schemas.openxmlformats.org/officeDocument/2006/relationships/hyperlink" Target="mailto:Manuela.Cox@twobirds.com" TargetMode="External"/><Relationship Id="rId22" Type="http://schemas.openxmlformats.org/officeDocument/2006/relationships/hyperlink" Target="mailto:fox.matthew18@gmail.com" TargetMode="External"/><Relationship Id="rId21" Type="http://schemas.openxmlformats.org/officeDocument/2006/relationships/hyperlink" Target="mailto:marieke@insight-projects.com" TargetMode="External"/><Relationship Id="rId24" Type="http://schemas.openxmlformats.org/officeDocument/2006/relationships/hyperlink" Target="mailto:rjc.zagers@mindef.nl" TargetMode="External"/><Relationship Id="rId23" Type="http://schemas.openxmlformats.org/officeDocument/2006/relationships/hyperlink" Target="mailto:ricardo.marvao@beta-i.com" TargetMode="External"/><Relationship Id="rId26" Type="http://schemas.openxmlformats.org/officeDocument/2006/relationships/hyperlink" Target="mailto:T.M.vanBruinessen@tudelft.nl" TargetMode="External"/><Relationship Id="rId25" Type="http://schemas.openxmlformats.org/officeDocument/2006/relationships/hyperlink" Target="mailto:sandra.vanheukelom@pelsrijcken.nl" TargetMode="External"/><Relationship Id="rId28" Type="http://schemas.openxmlformats.org/officeDocument/2006/relationships/hyperlink" Target="mailto:wesley.lie-kon-pauw@rabobank.nl" TargetMode="External"/><Relationship Id="rId27" Type="http://schemas.openxmlformats.org/officeDocument/2006/relationships/hyperlink" Target="mailto:T.H.J.J.vanderHagen@tudelft.nl" TargetMode="External"/><Relationship Id="rId29" Type="http://schemas.openxmlformats.org/officeDocument/2006/relationships/hyperlink" Target="mailto:bvc@aldertree.eu" TargetMode="External"/><Relationship Id="rId95" Type="http://schemas.openxmlformats.org/officeDocument/2006/relationships/hyperlink" Target="mailto:wytzedevries@live.nl" TargetMode="External"/><Relationship Id="rId94" Type="http://schemas.openxmlformats.org/officeDocument/2006/relationships/hyperlink" Target="mailto:W.d.vandorsser@gmail.com" TargetMode="External"/><Relationship Id="rId97" Type="http://schemas.openxmlformats.org/officeDocument/2006/relationships/hyperlink" Target="mailto:zachary.cesaro@hymonic.com" TargetMode="External"/><Relationship Id="rId96" Type="http://schemas.openxmlformats.org/officeDocument/2006/relationships/hyperlink" Target="mailto:yannick@ubiops.com" TargetMode="External"/><Relationship Id="rId11" Type="http://schemas.openxmlformats.org/officeDocument/2006/relationships/hyperlink" Target="http://mediadistillery.tv/" TargetMode="External"/><Relationship Id="rId99" Type="http://schemas.openxmlformats.org/officeDocument/2006/relationships/vmlDrawing" Target="../drawings/vmlDrawing1.vml"/><Relationship Id="rId10" Type="http://schemas.openxmlformats.org/officeDocument/2006/relationships/hyperlink" Target="mailto:phuc.vuong@abu-es.com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mailto:Michael.Turley@shell.com" TargetMode="External"/><Relationship Id="rId12" Type="http://schemas.openxmlformats.org/officeDocument/2006/relationships/hyperlink" Target="about:blank" TargetMode="External"/><Relationship Id="rId91" Type="http://schemas.openxmlformats.org/officeDocument/2006/relationships/hyperlink" Target="mailto:tim@treestle.com" TargetMode="External"/><Relationship Id="rId90" Type="http://schemas.openxmlformats.org/officeDocument/2006/relationships/hyperlink" Target="mailto:sdejong@disdrometrics.com" TargetMode="External"/><Relationship Id="rId93" Type="http://schemas.openxmlformats.org/officeDocument/2006/relationships/hyperlink" Target="mailto:william@adinnovations.nl" TargetMode="External"/><Relationship Id="rId92" Type="http://schemas.openxmlformats.org/officeDocument/2006/relationships/hyperlink" Target="mailto:tomas.kemtys@cventures.vc" TargetMode="External"/><Relationship Id="rId15" Type="http://schemas.openxmlformats.org/officeDocument/2006/relationships/hyperlink" Target="mailto:Michael.Turley@shell.com" TargetMode="External"/><Relationship Id="rId14" Type="http://schemas.openxmlformats.org/officeDocument/2006/relationships/hyperlink" Target="mailto:Michael.Turley@shell.com" TargetMode="External"/><Relationship Id="rId17" Type="http://schemas.openxmlformats.org/officeDocument/2006/relationships/hyperlink" Target="mailto:d.waardenburg@pzh.nl" TargetMode="External"/><Relationship Id="rId16" Type="http://schemas.openxmlformats.org/officeDocument/2006/relationships/hyperlink" Target="mailto:secretariaatbiesheuvel@rotterdam.nl" TargetMode="External"/><Relationship Id="rId19" Type="http://schemas.openxmlformats.org/officeDocument/2006/relationships/hyperlink" Target="mailto:j.l.v.woerden@tue.nl" TargetMode="External"/><Relationship Id="rId18" Type="http://schemas.openxmlformats.org/officeDocument/2006/relationships/hyperlink" Target="mailto:Esmee.Ficheroux@csu.nl" TargetMode="External"/><Relationship Id="rId84" Type="http://schemas.openxmlformats.org/officeDocument/2006/relationships/hyperlink" Target="mailto:robingoudappel@hotmail.com" TargetMode="External"/><Relationship Id="rId83" Type="http://schemas.openxmlformats.org/officeDocument/2006/relationships/hyperlink" Target="mailto:robert.van.der.heijden@alliander.com" TargetMode="External"/><Relationship Id="rId86" Type="http://schemas.openxmlformats.org/officeDocument/2006/relationships/hyperlink" Target="mailto:rs.vander.schaaf@pzh.nl" TargetMode="External"/><Relationship Id="rId85" Type="http://schemas.openxmlformats.org/officeDocument/2006/relationships/hyperlink" Target="mailto:rolph@orangeqs.com" TargetMode="External"/><Relationship Id="rId88" Type="http://schemas.openxmlformats.org/officeDocument/2006/relationships/hyperlink" Target="mailto:simon.bosschieter@dixi.nl" TargetMode="External"/><Relationship Id="rId87" Type="http://schemas.openxmlformats.org/officeDocument/2006/relationships/hyperlink" Target="mailto:sebastian.dressen@siemens.com" TargetMode="External"/><Relationship Id="rId89" Type="http://schemas.openxmlformats.org/officeDocument/2006/relationships/hyperlink" Target="mailto:druessler@unternehmertum.de" TargetMode="External"/><Relationship Id="rId80" Type="http://schemas.openxmlformats.org/officeDocument/2006/relationships/hyperlink" Target="mailto:p.m.waasdorp@minezk.nl" TargetMode="External"/><Relationship Id="rId82" Type="http://schemas.openxmlformats.org/officeDocument/2006/relationships/hyperlink" Target="mailto:rqvanderlinde@gmail.com" TargetMode="External"/><Relationship Id="rId81" Type="http://schemas.openxmlformats.org/officeDocument/2006/relationships/hyperlink" Target="mailto:Renate.Langhout@lansingerland.n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bo@bluesparrows.nl?bcc=yesdelft4%40pipedrivemail.com" TargetMode="External"/><Relationship Id="rId9" Type="http://schemas.openxmlformats.org/officeDocument/2006/relationships/hyperlink" Target="mailto:patrick@mobbr.com" TargetMode="External"/><Relationship Id="rId5" Type="http://schemas.openxmlformats.org/officeDocument/2006/relationships/hyperlink" Target="mailto:patrick@mobbr.com" TargetMode="External"/><Relationship Id="rId6" Type="http://schemas.openxmlformats.org/officeDocument/2006/relationships/hyperlink" Target="mailto:gj@dutchcoastsoftware.com" TargetMode="External"/><Relationship Id="rId7" Type="http://schemas.openxmlformats.org/officeDocument/2006/relationships/hyperlink" Target="mailto:mark.appels@abu-es.com" TargetMode="External"/><Relationship Id="rId8" Type="http://schemas.openxmlformats.org/officeDocument/2006/relationships/hyperlink" Target="mailto:n.cila@tudelft.com" TargetMode="External"/><Relationship Id="rId73" Type="http://schemas.openxmlformats.org/officeDocument/2006/relationships/hyperlink" Target="mailto:martin@vanrijn.info" TargetMode="External"/><Relationship Id="rId72" Type="http://schemas.openxmlformats.org/officeDocument/2006/relationships/hyperlink" Target="mailto:martin@unknowngroup.com" TargetMode="External"/><Relationship Id="rId75" Type="http://schemas.openxmlformats.org/officeDocument/2006/relationships/hyperlink" Target="mailto:derochemont@rsm.nl" TargetMode="External"/><Relationship Id="rId74" Type="http://schemas.openxmlformats.org/officeDocument/2006/relationships/hyperlink" Target="https://yesdelft4.pipedrive.com/organization/933" TargetMode="External"/><Relationship Id="rId77" Type="http://schemas.openxmlformats.org/officeDocument/2006/relationships/hyperlink" Target="mailto:gulleroglumert@gmail.com?bcc=yesdelft4%40pipedrivemail.com" TargetMode="External"/><Relationship Id="rId76" Type="http://schemas.openxmlformats.org/officeDocument/2006/relationships/hyperlink" Target="mailto:mlbeaumont@gmail.com" TargetMode="External"/><Relationship Id="rId79" Type="http://schemas.openxmlformats.org/officeDocument/2006/relationships/hyperlink" Target="mailto:broersenpm@gmail.com" TargetMode="External"/><Relationship Id="rId78" Type="http://schemas.openxmlformats.org/officeDocument/2006/relationships/hyperlink" Target="mailto:patrick.de.ruiter@rabobank.nl" TargetMode="External"/><Relationship Id="rId71" Type="http://schemas.openxmlformats.org/officeDocument/2006/relationships/hyperlink" Target="mailto:marijn.fraanje@denhaag.nl" TargetMode="External"/><Relationship Id="rId70" Type="http://schemas.openxmlformats.org/officeDocument/2006/relationships/hyperlink" Target="mailto:m.stijkel@bluecity.nl" TargetMode="External"/><Relationship Id="rId62" Type="http://schemas.openxmlformats.org/officeDocument/2006/relationships/hyperlink" Target="mailto:koen.vogel@portxl.org" TargetMode="External"/><Relationship Id="rId61" Type="http://schemas.openxmlformats.org/officeDocument/2006/relationships/hyperlink" Target="mailto:jourischoemaker@gmail.com?bcc=yesdelft4%40pipedrivemail.com" TargetMode="External"/><Relationship Id="rId64" Type="http://schemas.openxmlformats.org/officeDocument/2006/relationships/hyperlink" Target="mailto:H.deVoogd-Claessen@tudelft.nl" TargetMode="External"/><Relationship Id="rId63" Type="http://schemas.openxmlformats.org/officeDocument/2006/relationships/hyperlink" Target="mailto:L.M.Langhorst@tudelft.nl" TargetMode="External"/><Relationship Id="rId66" Type="http://schemas.openxmlformats.org/officeDocument/2006/relationships/hyperlink" Target="mailto:lisaeric@kth.se" TargetMode="External"/><Relationship Id="rId65" Type="http://schemas.openxmlformats.org/officeDocument/2006/relationships/hyperlink" Target="mailto:didier.limpens@innovationquarter.nl" TargetMode="External"/><Relationship Id="rId68" Type="http://schemas.openxmlformats.org/officeDocument/2006/relationships/hyperlink" Target="mailto:lschrover@tdvg.nl" TargetMode="External"/><Relationship Id="rId67" Type="http://schemas.openxmlformats.org/officeDocument/2006/relationships/hyperlink" Target="mailto:lonnekehendrikxwesthoff@loop-biotech.com" TargetMode="External"/><Relationship Id="rId60" Type="http://schemas.openxmlformats.org/officeDocument/2006/relationships/hyperlink" Target="mailto:joost.vette@tno.nl" TargetMode="External"/><Relationship Id="rId69" Type="http://schemas.openxmlformats.org/officeDocument/2006/relationships/hyperlink" Target="mailto:m.rejen@chello.nl" TargetMode="External"/><Relationship Id="rId51" Type="http://schemas.openxmlformats.org/officeDocument/2006/relationships/hyperlink" Target="mailto:elena.marselis@gmail.com" TargetMode="External"/><Relationship Id="rId50" Type="http://schemas.openxmlformats.org/officeDocument/2006/relationships/hyperlink" Target="mailto:eddie@eddievanbreukelen.nl" TargetMode="External"/><Relationship Id="rId53" Type="http://schemas.openxmlformats.org/officeDocument/2006/relationships/hyperlink" Target="mailto:frankanema@gmail.com" TargetMode="External"/><Relationship Id="rId52" Type="http://schemas.openxmlformats.org/officeDocument/2006/relationships/hyperlink" Target="mailto:ellen.vanschoten@eur.nl" TargetMode="External"/><Relationship Id="rId55" Type="http://schemas.openxmlformats.org/officeDocument/2006/relationships/hyperlink" Target="mailto:graham.smithwebchair@gmail.com" TargetMode="External"/><Relationship Id="rId54" Type="http://schemas.openxmlformats.org/officeDocument/2006/relationships/hyperlink" Target="mailto:frederic.petrignani@gmail.com" TargetMode="External"/><Relationship Id="rId57" Type="http://schemas.openxmlformats.org/officeDocument/2006/relationships/hyperlink" Target="mailto:Isidro.LASO@ec.europa.eu" TargetMode="External"/><Relationship Id="rId56" Type="http://schemas.openxmlformats.org/officeDocument/2006/relationships/hyperlink" Target="mailto:hans.quivooij@damen.com" TargetMode="External"/><Relationship Id="rId59" Type="http://schemas.openxmlformats.org/officeDocument/2006/relationships/hyperlink" Target="mailto:jw.heinen@v2-capiltal.nl" TargetMode="External"/><Relationship Id="rId58" Type="http://schemas.openxmlformats.org/officeDocument/2006/relationships/hyperlink" Target="mailto:jakob@nosuchventures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mailto:rodney.goijer@rabobank.nl" TargetMode="External"/><Relationship Id="rId12" Type="http://schemas.openxmlformats.org/officeDocument/2006/relationships/vmlDrawing" Target="../drawings/vmlDrawing2.v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Claire.Rutteman@shell.com" TargetMode="External"/><Relationship Id="rId9" Type="http://schemas.openxmlformats.org/officeDocument/2006/relationships/hyperlink" Target="mailto:patrick.van.der.toorn@rabobank.nl" TargetMode="External"/><Relationship Id="rId5" Type="http://schemas.openxmlformats.org/officeDocument/2006/relationships/hyperlink" Target="mailto:anastasia.bhadai@rabobank.nl" TargetMode="External"/><Relationship Id="rId6" Type="http://schemas.openxmlformats.org/officeDocument/2006/relationships/hyperlink" Target="mailto:danny.winkel@rabobank.nl" TargetMode="External"/><Relationship Id="rId7" Type="http://schemas.openxmlformats.org/officeDocument/2006/relationships/hyperlink" Target="mailto:Evelien.de.kort@rabobank.nl" TargetMode="External"/><Relationship Id="rId8" Type="http://schemas.openxmlformats.org/officeDocument/2006/relationships/hyperlink" Target="mailto:marius.hovius@rabobank.nl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vmlDrawing" Target="../drawings/vmlDrawing3.vml"/><Relationship Id="rId10" Type="http://schemas.openxmlformats.org/officeDocument/2006/relationships/drawing" Target="../drawings/drawing3.xm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://www.baatmedical.com" TargetMode="External"/><Relationship Id="rId9" Type="http://schemas.openxmlformats.org/officeDocument/2006/relationships/hyperlink" Target="http://aanmelder.nl" TargetMode="External"/><Relationship Id="rId5" Type="http://schemas.openxmlformats.org/officeDocument/2006/relationships/hyperlink" Target="http://npex.nl" TargetMode="External"/><Relationship Id="rId6" Type="http://schemas.openxmlformats.org/officeDocument/2006/relationships/hyperlink" Target="http://moveenergy.vc" TargetMode="External"/><Relationship Id="rId7" Type="http://schemas.openxmlformats.org/officeDocument/2006/relationships/hyperlink" Target="http://spore.bi" TargetMode="External"/><Relationship Id="rId8" Type="http://schemas.openxmlformats.org/officeDocument/2006/relationships/hyperlink" Target="http://www.baatmedica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75"/>
    <col customWidth="1" min="2" max="2" width="19.63"/>
    <col customWidth="1" min="3" max="3" width="10.75"/>
    <col customWidth="1" min="4" max="4" width="19.13"/>
    <col customWidth="1" min="5" max="5" width="36.63"/>
    <col customWidth="1" min="6" max="6" width="21.13"/>
    <col customWidth="1" min="7" max="7" width="17.25"/>
    <col customWidth="1" min="8" max="8" width="25.5"/>
    <col customWidth="1" min="9" max="9" width="8.88"/>
    <col customWidth="1" min="10" max="10" width="10.0"/>
    <col customWidth="1" min="11" max="11" width="10.75"/>
    <col customWidth="1" min="12" max="12" width="52.63"/>
    <col customWidth="1" min="13" max="13" width="50.75"/>
    <col customWidth="1" min="14" max="14" width="14.38"/>
    <col customWidth="1" min="15" max="15" width="20.0"/>
    <col customWidth="1" min="16" max="31" width="8.63"/>
  </cols>
  <sheetData>
    <row r="1" ht="12.75" customHeight="1">
      <c r="A1" s="2" t="s">
        <v>1</v>
      </c>
      <c r="B1" s="4" t="str">
        <f t="array" ref="B1:B1845">IF(ISBLANK(C1:C1845), "", TRIM(C1:C1845 &amp; " " &amp; D1:D1845))</f>
        <v>Name1 Name 2</v>
      </c>
      <c r="C1" s="6" t="s">
        <v>4</v>
      </c>
      <c r="D1" s="6" t="s">
        <v>5</v>
      </c>
      <c r="E1" s="8" t="s">
        <v>6</v>
      </c>
      <c r="F1" s="4" t="s">
        <v>7</v>
      </c>
      <c r="G1" s="10" t="s">
        <v>8</v>
      </c>
      <c r="H1" s="4" t="s">
        <v>9</v>
      </c>
      <c r="I1" s="4" t="s">
        <v>25</v>
      </c>
      <c r="J1" s="4" t="s">
        <v>26</v>
      </c>
      <c r="K1" s="12" t="s">
        <v>11</v>
      </c>
      <c r="L1" s="13" t="s">
        <v>28</v>
      </c>
      <c r="M1" s="25" t="s">
        <v>30</v>
      </c>
      <c r="N1" s="26" t="str">
        <f>VLOOKUP(B1,'MTS 2026 registrations'!A:A,1,false)</f>
        <v>#N/A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12.75" customHeight="1">
      <c r="A2" s="19" t="str">
        <f t="shared" ref="A2:A849" si="1">B2&amp;" "&amp;F2</f>
        <v>Aabharan Hemanth Myst Works</v>
      </c>
      <c r="B2" s="19" t="s">
        <v>36</v>
      </c>
      <c r="C2" s="29" t="s">
        <v>39</v>
      </c>
      <c r="D2" s="29" t="s">
        <v>40</v>
      </c>
      <c r="E2" s="31" t="s">
        <v>42</v>
      </c>
      <c r="F2" s="33" t="s">
        <v>44</v>
      </c>
      <c r="G2" s="32" t="s">
        <v>46</v>
      </c>
      <c r="H2" s="25" t="s">
        <v>47</v>
      </c>
      <c r="I2" s="34"/>
      <c r="J2" s="35" t="s">
        <v>49</v>
      </c>
      <c r="K2" s="27" t="s">
        <v>50</v>
      </c>
      <c r="L2" s="36" t="s">
        <v>51</v>
      </c>
      <c r="M2" s="26" t="str">
        <f>VLOOKUP(E2,'MTS 2026 registrations'!B:B,1,false)</f>
        <v>#N/A</v>
      </c>
      <c r="N2" s="26" t="str">
        <f>VLOOKUP(B2,'MTS 2026 registrations'!A:A,1,false)</f>
        <v>#N/A</v>
      </c>
      <c r="O2" s="38" t="str">
        <f t="shared" ref="O2:O989" si="2">IF(AND(ISNA(M2), ISNA(N2)), "Marked", "")</f>
        <v>Marked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</row>
    <row r="3" ht="12.75" customHeight="1">
      <c r="A3" s="19" t="str">
        <f t="shared" si="1"/>
        <v>Adnan Tunovic Mungosworks</v>
      </c>
      <c r="B3" s="19" t="s">
        <v>68</v>
      </c>
      <c r="C3" s="43" t="s">
        <v>70</v>
      </c>
      <c r="D3" s="43" t="s">
        <v>72</v>
      </c>
      <c r="E3" s="31" t="s">
        <v>73</v>
      </c>
      <c r="F3" s="33" t="s">
        <v>74</v>
      </c>
      <c r="G3" s="44" t="s">
        <v>46</v>
      </c>
      <c r="H3" s="25" t="s">
        <v>47</v>
      </c>
      <c r="I3" s="34"/>
      <c r="J3" s="35" t="s">
        <v>75</v>
      </c>
      <c r="K3" s="27" t="s">
        <v>50</v>
      </c>
      <c r="L3" s="36" t="s">
        <v>51</v>
      </c>
      <c r="M3" s="26" t="str">
        <f>VLOOKUP(E3,'MTS 2026 registrations'!B:B,1,false)</f>
        <v>#N/A</v>
      </c>
      <c r="N3" s="26" t="str">
        <f>VLOOKUP(B3,'MTS 2026 registrations'!A:A,1,false)</f>
        <v>#N/A</v>
      </c>
      <c r="O3" s="38" t="str">
        <f t="shared" si="2"/>
        <v>Marked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23"/>
      <c r="AE3" s="23"/>
    </row>
    <row r="4" ht="12.75" customHeight="1">
      <c r="A4" s="19" t="str">
        <f t="shared" si="1"/>
        <v>Ahmed Mohamedali conical</v>
      </c>
      <c r="B4" s="19" t="s">
        <v>79</v>
      </c>
      <c r="C4" s="20" t="s">
        <v>80</v>
      </c>
      <c r="D4" s="20" t="s">
        <v>81</v>
      </c>
      <c r="E4" s="21" t="s">
        <v>82</v>
      </c>
      <c r="F4" s="23" t="s">
        <v>83</v>
      </c>
      <c r="G4" s="32" t="s">
        <v>46</v>
      </c>
      <c r="H4" s="25" t="s">
        <v>47</v>
      </c>
      <c r="I4" s="26"/>
      <c r="J4" s="35" t="s">
        <v>84</v>
      </c>
      <c r="K4" s="27" t="s">
        <v>50</v>
      </c>
      <c r="L4" s="36" t="s">
        <v>51</v>
      </c>
      <c r="M4" s="26" t="str">
        <f>VLOOKUP(E4,'MTS 2026 registrations'!B:B,1,false)</f>
        <v>#N/A</v>
      </c>
      <c r="N4" s="26" t="str">
        <f>VLOOKUP(B4,'MTS 2026 registrations'!A:A,1,false)</f>
        <v>#N/A</v>
      </c>
      <c r="O4" s="38" t="str">
        <f t="shared" si="2"/>
        <v>Marked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2.75" customHeight="1">
      <c r="A5" s="19" t="str">
        <f t="shared" si="1"/>
        <v>Ahmed Faramawy Infinipipe</v>
      </c>
      <c r="B5" s="19" t="s">
        <v>89</v>
      </c>
      <c r="C5" s="43" t="s">
        <v>80</v>
      </c>
      <c r="D5" s="43" t="s">
        <v>90</v>
      </c>
      <c r="E5" s="31" t="s">
        <v>91</v>
      </c>
      <c r="F5" s="33" t="s">
        <v>92</v>
      </c>
      <c r="G5" s="51" t="s">
        <v>46</v>
      </c>
      <c r="H5" s="25" t="s">
        <v>47</v>
      </c>
      <c r="I5" s="34"/>
      <c r="J5" s="35" t="s">
        <v>93</v>
      </c>
      <c r="K5" s="27" t="s">
        <v>50</v>
      </c>
      <c r="L5" s="36" t="s">
        <v>51</v>
      </c>
      <c r="M5" s="26" t="str">
        <f>VLOOKUP(E5,'MTS 2026 registrations'!B:B,1,false)</f>
        <v>#N/A</v>
      </c>
      <c r="N5" s="26" t="str">
        <f>VLOOKUP(B5,'MTS 2026 registrations'!A:A,1,false)</f>
        <v>#N/A</v>
      </c>
      <c r="O5" s="38" t="str">
        <f t="shared" si="2"/>
        <v>Marked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</row>
    <row r="6" ht="12.75" customHeight="1">
      <c r="A6" s="19" t="str">
        <f t="shared" si="1"/>
        <v>Akarsh Gopal Myst Works</v>
      </c>
      <c r="B6" s="19" t="s">
        <v>99</v>
      </c>
      <c r="C6" s="29" t="s">
        <v>100</v>
      </c>
      <c r="D6" s="29" t="s">
        <v>101</v>
      </c>
      <c r="E6" s="31" t="s">
        <v>102</v>
      </c>
      <c r="F6" s="33" t="s">
        <v>44</v>
      </c>
      <c r="G6" s="32" t="s">
        <v>46</v>
      </c>
      <c r="H6" s="25" t="s">
        <v>47</v>
      </c>
      <c r="I6" s="34"/>
      <c r="J6" s="35" t="s">
        <v>103</v>
      </c>
      <c r="K6" s="27" t="s">
        <v>50</v>
      </c>
      <c r="L6" s="36" t="s">
        <v>51</v>
      </c>
      <c r="M6" s="26" t="str">
        <f>VLOOKUP(E6,'MTS 2026 registrations'!B:B,1,false)</f>
        <v>#N/A</v>
      </c>
      <c r="N6" s="26" t="str">
        <f>VLOOKUP(B6,'MTS 2026 registrations'!A:A,1,false)</f>
        <v>#N/A</v>
      </c>
      <c r="O6" s="38" t="str">
        <f t="shared" si="2"/>
        <v>Marked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23"/>
      <c r="AE6" s="23"/>
    </row>
    <row r="7" ht="12.75" customHeight="1">
      <c r="A7" s="19" t="str">
        <f t="shared" si="1"/>
        <v>Akash Parmesar olympian</v>
      </c>
      <c r="B7" s="19" t="s">
        <v>112</v>
      </c>
      <c r="C7" s="20" t="s">
        <v>113</v>
      </c>
      <c r="D7" s="20" t="s">
        <v>114</v>
      </c>
      <c r="E7" s="21" t="s">
        <v>115</v>
      </c>
      <c r="F7" s="23" t="s">
        <v>118</v>
      </c>
      <c r="G7" s="44" t="s">
        <v>46</v>
      </c>
      <c r="H7" s="25" t="s">
        <v>47</v>
      </c>
      <c r="I7" s="23"/>
      <c r="J7" s="35" t="s">
        <v>120</v>
      </c>
      <c r="K7" s="27" t="s">
        <v>50</v>
      </c>
      <c r="L7" s="36" t="s">
        <v>51</v>
      </c>
      <c r="M7" s="26" t="str">
        <f>VLOOKUP(E7,'MTS 2026 registrations'!B:B,1,false)</f>
        <v>#N/A</v>
      </c>
      <c r="N7" s="26" t="str">
        <f>VLOOKUP(B7,'MTS 2026 registrations'!A:A,1,false)</f>
        <v>#N/A</v>
      </c>
      <c r="O7" s="38" t="str">
        <f t="shared" si="2"/>
        <v>Marked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2.75" customHeight="1">
      <c r="A8" s="19" t="str">
        <f t="shared" si="1"/>
        <v>Amir Piltan sporebi</v>
      </c>
      <c r="B8" s="19" t="s">
        <v>127</v>
      </c>
      <c r="C8" s="20" t="s">
        <v>129</v>
      </c>
      <c r="D8" s="53" t="s">
        <v>130</v>
      </c>
      <c r="E8" s="21" t="s">
        <v>131</v>
      </c>
      <c r="F8" s="23" t="s">
        <v>132</v>
      </c>
      <c r="G8" s="44" t="s">
        <v>46</v>
      </c>
      <c r="H8" s="25" t="s">
        <v>47</v>
      </c>
      <c r="I8" s="23"/>
      <c r="J8" s="35" t="s">
        <v>133</v>
      </c>
      <c r="K8" s="27" t="s">
        <v>50</v>
      </c>
      <c r="L8" s="36" t="s">
        <v>51</v>
      </c>
      <c r="M8" s="26" t="str">
        <f>VLOOKUP(E8,'MTS 2026 registrations'!B:B,1,false)</f>
        <v>#N/A</v>
      </c>
      <c r="N8" s="26" t="str">
        <f>VLOOKUP(B8,'MTS 2026 registrations'!A:A,1,false)</f>
        <v>#N/A</v>
      </c>
      <c r="O8" s="38" t="str">
        <f t="shared" si="2"/>
        <v>Marked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2.75" customHeight="1">
      <c r="A9" s="19" t="str">
        <f t="shared" si="1"/>
        <v>Andre Cossee Anything Connected</v>
      </c>
      <c r="B9" s="19" t="s">
        <v>151</v>
      </c>
      <c r="C9" s="43" t="s">
        <v>154</v>
      </c>
      <c r="D9" s="43" t="s">
        <v>155</v>
      </c>
      <c r="E9" s="31" t="s">
        <v>157</v>
      </c>
      <c r="F9" s="59" t="s">
        <v>160</v>
      </c>
      <c r="G9" s="44" t="s">
        <v>46</v>
      </c>
      <c r="H9" s="25" t="s">
        <v>47</v>
      </c>
      <c r="I9" s="34"/>
      <c r="J9" s="35" t="s">
        <v>168</v>
      </c>
      <c r="K9" s="27" t="s">
        <v>50</v>
      </c>
      <c r="L9" s="36" t="s">
        <v>51</v>
      </c>
      <c r="M9" s="26" t="str">
        <f>VLOOKUP(E9,'MTS 2026 registrations'!B:B,1,false)</f>
        <v>#N/A</v>
      </c>
      <c r="N9" s="26" t="str">
        <f>VLOOKUP(B9,'MTS 2026 registrations'!A:A,1,false)</f>
        <v>#N/A</v>
      </c>
      <c r="O9" s="38" t="str">
        <f t="shared" si="2"/>
        <v>Marked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23"/>
      <c r="AE9" s="23"/>
    </row>
    <row r="10" ht="12.75" customHeight="1">
      <c r="A10" s="19" t="str">
        <f t="shared" si="1"/>
        <v>Andreas Schmidt-Ott tudelft</v>
      </c>
      <c r="B10" s="19" t="s">
        <v>193</v>
      </c>
      <c r="C10" s="20" t="s">
        <v>194</v>
      </c>
      <c r="D10" s="20" t="s">
        <v>196</v>
      </c>
      <c r="E10" s="21" t="s">
        <v>198</v>
      </c>
      <c r="F10" s="26" t="s">
        <v>184</v>
      </c>
      <c r="G10" s="44" t="s">
        <v>46</v>
      </c>
      <c r="H10" s="25" t="s">
        <v>47</v>
      </c>
      <c r="I10" s="26"/>
      <c r="J10" s="35" t="s">
        <v>204</v>
      </c>
      <c r="K10" s="27" t="s">
        <v>50</v>
      </c>
      <c r="L10" s="36" t="s">
        <v>51</v>
      </c>
      <c r="M10" s="26" t="str">
        <f>VLOOKUP(E10,'MTS 2026 registrations'!B:B,1,false)</f>
        <v>#N/A</v>
      </c>
      <c r="N10" s="26" t="str">
        <f>VLOOKUP(B10,'MTS 2026 registrations'!A:A,1,false)</f>
        <v>#N/A</v>
      </c>
      <c r="O10" s="38" t="str">
        <f t="shared" si="2"/>
        <v>Marked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 ht="12.75" customHeight="1">
      <c r="A11" s="19" t="str">
        <f t="shared" si="1"/>
        <v>Angelique Nederlof rdgg</v>
      </c>
      <c r="B11" s="19" t="s">
        <v>233</v>
      </c>
      <c r="C11" s="20" t="s">
        <v>235</v>
      </c>
      <c r="D11" s="20" t="s">
        <v>236</v>
      </c>
      <c r="E11" s="21" t="s">
        <v>238</v>
      </c>
      <c r="F11" s="23" t="s">
        <v>240</v>
      </c>
      <c r="G11" s="51" t="s">
        <v>225</v>
      </c>
      <c r="H11" s="25" t="s">
        <v>47</v>
      </c>
      <c r="I11" s="23"/>
      <c r="J11" s="35" t="s">
        <v>243</v>
      </c>
      <c r="K11" s="27" t="s">
        <v>50</v>
      </c>
      <c r="L11" s="36" t="s">
        <v>51</v>
      </c>
      <c r="M11" s="26" t="str">
        <f>VLOOKUP(E11,'MTS 2026 registrations'!B:B,1,false)</f>
        <v>#N/A</v>
      </c>
      <c r="N11" s="26" t="str">
        <f>VLOOKUP(B11,'MTS 2026 registrations'!A:A,1,false)</f>
        <v>#N/A</v>
      </c>
      <c r="O11" s="38" t="str">
        <f t="shared" si="2"/>
        <v>Marked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34"/>
      <c r="AE11" s="34"/>
    </row>
    <row r="12" ht="12.75" customHeight="1">
      <c r="A12" s="19" t="str">
        <f t="shared" si="1"/>
        <v>Anthony Thirkettle giaura</v>
      </c>
      <c r="B12" s="19" t="s">
        <v>264</v>
      </c>
      <c r="C12" s="20" t="s">
        <v>265</v>
      </c>
      <c r="D12" s="53" t="s">
        <v>266</v>
      </c>
      <c r="E12" s="21" t="s">
        <v>267</v>
      </c>
      <c r="F12" s="23" t="s">
        <v>268</v>
      </c>
      <c r="G12" s="44" t="s">
        <v>46</v>
      </c>
      <c r="H12" s="25" t="s">
        <v>47</v>
      </c>
      <c r="I12" s="23"/>
      <c r="J12" s="35" t="s">
        <v>272</v>
      </c>
      <c r="K12" s="27" t="s">
        <v>50</v>
      </c>
      <c r="L12" s="36" t="s">
        <v>51</v>
      </c>
      <c r="M12" s="26" t="str">
        <f>VLOOKUP(E12,'MTS 2026 registrations'!B:B,1,false)</f>
        <v>#N/A</v>
      </c>
      <c r="N12" s="26" t="str">
        <f>VLOOKUP(B12,'MTS 2026 registrations'!A:A,1,false)</f>
        <v>#N/A</v>
      </c>
      <c r="O12" s="38" t="str">
        <f t="shared" si="2"/>
        <v>Marked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 ht="12.75" customHeight="1">
      <c r="A13" s="19" t="str">
        <f t="shared" si="1"/>
        <v>Arjan Oudshoorn delftab</v>
      </c>
      <c r="B13" s="19" t="s">
        <v>279</v>
      </c>
      <c r="C13" s="20" t="s">
        <v>280</v>
      </c>
      <c r="D13" s="20" t="s">
        <v>281</v>
      </c>
      <c r="E13" s="21" t="s">
        <v>282</v>
      </c>
      <c r="F13" s="23" t="s">
        <v>283</v>
      </c>
      <c r="G13" s="44" t="s">
        <v>46</v>
      </c>
      <c r="H13" s="25" t="s">
        <v>47</v>
      </c>
      <c r="I13" s="34"/>
      <c r="J13" s="35" t="s">
        <v>287</v>
      </c>
      <c r="K13" s="27" t="s">
        <v>50</v>
      </c>
      <c r="L13" s="36" t="s">
        <v>51</v>
      </c>
      <c r="M13" s="26" t="str">
        <f>VLOOKUP(E13,'MTS 2026 registrations'!B:B,1,false)</f>
        <v>#N/A</v>
      </c>
      <c r="N13" s="26" t="str">
        <f>VLOOKUP(B13,'MTS 2026 registrations'!A:A,1,false)</f>
        <v>#N/A</v>
      </c>
      <c r="O13" s="38" t="str">
        <f t="shared" si="2"/>
        <v>Marked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23"/>
      <c r="AE13" s="23"/>
    </row>
    <row r="14" ht="12.75" customHeight="1">
      <c r="A14" s="19" t="str">
        <f t="shared" si="1"/>
        <v>Arnoud de Vroomen solar-works</v>
      </c>
      <c r="B14" s="19" t="s">
        <v>298</v>
      </c>
      <c r="C14" s="20" t="s">
        <v>299</v>
      </c>
      <c r="D14" s="53" t="s">
        <v>300</v>
      </c>
      <c r="E14" s="21" t="s">
        <v>301</v>
      </c>
      <c r="F14" s="23" t="s">
        <v>302</v>
      </c>
      <c r="G14" s="44" t="s">
        <v>46</v>
      </c>
      <c r="H14" s="25" t="s">
        <v>47</v>
      </c>
      <c r="I14" s="23"/>
      <c r="J14" s="35" t="s">
        <v>303</v>
      </c>
      <c r="K14" s="27" t="s">
        <v>50</v>
      </c>
      <c r="L14" s="36" t="s">
        <v>51</v>
      </c>
      <c r="M14" s="26" t="str">
        <f>VLOOKUP(E14,'MTS 2026 registrations'!B:B,1,false)</f>
        <v>#N/A</v>
      </c>
      <c r="N14" s="26" t="str">
        <f>VLOOKUP(B14,'MTS 2026 registrations'!A:A,1,false)</f>
        <v>#N/A</v>
      </c>
      <c r="O14" s="38" t="str">
        <f t="shared" si="2"/>
        <v>Marked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ht="12.75" customHeight="1">
      <c r="A15" s="19" t="str">
        <f t="shared" si="1"/>
        <v>Aron Boere Gemeente Delft</v>
      </c>
      <c r="B15" s="19" t="s">
        <v>309</v>
      </c>
      <c r="C15" s="69" t="s">
        <v>314</v>
      </c>
      <c r="D15" s="69" t="s">
        <v>316</v>
      </c>
      <c r="E15" s="70" t="s">
        <v>317</v>
      </c>
      <c r="F15" s="71" t="s">
        <v>124</v>
      </c>
      <c r="G15" s="24" t="s">
        <v>323</v>
      </c>
      <c r="H15" s="25" t="s">
        <v>139</v>
      </c>
      <c r="I15" s="34"/>
      <c r="J15" s="35" t="s">
        <v>324</v>
      </c>
      <c r="K15" s="27" t="s">
        <v>50</v>
      </c>
      <c r="L15" s="36" t="s">
        <v>51</v>
      </c>
      <c r="M15" s="26" t="str">
        <f>VLOOKUP(E15,'MTS 2026 registrations'!B:B,1,false)</f>
        <v>#N/A</v>
      </c>
      <c r="N15" s="26" t="str">
        <f>VLOOKUP(B15,'MTS 2026 registrations'!A:A,1,false)</f>
        <v>#N/A</v>
      </c>
      <c r="O15" s="38" t="str">
        <f t="shared" si="2"/>
        <v>Marked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</row>
    <row r="16" ht="12.75" customHeight="1">
      <c r="A16" s="19" t="str">
        <f t="shared" si="1"/>
        <v>Aya Hariri diwama</v>
      </c>
      <c r="B16" s="19" t="s">
        <v>330</v>
      </c>
      <c r="C16" s="20" t="s">
        <v>332</v>
      </c>
      <c r="D16" s="20" t="s">
        <v>333</v>
      </c>
      <c r="E16" s="21" t="s">
        <v>335</v>
      </c>
      <c r="F16" s="23" t="s">
        <v>336</v>
      </c>
      <c r="G16" s="44" t="s">
        <v>46</v>
      </c>
      <c r="H16" s="25" t="s">
        <v>47</v>
      </c>
      <c r="I16" s="23"/>
      <c r="J16" s="35" t="s">
        <v>338</v>
      </c>
      <c r="K16" s="27" t="s">
        <v>50</v>
      </c>
      <c r="L16" s="36" t="s">
        <v>51</v>
      </c>
      <c r="M16" s="26" t="str">
        <f>VLOOKUP(E16,'MTS 2026 registrations'!B:B,1,false)</f>
        <v>#N/A</v>
      </c>
      <c r="N16" s="26" t="str">
        <f>VLOOKUP(B16,'MTS 2026 registrations'!A:A,1,false)</f>
        <v>#N/A</v>
      </c>
      <c r="O16" s="38" t="str">
        <f t="shared" si="2"/>
        <v>Marked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ht="12.75" customHeight="1">
      <c r="A17" s="19" t="str">
        <f t="shared" si="1"/>
        <v>Babak Heydari shake-on</v>
      </c>
      <c r="B17" s="19" t="s">
        <v>356</v>
      </c>
      <c r="C17" s="20" t="s">
        <v>358</v>
      </c>
      <c r="D17" s="20" t="s">
        <v>361</v>
      </c>
      <c r="E17" s="21" t="s">
        <v>364</v>
      </c>
      <c r="F17" s="23" t="s">
        <v>366</v>
      </c>
      <c r="G17" s="32" t="s">
        <v>46</v>
      </c>
      <c r="H17" s="25" t="s">
        <v>47</v>
      </c>
      <c r="I17" s="23"/>
      <c r="J17" s="35" t="s">
        <v>368</v>
      </c>
      <c r="K17" s="27" t="s">
        <v>50</v>
      </c>
      <c r="L17" s="36" t="s">
        <v>51</v>
      </c>
      <c r="M17" s="26" t="str">
        <f>VLOOKUP(E17,'MTS 2026 registrations'!B:B,1,false)</f>
        <v>#N/A</v>
      </c>
      <c r="N17" s="26" t="str">
        <f>VLOOKUP(B17,'MTS 2026 registrations'!A:A,1,false)</f>
        <v>#N/A</v>
      </c>
      <c r="O17" s="38" t="str">
        <f t="shared" si="2"/>
        <v>Marked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ht="12.75" customHeight="1">
      <c r="A18" s="19" t="str">
        <f t="shared" si="1"/>
        <v>Bart Kolling SLAM Orthopedic</v>
      </c>
      <c r="B18" s="19" t="s">
        <v>387</v>
      </c>
      <c r="C18" s="29" t="s">
        <v>389</v>
      </c>
      <c r="D18" s="72" t="s">
        <v>392</v>
      </c>
      <c r="E18" s="62" t="s">
        <v>395</v>
      </c>
      <c r="F18" s="50" t="s">
        <v>397</v>
      </c>
      <c r="G18" s="32" t="s">
        <v>46</v>
      </c>
      <c r="H18" s="25" t="s">
        <v>139</v>
      </c>
      <c r="I18" s="23"/>
      <c r="J18" s="35" t="s">
        <v>401</v>
      </c>
      <c r="K18" s="27" t="s">
        <v>50</v>
      </c>
      <c r="L18" s="36" t="s">
        <v>51</v>
      </c>
      <c r="M18" s="26" t="str">
        <f>VLOOKUP(E18,'MTS 2026 registrations'!B:B,1,false)</f>
        <v>#N/A</v>
      </c>
      <c r="N18" s="26" t="str">
        <f>VLOOKUP(B18,'MTS 2026 registrations'!A:A,1,false)</f>
        <v>#N/A</v>
      </c>
      <c r="O18" s="38" t="str">
        <f t="shared" si="2"/>
        <v>Marked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ht="12.75" customHeight="1">
      <c r="A19" s="19" t="str">
        <f t="shared" si="1"/>
        <v>Benno Tieke philips</v>
      </c>
      <c r="B19" s="19" t="s">
        <v>427</v>
      </c>
      <c r="C19" s="73" t="s">
        <v>428</v>
      </c>
      <c r="D19" s="73" t="s">
        <v>430</v>
      </c>
      <c r="E19" s="74" t="s">
        <v>434</v>
      </c>
      <c r="F19" s="75" t="s">
        <v>442</v>
      </c>
      <c r="G19" s="51" t="s">
        <v>56</v>
      </c>
      <c r="H19" s="25" t="s">
        <v>139</v>
      </c>
      <c r="I19" s="49"/>
      <c r="J19" s="35" t="s">
        <v>446</v>
      </c>
      <c r="K19" s="27" t="s">
        <v>50</v>
      </c>
      <c r="L19" s="36" t="s">
        <v>51</v>
      </c>
      <c r="M19" s="26" t="str">
        <f>VLOOKUP(E19,'MTS 2026 registrations'!B:B,1,false)</f>
        <v>benno.tieke@gmail.com</v>
      </c>
      <c r="N19" s="26" t="str">
        <f>VLOOKUP(B19,'MTS 2026 registrations'!A:A,1,false)</f>
        <v>Benno Tieke</v>
      </c>
      <c r="O19" s="38" t="str">
        <f t="shared" si="2"/>
        <v/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ht="12.75" customHeight="1">
      <c r="A20" s="19" t="str">
        <f t="shared" si="1"/>
        <v>Benno Groossman Salusion</v>
      </c>
      <c r="B20" s="19" t="s">
        <v>451</v>
      </c>
      <c r="C20" s="43" t="s">
        <v>428</v>
      </c>
      <c r="D20" s="43" t="s">
        <v>452</v>
      </c>
      <c r="E20" s="31" t="s">
        <v>453</v>
      </c>
      <c r="F20" s="33" t="s">
        <v>454</v>
      </c>
      <c r="G20" s="32" t="s">
        <v>46</v>
      </c>
      <c r="H20" s="25" t="s">
        <v>47</v>
      </c>
      <c r="I20" s="34"/>
      <c r="J20" s="35" t="s">
        <v>455</v>
      </c>
      <c r="K20" s="27" t="s">
        <v>50</v>
      </c>
      <c r="L20" s="36" t="s">
        <v>51</v>
      </c>
      <c r="M20" s="26" t="str">
        <f>VLOOKUP(E20,'MTS 2026 registrations'!B:B,1,false)</f>
        <v>#N/A</v>
      </c>
      <c r="N20" s="26" t="str">
        <f>VLOOKUP(B20,'MTS 2026 registrations'!A:A,1,false)</f>
        <v>#N/A</v>
      </c>
      <c r="O20" s="38" t="str">
        <f t="shared" si="2"/>
        <v>Marked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23"/>
      <c r="AE20" s="23"/>
    </row>
    <row r="21" ht="12.75" customHeight="1">
      <c r="A21" s="19" t="str">
        <f t="shared" si="1"/>
        <v>Bhagya Goonewardene Urbandine</v>
      </c>
      <c r="B21" s="19" t="s">
        <v>457</v>
      </c>
      <c r="C21" s="29" t="s">
        <v>458</v>
      </c>
      <c r="D21" s="29" t="s">
        <v>459</v>
      </c>
      <c r="E21" s="77" t="s">
        <v>460</v>
      </c>
      <c r="F21" s="33" t="s">
        <v>462</v>
      </c>
      <c r="G21" s="24" t="s">
        <v>46</v>
      </c>
      <c r="H21" s="25" t="s">
        <v>47</v>
      </c>
      <c r="I21" s="34"/>
      <c r="J21" s="35" t="s">
        <v>465</v>
      </c>
      <c r="K21" s="27" t="s">
        <v>50</v>
      </c>
      <c r="L21" s="36" t="s">
        <v>51</v>
      </c>
      <c r="M21" s="26" t="str">
        <f>VLOOKUP(E21,'MTS 2026 registrations'!B:B,1,false)</f>
        <v>#N/A</v>
      </c>
      <c r="N21" s="26" t="str">
        <f>VLOOKUP(B21,'MTS 2026 registrations'!A:A,1,false)</f>
        <v>#N/A</v>
      </c>
      <c r="O21" s="38" t="str">
        <f t="shared" si="2"/>
        <v>Marked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</row>
    <row r="22" ht="12.75" customHeight="1">
      <c r="A22" s="19" t="str">
        <f t="shared" si="1"/>
        <v>Bo Wiesman NewCompliance</v>
      </c>
      <c r="B22" s="19" t="s">
        <v>468</v>
      </c>
      <c r="C22" s="43" t="s">
        <v>469</v>
      </c>
      <c r="D22" s="43" t="s">
        <v>470</v>
      </c>
      <c r="E22" s="80" t="s">
        <v>471</v>
      </c>
      <c r="F22" s="33" t="s">
        <v>476</v>
      </c>
      <c r="G22" s="51" t="s">
        <v>46</v>
      </c>
      <c r="H22" s="25" t="s">
        <v>47</v>
      </c>
      <c r="I22" s="34"/>
      <c r="J22" s="35" t="s">
        <v>477</v>
      </c>
      <c r="K22" s="27" t="s">
        <v>50</v>
      </c>
      <c r="L22" s="36" t="s">
        <v>51</v>
      </c>
      <c r="M22" s="26" t="str">
        <f>VLOOKUP(E22,'MTS 2026 registrations'!B:B,1,false)</f>
        <v>#N/A</v>
      </c>
      <c r="N22" s="26" t="str">
        <f>VLOOKUP(B22,'MTS 2026 registrations'!A:A,1,false)</f>
        <v>#N/A</v>
      </c>
      <c r="O22" s="38" t="str">
        <f t="shared" si="2"/>
        <v>Marked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23"/>
      <c r="AE22" s="23"/>
    </row>
    <row r="23" ht="12.75" customHeight="1">
      <c r="A23" s="19" t="str">
        <f t="shared" si="1"/>
        <v>Boris Langendoen delftdynamics</v>
      </c>
      <c r="B23" s="19" t="s">
        <v>479</v>
      </c>
      <c r="C23" s="20" t="s">
        <v>480</v>
      </c>
      <c r="D23" s="20" t="s">
        <v>481</v>
      </c>
      <c r="E23" s="88" t="s">
        <v>482</v>
      </c>
      <c r="F23" s="23" t="s">
        <v>483</v>
      </c>
      <c r="G23" s="44" t="s">
        <v>46</v>
      </c>
      <c r="H23" s="25" t="s">
        <v>47</v>
      </c>
      <c r="I23" s="23"/>
      <c r="J23" s="35" t="s">
        <v>484</v>
      </c>
      <c r="K23" s="27" t="s">
        <v>50</v>
      </c>
      <c r="L23" s="36" t="s">
        <v>51</v>
      </c>
      <c r="M23" s="26" t="str">
        <f>VLOOKUP(E23,'MTS 2026 registrations'!B:B,1,false)</f>
        <v>#N/A</v>
      </c>
      <c r="N23" s="26" t="str">
        <f>VLOOKUP(B23,'MTS 2026 registrations'!A:A,1,false)</f>
        <v>#N/A</v>
      </c>
      <c r="O23" s="38" t="str">
        <f t="shared" si="2"/>
        <v>Marked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2.75" customHeight="1">
      <c r="A24" s="19" t="str">
        <f t="shared" si="1"/>
        <v>Chandler hatton SimGas</v>
      </c>
      <c r="B24" s="19" t="s">
        <v>491</v>
      </c>
      <c r="C24" s="43" t="s">
        <v>492</v>
      </c>
      <c r="D24" s="43" t="s">
        <v>493</v>
      </c>
      <c r="E24" s="31" t="s">
        <v>494</v>
      </c>
      <c r="F24" s="33" t="s">
        <v>495</v>
      </c>
      <c r="G24" s="51" t="s">
        <v>46</v>
      </c>
      <c r="H24" s="25" t="s">
        <v>47</v>
      </c>
      <c r="I24" s="34"/>
      <c r="J24" s="35" t="s">
        <v>496</v>
      </c>
      <c r="K24" s="27" t="s">
        <v>50</v>
      </c>
      <c r="L24" s="36" t="s">
        <v>51</v>
      </c>
      <c r="M24" s="26" t="str">
        <f>VLOOKUP(E24,'MTS 2026 registrations'!B:B,1,false)</f>
        <v>#N/A</v>
      </c>
      <c r="N24" s="26" t="str">
        <f>VLOOKUP(B24,'MTS 2026 registrations'!A:A,1,false)</f>
        <v>#N/A</v>
      </c>
      <c r="O24" s="38" t="str">
        <f t="shared" si="2"/>
        <v>Marked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23"/>
      <c r="AE24" s="23"/>
    </row>
    <row r="25" ht="12.75" customHeight="1">
      <c r="A25" s="19" t="str">
        <f t="shared" si="1"/>
        <v>Chris van Voorden innovationquarter</v>
      </c>
      <c r="B25" s="19" t="s">
        <v>503</v>
      </c>
      <c r="C25" s="20" t="s">
        <v>504</v>
      </c>
      <c r="D25" s="20" t="s">
        <v>507</v>
      </c>
      <c r="E25" s="21" t="s">
        <v>509</v>
      </c>
      <c r="F25" s="23" t="s">
        <v>161</v>
      </c>
      <c r="G25" s="42" t="s">
        <v>69</v>
      </c>
      <c r="H25" s="13" t="s">
        <v>213</v>
      </c>
      <c r="I25" s="91" t="s">
        <v>515</v>
      </c>
      <c r="J25" s="35"/>
      <c r="K25" s="27" t="s">
        <v>32</v>
      </c>
      <c r="L25" s="36" t="s">
        <v>51</v>
      </c>
      <c r="M25" s="26" t="str">
        <f>VLOOKUP(E25,'MTS 2026 registrations'!B:B,1,false)</f>
        <v>#N/A</v>
      </c>
      <c r="N25" s="26" t="str">
        <f>VLOOKUP(B25,'MTS 2026 registrations'!A:A,1,false)</f>
        <v>#N/A</v>
      </c>
      <c r="O25" s="38" t="str">
        <f t="shared" si="2"/>
        <v>Marked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2.75" customHeight="1">
      <c r="A26" s="19" t="str">
        <f t="shared" si="1"/>
        <v>Christiaan van Nispen tilercharge</v>
      </c>
      <c r="B26" s="19" t="s">
        <v>524</v>
      </c>
      <c r="C26" s="20" t="s">
        <v>525</v>
      </c>
      <c r="D26" s="20" t="s">
        <v>526</v>
      </c>
      <c r="E26" s="21" t="s">
        <v>527</v>
      </c>
      <c r="F26" s="23" t="s">
        <v>528</v>
      </c>
      <c r="G26" s="44" t="s">
        <v>46</v>
      </c>
      <c r="H26" s="25" t="s">
        <v>47</v>
      </c>
      <c r="I26" s="23"/>
      <c r="J26" s="35" t="s">
        <v>531</v>
      </c>
      <c r="K26" s="27" t="s">
        <v>50</v>
      </c>
      <c r="L26" s="36" t="s">
        <v>51</v>
      </c>
      <c r="M26" s="26" t="str">
        <f>VLOOKUP(E26,'MTS 2026 registrations'!B:B,1,false)</f>
        <v>#N/A</v>
      </c>
      <c r="N26" s="26" t="str">
        <f>VLOOKUP(B26,'MTS 2026 registrations'!A:A,1,false)</f>
        <v>#N/A</v>
      </c>
      <c r="O26" s="38" t="str">
        <f t="shared" si="2"/>
        <v>Marked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2.75" customHeight="1">
      <c r="A27" s="19" t="str">
        <f t="shared" si="1"/>
        <v>Christopher Arida diwama</v>
      </c>
      <c r="B27" s="19" t="s">
        <v>540</v>
      </c>
      <c r="C27" s="20" t="s">
        <v>541</v>
      </c>
      <c r="D27" s="20" t="s">
        <v>542</v>
      </c>
      <c r="E27" s="21" t="s">
        <v>543</v>
      </c>
      <c r="F27" s="23" t="s">
        <v>336</v>
      </c>
      <c r="G27" s="44" t="s">
        <v>46</v>
      </c>
      <c r="H27" s="25" t="s">
        <v>47</v>
      </c>
      <c r="I27" s="23"/>
      <c r="J27" s="35" t="s">
        <v>544</v>
      </c>
      <c r="K27" s="27" t="s">
        <v>50</v>
      </c>
      <c r="L27" s="36" t="s">
        <v>51</v>
      </c>
      <c r="M27" s="26" t="str">
        <f>VLOOKUP(E27,'MTS 2026 registrations'!B:B,1,false)</f>
        <v>#N/A</v>
      </c>
      <c r="N27" s="26" t="str">
        <f>VLOOKUP(B27,'MTS 2026 registrations'!A:A,1,false)</f>
        <v>#N/A</v>
      </c>
      <c r="O27" s="38" t="str">
        <f t="shared" si="2"/>
        <v>Marked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2.75" customHeight="1">
      <c r="A28" s="19" t="str">
        <f t="shared" si="1"/>
        <v>Claire Bénard merqato</v>
      </c>
      <c r="B28" s="19" t="s">
        <v>558</v>
      </c>
      <c r="C28" s="20" t="s">
        <v>559</v>
      </c>
      <c r="D28" s="93" t="s">
        <v>560</v>
      </c>
      <c r="E28" s="94" t="s">
        <v>564</v>
      </c>
      <c r="F28" s="23" t="s">
        <v>566</v>
      </c>
      <c r="G28" s="32" t="s">
        <v>46</v>
      </c>
      <c r="H28" s="25" t="s">
        <v>47</v>
      </c>
      <c r="I28" s="23"/>
      <c r="J28" s="35" t="s">
        <v>567</v>
      </c>
      <c r="K28" s="27" t="s">
        <v>50</v>
      </c>
      <c r="L28" s="36" t="s">
        <v>51</v>
      </c>
      <c r="M28" s="26" t="str">
        <f>VLOOKUP(E28,'MTS 2026 registrations'!B:B,1,false)</f>
        <v>#N/A</v>
      </c>
      <c r="N28" s="26" t="str">
        <f>VLOOKUP(B28,'MTS 2026 registrations'!A:A,1,false)</f>
        <v>#N/A</v>
      </c>
      <c r="O28" s="38" t="str">
        <f t="shared" si="2"/>
        <v>Marked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34"/>
      <c r="AE28" s="34"/>
    </row>
    <row r="29" ht="12.75" customHeight="1">
      <c r="A29" s="19" t="str">
        <f t="shared" si="1"/>
        <v>Daan Protension Composites</v>
      </c>
      <c r="B29" s="19" t="s">
        <v>570</v>
      </c>
      <c r="C29" s="43" t="s">
        <v>570</v>
      </c>
      <c r="D29" s="100"/>
      <c r="E29" s="31" t="s">
        <v>572</v>
      </c>
      <c r="F29" s="33" t="s">
        <v>573</v>
      </c>
      <c r="G29" s="32" t="s">
        <v>46</v>
      </c>
      <c r="H29" s="25" t="s">
        <v>47</v>
      </c>
      <c r="I29" s="34"/>
      <c r="J29" s="35" t="s">
        <v>575</v>
      </c>
      <c r="K29" s="27" t="s">
        <v>50</v>
      </c>
      <c r="L29" s="36" t="s">
        <v>51</v>
      </c>
      <c r="M29" s="26" t="str">
        <f>VLOOKUP(E29,'MTS 2026 registrations'!B:B,1,false)</f>
        <v>#N/A</v>
      </c>
      <c r="N29" s="26" t="str">
        <f>VLOOKUP(B29,'MTS 2026 registrations'!A:A,1,false)</f>
        <v>#N/A</v>
      </c>
      <c r="O29" s="38" t="str">
        <f t="shared" si="2"/>
        <v>Marked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23"/>
      <c r="AE29" s="23"/>
    </row>
    <row r="30" ht="12.75" customHeight="1">
      <c r="A30" s="19" t="str">
        <f t="shared" si="1"/>
        <v>Daniël van den Bosch vibestechnology</v>
      </c>
      <c r="B30" s="19" t="s">
        <v>579</v>
      </c>
      <c r="C30" s="20" t="s">
        <v>580</v>
      </c>
      <c r="D30" s="20" t="s">
        <v>581</v>
      </c>
      <c r="E30" s="88" t="s">
        <v>582</v>
      </c>
      <c r="F30" s="23" t="s">
        <v>583</v>
      </c>
      <c r="G30" s="44" t="s">
        <v>46</v>
      </c>
      <c r="H30" s="25" t="s">
        <v>47</v>
      </c>
      <c r="I30" s="68"/>
      <c r="J30" s="35" t="s">
        <v>585</v>
      </c>
      <c r="K30" s="27" t="s">
        <v>50</v>
      </c>
      <c r="L30" s="36" t="s">
        <v>51</v>
      </c>
      <c r="M30" s="26" t="str">
        <f>VLOOKUP(E30,'MTS 2026 registrations'!B:B,1,false)</f>
        <v>#N/A</v>
      </c>
      <c r="N30" s="26" t="str">
        <f>VLOOKUP(B30,'MTS 2026 registrations'!A:A,1,false)</f>
        <v>#N/A</v>
      </c>
      <c r="O30" s="38" t="str">
        <f t="shared" si="2"/>
        <v>Marked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2.75" customHeight="1">
      <c r="A31" s="19" t="str">
        <f t="shared" si="1"/>
        <v>Dennis Saaltink CheckZis</v>
      </c>
      <c r="B31" s="19" t="s">
        <v>586</v>
      </c>
      <c r="C31" s="43" t="s">
        <v>587</v>
      </c>
      <c r="D31" s="43" t="s">
        <v>588</v>
      </c>
      <c r="E31" s="31" t="s">
        <v>589</v>
      </c>
      <c r="F31" s="33" t="s">
        <v>590</v>
      </c>
      <c r="G31" s="51" t="s">
        <v>46</v>
      </c>
      <c r="H31" s="25" t="s">
        <v>47</v>
      </c>
      <c r="I31" s="34"/>
      <c r="J31" s="35" t="s">
        <v>591</v>
      </c>
      <c r="K31" s="27" t="s">
        <v>50</v>
      </c>
      <c r="L31" s="36" t="s">
        <v>51</v>
      </c>
      <c r="M31" s="26" t="str">
        <f>VLOOKUP(E31,'MTS 2026 registrations'!B:B,1,false)</f>
        <v>#N/A</v>
      </c>
      <c r="N31" s="26" t="str">
        <f>VLOOKUP(B31,'MTS 2026 registrations'!A:A,1,false)</f>
        <v>#N/A</v>
      </c>
      <c r="O31" s="38" t="str">
        <f t="shared" si="2"/>
        <v>Marked</v>
      </c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23"/>
      <c r="AE31" s="23"/>
    </row>
    <row r="32" ht="12.75" customHeight="1">
      <c r="A32" s="19" t="str">
        <f t="shared" si="1"/>
        <v>Dirk Dokter atmosuav</v>
      </c>
      <c r="B32" s="19" t="s">
        <v>593</v>
      </c>
      <c r="C32" s="20" t="s">
        <v>562</v>
      </c>
      <c r="D32" s="20" t="s">
        <v>594</v>
      </c>
      <c r="E32" s="21" t="s">
        <v>595</v>
      </c>
      <c r="F32" s="23" t="s">
        <v>596</v>
      </c>
      <c r="G32" s="44" t="s">
        <v>46</v>
      </c>
      <c r="H32" s="25" t="s">
        <v>47</v>
      </c>
      <c r="I32" s="26"/>
      <c r="J32" s="35" t="s">
        <v>597</v>
      </c>
      <c r="K32" s="27" t="s">
        <v>50</v>
      </c>
      <c r="L32" s="36" t="s">
        <v>51</v>
      </c>
      <c r="M32" s="26" t="str">
        <f>VLOOKUP(E32,'MTS 2026 registrations'!B:B,1,false)</f>
        <v>#N/A</v>
      </c>
      <c r="N32" s="26" t="str">
        <f>VLOOKUP(B32,'MTS 2026 registrations'!A:A,1,false)</f>
        <v>#N/A</v>
      </c>
      <c r="O32" s="38" t="str">
        <f t="shared" si="2"/>
        <v>Marked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2.75" customHeight="1">
      <c r="A33" s="19" t="str">
        <f t="shared" si="1"/>
        <v>E. Geertsema antoniusziekenhuis</v>
      </c>
      <c r="B33" s="19" t="s">
        <v>598</v>
      </c>
      <c r="C33" s="97" t="s">
        <v>599</v>
      </c>
      <c r="D33" s="97" t="s">
        <v>600</v>
      </c>
      <c r="E33" s="99" t="s">
        <v>601</v>
      </c>
      <c r="F33" s="43" t="s">
        <v>602</v>
      </c>
      <c r="G33" s="44" t="s">
        <v>56</v>
      </c>
      <c r="H33" s="13" t="s">
        <v>45</v>
      </c>
      <c r="I33" s="34"/>
      <c r="J33" s="35"/>
      <c r="K33" s="27" t="s">
        <v>32</v>
      </c>
      <c r="L33" s="36" t="s">
        <v>51</v>
      </c>
      <c r="M33" s="26" t="str">
        <f>VLOOKUP(E33,'MTS 2026 registrations'!B:B,1,false)</f>
        <v>#N/A</v>
      </c>
      <c r="N33" s="26" t="str">
        <f>VLOOKUP(B33,'MTS 2026 registrations'!A:A,1,false)</f>
        <v>#N/A</v>
      </c>
      <c r="O33" s="38" t="str">
        <f t="shared" si="2"/>
        <v>Marked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23"/>
      <c r="AE33" s="23"/>
    </row>
    <row r="34" ht="12.75" customHeight="1">
      <c r="A34" s="19" t="str">
        <f t="shared" si="1"/>
        <v>Eduard Ijsselmuiden delftdynamics</v>
      </c>
      <c r="B34" s="19" t="s">
        <v>603</v>
      </c>
      <c r="C34" s="20" t="s">
        <v>604</v>
      </c>
      <c r="D34" s="20" t="s">
        <v>605</v>
      </c>
      <c r="E34" s="21" t="s">
        <v>606</v>
      </c>
      <c r="F34" s="23" t="s">
        <v>483</v>
      </c>
      <c r="G34" s="44" t="s">
        <v>46</v>
      </c>
      <c r="H34" s="25" t="s">
        <v>47</v>
      </c>
      <c r="I34" s="23"/>
      <c r="J34" s="35" t="s">
        <v>607</v>
      </c>
      <c r="K34" s="27" t="s">
        <v>50</v>
      </c>
      <c r="L34" s="36" t="s">
        <v>51</v>
      </c>
      <c r="M34" s="26" t="str">
        <f>VLOOKUP(E34,'MTS 2026 registrations'!B:B,1,false)</f>
        <v>#N/A</v>
      </c>
      <c r="N34" s="26" t="str">
        <f>VLOOKUP(B34,'MTS 2026 registrations'!A:A,1,false)</f>
        <v>#N/A</v>
      </c>
      <c r="O34" s="38" t="str">
        <f t="shared" si="2"/>
        <v>Marked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2.75" customHeight="1">
      <c r="A35" s="19" t="str">
        <f t="shared" si="1"/>
        <v>Eldert Besseling campusatsea</v>
      </c>
      <c r="B35" s="19" t="s">
        <v>608</v>
      </c>
      <c r="C35" s="43" t="s">
        <v>609</v>
      </c>
      <c r="D35" s="43" t="s">
        <v>610</v>
      </c>
      <c r="E35" s="99" t="s">
        <v>611</v>
      </c>
      <c r="F35" s="43" t="s">
        <v>612</v>
      </c>
      <c r="G35" s="51" t="s">
        <v>29</v>
      </c>
      <c r="H35" s="13" t="s">
        <v>45</v>
      </c>
      <c r="I35" s="34"/>
      <c r="J35" s="35"/>
      <c r="K35" s="27" t="s">
        <v>32</v>
      </c>
      <c r="L35" s="36" t="s">
        <v>51</v>
      </c>
      <c r="M35" s="26" t="str">
        <f>VLOOKUP(E35,'MTS 2026 registrations'!B:B,1,false)</f>
        <v>#N/A</v>
      </c>
      <c r="N35" s="26" t="str">
        <f>VLOOKUP(B35,'MTS 2026 registrations'!A:A,1,false)</f>
        <v>#N/A</v>
      </c>
      <c r="O35" s="38" t="str">
        <f t="shared" si="2"/>
        <v>Marked</v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23"/>
      <c r="AE35" s="23"/>
    </row>
    <row r="36" ht="12.75" customHeight="1">
      <c r="A36" s="19" t="str">
        <f t="shared" si="1"/>
        <v>Emil Hernandez Renset bv</v>
      </c>
      <c r="B36" s="19" t="s">
        <v>613</v>
      </c>
      <c r="C36" s="43" t="s">
        <v>614</v>
      </c>
      <c r="D36" s="43" t="s">
        <v>615</v>
      </c>
      <c r="E36" s="105" t="s">
        <v>616</v>
      </c>
      <c r="F36" s="33" t="s">
        <v>617</v>
      </c>
      <c r="G36" s="51" t="s">
        <v>46</v>
      </c>
      <c r="H36" s="25" t="s">
        <v>47</v>
      </c>
      <c r="I36" s="34"/>
      <c r="J36" s="35" t="s">
        <v>618</v>
      </c>
      <c r="K36" s="27" t="s">
        <v>50</v>
      </c>
      <c r="L36" s="36" t="s">
        <v>51</v>
      </c>
      <c r="M36" s="26" t="str">
        <f>VLOOKUP(E36,'MTS 2026 registrations'!B:B,1,false)</f>
        <v>#N/A</v>
      </c>
      <c r="N36" s="26" t="str">
        <f>VLOOKUP(B36,'MTS 2026 registrations'!A:A,1,false)</f>
        <v>#N/A</v>
      </c>
      <c r="O36" s="38" t="str">
        <f t="shared" si="2"/>
        <v>Marked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</row>
    <row r="37" ht="12.75" customHeight="1">
      <c r="A37" s="19" t="str">
        <f t="shared" si="1"/>
        <v>Ernesto Mobbr Crowd Payment</v>
      </c>
      <c r="B37" s="19" t="s">
        <v>619</v>
      </c>
      <c r="C37" s="43" t="s">
        <v>619</v>
      </c>
      <c r="D37" s="100"/>
      <c r="E37" s="80" t="s">
        <v>620</v>
      </c>
      <c r="F37" s="33" t="s">
        <v>621</v>
      </c>
      <c r="G37" s="51" t="s">
        <v>46</v>
      </c>
      <c r="H37" s="25" t="s">
        <v>47</v>
      </c>
      <c r="I37" s="34"/>
      <c r="J37" s="35" t="s">
        <v>622</v>
      </c>
      <c r="K37" s="27" t="s">
        <v>50</v>
      </c>
      <c r="L37" s="36" t="s">
        <v>51</v>
      </c>
      <c r="M37" s="26" t="str">
        <f>VLOOKUP(E37,'MTS 2026 registrations'!B:B,1,false)</f>
        <v>#N/A</v>
      </c>
      <c r="N37" s="26" t="str">
        <f>VLOOKUP(B37,'MTS 2026 registrations'!A:A,1,false)</f>
        <v>#N/A</v>
      </c>
      <c r="O37" s="38" t="str">
        <f t="shared" si="2"/>
        <v>Marked</v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23"/>
      <c r="AE37" s="23"/>
    </row>
    <row r="38" ht="12.75" customHeight="1">
      <c r="A38" s="19" t="str">
        <f t="shared" si="1"/>
        <v>Esther Zandvliet arnold-siedsma</v>
      </c>
      <c r="B38" s="19" t="s">
        <v>623</v>
      </c>
      <c r="C38" s="20" t="s">
        <v>624</v>
      </c>
      <c r="D38" s="20" t="s">
        <v>625</v>
      </c>
      <c r="E38" s="21" t="s">
        <v>626</v>
      </c>
      <c r="F38" s="23" t="s">
        <v>627</v>
      </c>
      <c r="G38" s="106" t="s">
        <v>69</v>
      </c>
      <c r="H38" s="25" t="s">
        <v>47</v>
      </c>
      <c r="I38" s="26"/>
      <c r="J38" s="35" t="s">
        <v>628</v>
      </c>
      <c r="K38" s="27" t="s">
        <v>50</v>
      </c>
      <c r="L38" s="36" t="s">
        <v>51</v>
      </c>
      <c r="M38" s="26" t="str">
        <f>VLOOKUP(E38,'MTS 2026 registrations'!B:B,1,false)</f>
        <v>#N/A</v>
      </c>
      <c r="N38" s="26" t="str">
        <f>VLOOKUP(B38,'MTS 2026 registrations'!A:A,1,false)</f>
        <v>#N/A</v>
      </c>
      <c r="O38" s="38" t="str">
        <f t="shared" si="2"/>
        <v>Marked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2.75" customHeight="1">
      <c r="A39" s="19" t="str">
        <f t="shared" si="1"/>
        <v>Evgeny EVI Safety Technology</v>
      </c>
      <c r="B39" s="19" t="s">
        <v>629</v>
      </c>
      <c r="C39" s="107" t="s">
        <v>630</v>
      </c>
      <c r="D39" s="108"/>
      <c r="E39" s="62" t="s">
        <v>631</v>
      </c>
      <c r="F39" s="23" t="s">
        <v>632</v>
      </c>
      <c r="G39" s="44" t="s">
        <v>46</v>
      </c>
      <c r="H39" s="25" t="s">
        <v>31</v>
      </c>
      <c r="I39" s="23"/>
      <c r="J39" s="35" t="s">
        <v>633</v>
      </c>
      <c r="K39" s="27" t="s">
        <v>50</v>
      </c>
      <c r="L39" s="36" t="s">
        <v>51</v>
      </c>
      <c r="M39" s="26" t="str">
        <f>VLOOKUP(E39,'MTS 2026 registrations'!B:B,1,false)</f>
        <v>#N/A</v>
      </c>
      <c r="N39" s="26" t="str">
        <f>VLOOKUP(B39,'MTS 2026 registrations'!A:A,1,false)</f>
        <v>#N/A</v>
      </c>
      <c r="O39" s="38" t="str">
        <f t="shared" si="2"/>
        <v>Marked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2.75" customHeight="1">
      <c r="A40" s="19" t="str">
        <f t="shared" si="1"/>
        <v>Finn Boonman olympian</v>
      </c>
      <c r="B40" s="19" t="s">
        <v>634</v>
      </c>
      <c r="C40" s="20" t="s">
        <v>635</v>
      </c>
      <c r="D40" s="20" t="s">
        <v>636</v>
      </c>
      <c r="E40" s="21" t="s">
        <v>637</v>
      </c>
      <c r="F40" s="23" t="s">
        <v>118</v>
      </c>
      <c r="G40" s="44" t="s">
        <v>46</v>
      </c>
      <c r="H40" s="25" t="s">
        <v>47</v>
      </c>
      <c r="I40" s="23"/>
      <c r="J40" s="35" t="s">
        <v>638</v>
      </c>
      <c r="K40" s="27" t="s">
        <v>50</v>
      </c>
      <c r="L40" s="36" t="s">
        <v>51</v>
      </c>
      <c r="M40" s="26" t="str">
        <f>VLOOKUP(E40,'MTS 2026 registrations'!B:B,1,false)</f>
        <v>#N/A</v>
      </c>
      <c r="N40" s="26" t="str">
        <f>VLOOKUP(B40,'MTS 2026 registrations'!A:A,1,false)</f>
        <v>#N/A</v>
      </c>
      <c r="O40" s="38" t="str">
        <f t="shared" si="2"/>
        <v>Marked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2.75" customHeight="1">
      <c r="A41" s="19" t="str">
        <f t="shared" si="1"/>
        <v>Florent Gatin kien</v>
      </c>
      <c r="B41" s="19" t="s">
        <v>639</v>
      </c>
      <c r="C41" s="20" t="s">
        <v>640</v>
      </c>
      <c r="D41" s="20" t="s">
        <v>641</v>
      </c>
      <c r="E41" s="21" t="s">
        <v>642</v>
      </c>
      <c r="F41" s="23" t="s">
        <v>643</v>
      </c>
      <c r="G41" s="32" t="s">
        <v>46</v>
      </c>
      <c r="H41" s="25" t="s">
        <v>47</v>
      </c>
      <c r="I41" s="23"/>
      <c r="J41" s="35" t="s">
        <v>644</v>
      </c>
      <c r="K41" s="27" t="s">
        <v>50</v>
      </c>
      <c r="L41" s="36" t="s">
        <v>51</v>
      </c>
      <c r="M41" s="26" t="str">
        <f>VLOOKUP(E41,'MTS 2026 registrations'!B:B,1,false)</f>
        <v>#N/A</v>
      </c>
      <c r="N41" s="26" t="str">
        <f>VLOOKUP(B41,'MTS 2026 registrations'!A:A,1,false)</f>
        <v>#N/A</v>
      </c>
      <c r="O41" s="38" t="str">
        <f t="shared" si="2"/>
        <v>Marked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2.75" customHeight="1">
      <c r="A42" s="19" t="str">
        <f t="shared" si="1"/>
        <v>Frank van der Ent tribess</v>
      </c>
      <c r="B42" s="19" t="s">
        <v>645</v>
      </c>
      <c r="C42" s="20" t="s">
        <v>646</v>
      </c>
      <c r="D42" s="20" t="s">
        <v>647</v>
      </c>
      <c r="E42" s="21" t="s">
        <v>648</v>
      </c>
      <c r="F42" s="23" t="s">
        <v>649</v>
      </c>
      <c r="G42" s="44" t="s">
        <v>46</v>
      </c>
      <c r="H42" s="25" t="s">
        <v>47</v>
      </c>
      <c r="I42" s="26"/>
      <c r="J42" s="35" t="s">
        <v>650</v>
      </c>
      <c r="K42" s="27" t="s">
        <v>50</v>
      </c>
      <c r="L42" s="36" t="s">
        <v>51</v>
      </c>
      <c r="M42" s="26" t="str">
        <f>VLOOKUP(E42,'MTS 2026 registrations'!B:B,1,false)</f>
        <v>#N/A</v>
      </c>
      <c r="N42" s="26" t="str">
        <f>VLOOKUP(B42,'MTS 2026 registrations'!A:A,1,false)</f>
        <v>#N/A</v>
      </c>
      <c r="O42" s="38" t="str">
        <f t="shared" si="2"/>
        <v>Marked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34"/>
      <c r="AE42" s="34"/>
    </row>
    <row r="43" ht="12.75" customHeight="1">
      <c r="A43" s="19" t="str">
        <f t="shared" si="1"/>
        <v>Gerrit Jan Van 't Veen Mills, Clay and Carpenter</v>
      </c>
      <c r="B43" s="19" t="s">
        <v>651</v>
      </c>
      <c r="C43" s="43" t="s">
        <v>652</v>
      </c>
      <c r="D43" s="43" t="s">
        <v>653</v>
      </c>
      <c r="E43" s="80" t="s">
        <v>654</v>
      </c>
      <c r="F43" s="33" t="s">
        <v>655</v>
      </c>
      <c r="G43" s="51" t="s">
        <v>46</v>
      </c>
      <c r="H43" s="25" t="s">
        <v>47</v>
      </c>
      <c r="I43" s="34"/>
      <c r="J43" s="35" t="s">
        <v>656</v>
      </c>
      <c r="K43" s="27" t="s">
        <v>50</v>
      </c>
      <c r="L43" s="36" t="s">
        <v>51</v>
      </c>
      <c r="M43" s="26" t="str">
        <f>VLOOKUP(E43,'MTS 2026 registrations'!B:B,1,false)</f>
        <v>#N/A</v>
      </c>
      <c r="N43" s="26" t="str">
        <f>VLOOKUP(B43,'MTS 2026 registrations'!A:A,1,false)</f>
        <v>#N/A</v>
      </c>
      <c r="O43" s="38" t="str">
        <f t="shared" si="2"/>
        <v>Marked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23"/>
      <c r="AE43" s="23"/>
    </row>
    <row r="44" ht="12.75" customHeight="1">
      <c r="A44" s="19" t="str">
        <f t="shared" si="1"/>
        <v>Gunawan Kusuma 4FOLD (Holland Container Innovations)</v>
      </c>
      <c r="B44" s="19" t="s">
        <v>657</v>
      </c>
      <c r="C44" s="43" t="s">
        <v>658</v>
      </c>
      <c r="D44" s="43" t="s">
        <v>659</v>
      </c>
      <c r="E44" s="31" t="s">
        <v>660</v>
      </c>
      <c r="F44" s="33" t="s">
        <v>661</v>
      </c>
      <c r="G44" s="51" t="s">
        <v>46</v>
      </c>
      <c r="H44" s="25" t="s">
        <v>47</v>
      </c>
      <c r="I44" s="34"/>
      <c r="J44" s="35" t="s">
        <v>662</v>
      </c>
      <c r="K44" s="27" t="s">
        <v>50</v>
      </c>
      <c r="L44" s="36" t="s">
        <v>51</v>
      </c>
      <c r="M44" s="26" t="str">
        <f>VLOOKUP(E44,'MTS 2026 registrations'!B:B,1,false)</f>
        <v>#N/A</v>
      </c>
      <c r="N44" s="26" t="str">
        <f>VLOOKUP(B44,'MTS 2026 registrations'!A:A,1,false)</f>
        <v>#N/A</v>
      </c>
      <c r="O44" s="38" t="str">
        <f t="shared" si="2"/>
        <v>Marked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23"/>
      <c r="AE44" s="23"/>
    </row>
    <row r="45" ht="12.75" customHeight="1">
      <c r="A45" s="19" t="str">
        <f t="shared" si="1"/>
        <v>Hans Cool alucha</v>
      </c>
      <c r="B45" s="19" t="s">
        <v>663</v>
      </c>
      <c r="C45" s="20" t="s">
        <v>664</v>
      </c>
      <c r="D45" s="20" t="s">
        <v>665</v>
      </c>
      <c r="E45" s="21" t="s">
        <v>666</v>
      </c>
      <c r="F45" s="23" t="s">
        <v>667</v>
      </c>
      <c r="G45" s="51" t="s">
        <v>225</v>
      </c>
      <c r="H45" s="25" t="s">
        <v>47</v>
      </c>
      <c r="I45" s="26"/>
      <c r="J45" s="35"/>
      <c r="K45" s="27" t="s">
        <v>32</v>
      </c>
      <c r="L45" s="36" t="s">
        <v>51</v>
      </c>
      <c r="M45" s="26" t="str">
        <f>VLOOKUP(E45,'MTS 2026 registrations'!B:B,1,false)</f>
        <v>#N/A</v>
      </c>
      <c r="N45" s="26" t="str">
        <f>VLOOKUP(B45,'MTS 2026 registrations'!A:A,1,false)</f>
        <v>#N/A</v>
      </c>
      <c r="O45" s="38" t="str">
        <f t="shared" si="2"/>
        <v>Marked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34"/>
      <c r="AE45" s="34"/>
    </row>
    <row r="46" ht="12.75" customHeight="1">
      <c r="A46" s="19" t="str">
        <f t="shared" si="1"/>
        <v>Hein Willems Medvice Digital Health</v>
      </c>
      <c r="B46" s="19" t="s">
        <v>668</v>
      </c>
      <c r="C46" s="43" t="s">
        <v>669</v>
      </c>
      <c r="D46" s="43" t="s">
        <v>670</v>
      </c>
      <c r="E46" s="31" t="s">
        <v>671</v>
      </c>
      <c r="F46" s="33" t="s">
        <v>672</v>
      </c>
      <c r="G46" s="44" t="s">
        <v>46</v>
      </c>
      <c r="H46" s="25" t="s">
        <v>47</v>
      </c>
      <c r="I46" s="34"/>
      <c r="J46" s="35" t="s">
        <v>673</v>
      </c>
      <c r="K46" s="27" t="s">
        <v>50</v>
      </c>
      <c r="L46" s="36" t="s">
        <v>51</v>
      </c>
      <c r="M46" s="26" t="str">
        <f>VLOOKUP(E46,'MTS 2026 registrations'!B:B,1,false)</f>
        <v>#N/A</v>
      </c>
      <c r="N46" s="26" t="str">
        <f>VLOOKUP(B46,'MTS 2026 registrations'!A:A,1,false)</f>
        <v>#N/A</v>
      </c>
      <c r="O46" s="38" t="str">
        <f t="shared" si="2"/>
        <v>Marked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</row>
    <row r="47" ht="12.75" customHeight="1">
      <c r="A47" s="19" t="str">
        <f t="shared" si="1"/>
        <v>Helen Nofrina focalyse</v>
      </c>
      <c r="B47" s="19" t="s">
        <v>674</v>
      </c>
      <c r="C47" s="20" t="s">
        <v>675</v>
      </c>
      <c r="D47" s="20" t="s">
        <v>676</v>
      </c>
      <c r="E47" s="21" t="s">
        <v>677</v>
      </c>
      <c r="F47" s="23" t="s">
        <v>678</v>
      </c>
      <c r="G47" s="51" t="s">
        <v>225</v>
      </c>
      <c r="H47" s="25" t="s">
        <v>47</v>
      </c>
      <c r="I47" s="23"/>
      <c r="J47" s="35"/>
      <c r="K47" s="27" t="s">
        <v>32</v>
      </c>
      <c r="L47" s="36" t="s">
        <v>51</v>
      </c>
      <c r="M47" s="26" t="str">
        <f>VLOOKUP(E47,'MTS 2026 registrations'!B:B,1,false)</f>
        <v>#N/A</v>
      </c>
      <c r="N47" s="26" t="str">
        <f>VLOOKUP(B47,'MTS 2026 registrations'!A:A,1,false)</f>
        <v>#N/A</v>
      </c>
      <c r="O47" s="38" t="str">
        <f t="shared" si="2"/>
        <v>Marked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34"/>
      <c r="AE47" s="34"/>
    </row>
    <row r="48" ht="12.75" customHeight="1">
      <c r="A48" s="19" t="str">
        <f t="shared" si="1"/>
        <v>Henk Smith OCRS smithoverseas</v>
      </c>
      <c r="B48" s="19" t="s">
        <v>679</v>
      </c>
      <c r="C48" s="20" t="s">
        <v>680</v>
      </c>
      <c r="D48" s="20" t="s">
        <v>681</v>
      </c>
      <c r="E48" s="21" t="s">
        <v>682</v>
      </c>
      <c r="F48" s="49" t="s">
        <v>683</v>
      </c>
      <c r="G48" s="44" t="s">
        <v>46</v>
      </c>
      <c r="H48" s="25" t="s">
        <v>47</v>
      </c>
      <c r="I48" s="23"/>
      <c r="J48" s="35" t="s">
        <v>684</v>
      </c>
      <c r="K48" s="27" t="s">
        <v>50</v>
      </c>
      <c r="L48" s="36" t="s">
        <v>51</v>
      </c>
      <c r="M48" s="26" t="str">
        <f>VLOOKUP(E48,'MTS 2026 registrations'!B:B,1,false)</f>
        <v>#N/A</v>
      </c>
      <c r="N48" s="26" t="str">
        <f>VLOOKUP(B48,'MTS 2026 registrations'!A:A,1,false)</f>
        <v>#N/A</v>
      </c>
      <c r="O48" s="38" t="str">
        <f t="shared" si="2"/>
        <v>Marked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34"/>
      <c r="AE48" s="34"/>
    </row>
    <row r="49" ht="12.75" customHeight="1">
      <c r="A49" s="19" t="str">
        <f t="shared" si="1"/>
        <v>Iris Schut rvo</v>
      </c>
      <c r="B49" s="19" t="s">
        <v>685</v>
      </c>
      <c r="C49" s="20" t="s">
        <v>686</v>
      </c>
      <c r="D49" s="20" t="s">
        <v>687</v>
      </c>
      <c r="E49" s="21" t="s">
        <v>688</v>
      </c>
      <c r="F49" s="23" t="s">
        <v>689</v>
      </c>
      <c r="G49" s="51" t="s">
        <v>29</v>
      </c>
      <c r="H49" s="25" t="s">
        <v>47</v>
      </c>
      <c r="I49" s="23"/>
      <c r="J49" s="35" t="s">
        <v>690</v>
      </c>
      <c r="K49" s="27" t="s">
        <v>50</v>
      </c>
      <c r="L49" s="36" t="s">
        <v>51</v>
      </c>
      <c r="M49" s="26" t="str">
        <f>VLOOKUP(E49,'MTS 2026 registrations'!B:B,1,false)</f>
        <v>#N/A</v>
      </c>
      <c r="N49" s="26" t="str">
        <f>VLOOKUP(B49,'MTS 2026 registrations'!A:A,1,false)</f>
        <v>#N/A</v>
      </c>
      <c r="O49" s="38" t="str">
        <f t="shared" si="2"/>
        <v>Marked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34"/>
      <c r="AE49" s="34"/>
    </row>
    <row r="50" ht="12.75" customHeight="1">
      <c r="A50" s="19" t="str">
        <f t="shared" si="1"/>
        <v>Isaac Kargar supplyz</v>
      </c>
      <c r="B50" s="19" t="s">
        <v>691</v>
      </c>
      <c r="C50" s="20" t="s">
        <v>692</v>
      </c>
      <c r="D50" s="20" t="s">
        <v>693</v>
      </c>
      <c r="E50" s="21" t="s">
        <v>694</v>
      </c>
      <c r="F50" s="23" t="s">
        <v>695</v>
      </c>
      <c r="G50" s="44" t="s">
        <v>46</v>
      </c>
      <c r="H50" s="25" t="s">
        <v>47</v>
      </c>
      <c r="I50" s="23"/>
      <c r="J50" s="35" t="s">
        <v>696</v>
      </c>
      <c r="K50" s="27" t="s">
        <v>50</v>
      </c>
      <c r="L50" s="36" t="s">
        <v>51</v>
      </c>
      <c r="M50" s="26" t="str">
        <f>VLOOKUP(E50,'MTS 2026 registrations'!B:B,1,false)</f>
        <v>#N/A</v>
      </c>
      <c r="N50" s="26" t="str">
        <f>VLOOKUP(B50,'MTS 2026 registrations'!A:A,1,false)</f>
        <v>#N/A</v>
      </c>
      <c r="O50" s="38" t="str">
        <f t="shared" si="2"/>
        <v>Marked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34"/>
      <c r="AE50" s="34"/>
    </row>
    <row r="51" ht="12.75" customHeight="1">
      <c r="A51" s="19" t="str">
        <f t="shared" si="1"/>
        <v>Jaap Roggeveen Gyromotics</v>
      </c>
      <c r="B51" s="19" t="s">
        <v>697</v>
      </c>
      <c r="C51" s="43" t="s">
        <v>94</v>
      </c>
      <c r="D51" s="43" t="s">
        <v>698</v>
      </c>
      <c r="E51" s="31" t="s">
        <v>699</v>
      </c>
      <c r="F51" s="33" t="s">
        <v>700</v>
      </c>
      <c r="G51" s="51" t="s">
        <v>46</v>
      </c>
      <c r="H51" s="25" t="s">
        <v>47</v>
      </c>
      <c r="I51" s="34"/>
      <c r="J51" s="35" t="s">
        <v>701</v>
      </c>
      <c r="K51" s="27" t="s">
        <v>50</v>
      </c>
      <c r="L51" s="36" t="s">
        <v>51</v>
      </c>
      <c r="M51" s="26" t="str">
        <f>VLOOKUP(E51,'MTS 2026 registrations'!B:B,1,false)</f>
        <v>#N/A</v>
      </c>
      <c r="N51" s="26" t="str">
        <f>VLOOKUP(B51,'MTS 2026 registrations'!A:A,1,false)</f>
        <v>#N/A</v>
      </c>
      <c r="O51" s="38" t="str">
        <f t="shared" si="2"/>
        <v>Marked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</row>
    <row r="52" ht="12.75" customHeight="1">
      <c r="A52" s="19" t="str">
        <f t="shared" si="1"/>
        <v>Jacky Ferdinand Henriette Wetzels Protension Composites</v>
      </c>
      <c r="B52" s="19" t="s">
        <v>702</v>
      </c>
      <c r="C52" s="43" t="s">
        <v>703</v>
      </c>
      <c r="D52" s="43" t="s">
        <v>704</v>
      </c>
      <c r="E52" s="31" t="s">
        <v>705</v>
      </c>
      <c r="F52" s="33" t="s">
        <v>573</v>
      </c>
      <c r="G52" s="51" t="s">
        <v>46</v>
      </c>
      <c r="H52" s="25" t="s">
        <v>47</v>
      </c>
      <c r="I52" s="34"/>
      <c r="J52" s="35" t="s">
        <v>706</v>
      </c>
      <c r="K52" s="27" t="s">
        <v>50</v>
      </c>
      <c r="L52" s="36" t="s">
        <v>51</v>
      </c>
      <c r="M52" s="26" t="str">
        <f>VLOOKUP(E52,'MTS 2026 registrations'!B:B,1,false)</f>
        <v>#N/A</v>
      </c>
      <c r="N52" s="26" t="str">
        <f>VLOOKUP(B52,'MTS 2026 registrations'!A:A,1,false)</f>
        <v>#N/A</v>
      </c>
      <c r="O52" s="38" t="str">
        <f t="shared" si="2"/>
        <v>Marked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</row>
    <row r="53" ht="12.75" customHeight="1">
      <c r="A53" s="19" t="str">
        <f t="shared" si="1"/>
        <v>Jan Van Kranendonk Sunuru</v>
      </c>
      <c r="B53" s="19" t="s">
        <v>708</v>
      </c>
      <c r="C53" s="43" t="s">
        <v>709</v>
      </c>
      <c r="D53" s="43" t="s">
        <v>710</v>
      </c>
      <c r="E53" s="31" t="s">
        <v>711</v>
      </c>
      <c r="F53" s="33" t="s">
        <v>712</v>
      </c>
      <c r="G53" s="51" t="s">
        <v>46</v>
      </c>
      <c r="H53" s="25" t="s">
        <v>47</v>
      </c>
      <c r="I53" s="34"/>
      <c r="J53" s="35" t="s">
        <v>713</v>
      </c>
      <c r="K53" s="27" t="s">
        <v>50</v>
      </c>
      <c r="L53" s="36" t="s">
        <v>51</v>
      </c>
      <c r="M53" s="26" t="str">
        <f>VLOOKUP(E53,'MTS 2026 registrations'!B:B,1,false)</f>
        <v>#N/A</v>
      </c>
      <c r="N53" s="26" t="str">
        <f>VLOOKUP(B53,'MTS 2026 registrations'!A:A,1,false)</f>
        <v>#N/A</v>
      </c>
      <c r="O53" s="38" t="str">
        <f t="shared" si="2"/>
        <v>Marked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</row>
    <row r="54" ht="12.75" customHeight="1">
      <c r="A54" s="19" t="str">
        <f t="shared" si="1"/>
        <v>Jasper Hartong calendar42</v>
      </c>
      <c r="B54" s="19" t="s">
        <v>714</v>
      </c>
      <c r="C54" s="20" t="s">
        <v>715</v>
      </c>
      <c r="D54" s="20" t="s">
        <v>716</v>
      </c>
      <c r="E54" s="21" t="s">
        <v>717</v>
      </c>
      <c r="F54" s="23" t="s">
        <v>718</v>
      </c>
      <c r="G54" s="44" t="s">
        <v>46</v>
      </c>
      <c r="H54" s="25" t="s">
        <v>47</v>
      </c>
      <c r="I54" s="26"/>
      <c r="J54" s="35" t="s">
        <v>719</v>
      </c>
      <c r="K54" s="27" t="s">
        <v>50</v>
      </c>
      <c r="L54" s="36" t="s">
        <v>51</v>
      </c>
      <c r="M54" s="26" t="str">
        <f>VLOOKUP(E54,'MTS 2026 registrations'!B:B,1,false)</f>
        <v>#N/A</v>
      </c>
      <c r="N54" s="26" t="str">
        <f>VLOOKUP(B54,'MTS 2026 registrations'!A:A,1,false)</f>
        <v>#N/A</v>
      </c>
      <c r="O54" s="38" t="str">
        <f t="shared" si="2"/>
        <v>Marked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34"/>
      <c r="AE54" s="34"/>
    </row>
    <row r="55" ht="12.75" customHeight="1">
      <c r="A55" s="19" t="str">
        <f t="shared" si="1"/>
        <v>Jenny Inchbald meshlingerie</v>
      </c>
      <c r="B55" s="19" t="s">
        <v>721</v>
      </c>
      <c r="C55" s="20" t="s">
        <v>177</v>
      </c>
      <c r="D55" s="20" t="s">
        <v>722</v>
      </c>
      <c r="E55" s="21" t="s">
        <v>723</v>
      </c>
      <c r="F55" s="23" t="s">
        <v>724</v>
      </c>
      <c r="G55" s="44" t="s">
        <v>46</v>
      </c>
      <c r="H55" s="25" t="s">
        <v>47</v>
      </c>
      <c r="I55" s="23"/>
      <c r="J55" s="35" t="s">
        <v>725</v>
      </c>
      <c r="K55" s="27" t="s">
        <v>50</v>
      </c>
      <c r="L55" s="36" t="s">
        <v>51</v>
      </c>
      <c r="M55" s="26" t="str">
        <f>VLOOKUP(E55,'MTS 2026 registrations'!B:B,1,false)</f>
        <v>#N/A</v>
      </c>
      <c r="N55" s="26" t="str">
        <f>VLOOKUP(B55,'MTS 2026 registrations'!A:A,1,false)</f>
        <v>#N/A</v>
      </c>
      <c r="O55" s="38" t="str">
        <f t="shared" si="2"/>
        <v>Marked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34"/>
      <c r="AE55" s="34"/>
    </row>
    <row r="56" ht="12.75" customHeight="1">
      <c r="A56" s="19" t="str">
        <f t="shared" si="1"/>
        <v>Jens Bal Ephicas</v>
      </c>
      <c r="B56" s="19" t="s">
        <v>726</v>
      </c>
      <c r="C56" s="43" t="s">
        <v>419</v>
      </c>
      <c r="D56" s="43" t="s">
        <v>727</v>
      </c>
      <c r="E56" s="31" t="s">
        <v>728</v>
      </c>
      <c r="F56" s="33" t="s">
        <v>729</v>
      </c>
      <c r="G56" s="51" t="s">
        <v>46</v>
      </c>
      <c r="H56" s="25" t="s">
        <v>47</v>
      </c>
      <c r="I56" s="34"/>
      <c r="J56" s="35" t="s">
        <v>730</v>
      </c>
      <c r="K56" s="27" t="s">
        <v>50</v>
      </c>
      <c r="L56" s="36" t="s">
        <v>51</v>
      </c>
      <c r="M56" s="26" t="str">
        <f>VLOOKUP(E56,'MTS 2026 registrations'!B:B,1,false)</f>
        <v>#N/A</v>
      </c>
      <c r="N56" s="26" t="str">
        <f>VLOOKUP(B56,'MTS 2026 registrations'!A:A,1,false)</f>
        <v>#N/A</v>
      </c>
      <c r="O56" s="38" t="str">
        <f t="shared" si="2"/>
        <v>Marked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</row>
    <row r="57" ht="12.75" customHeight="1">
      <c r="A57" s="19" t="str">
        <f t="shared" si="1"/>
        <v>Jeroen Checkzis</v>
      </c>
      <c r="B57" s="19" t="s">
        <v>731</v>
      </c>
      <c r="C57" s="43" t="s">
        <v>731</v>
      </c>
      <c r="D57" s="100"/>
      <c r="E57" s="31" t="s">
        <v>732</v>
      </c>
      <c r="F57" s="33" t="s">
        <v>733</v>
      </c>
      <c r="G57" s="51" t="s">
        <v>46</v>
      </c>
      <c r="H57" s="25" t="s">
        <v>47</v>
      </c>
      <c r="I57" s="34"/>
      <c r="J57" s="35" t="s">
        <v>734</v>
      </c>
      <c r="K57" s="27" t="s">
        <v>50</v>
      </c>
      <c r="L57" s="36" t="s">
        <v>51</v>
      </c>
      <c r="M57" s="26" t="str">
        <f>VLOOKUP(E57,'MTS 2026 registrations'!B:B,1,false)</f>
        <v>#N/A</v>
      </c>
      <c r="N57" s="26" t="str">
        <f>VLOOKUP(B57,'MTS 2026 registrations'!A:A,1,false)</f>
        <v>#N/A</v>
      </c>
      <c r="O57" s="38" t="str">
        <f t="shared" si="2"/>
        <v>Marked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</row>
    <row r="58" ht="12.75" customHeight="1">
      <c r="A58" s="19" t="str">
        <f t="shared" si="1"/>
        <v>Jeroen Schipper denhaag</v>
      </c>
      <c r="B58" s="19" t="s">
        <v>735</v>
      </c>
      <c r="C58" s="43" t="s">
        <v>731</v>
      </c>
      <c r="D58" s="43" t="s">
        <v>736</v>
      </c>
      <c r="E58" s="99" t="s">
        <v>737</v>
      </c>
      <c r="F58" s="43" t="s">
        <v>738</v>
      </c>
      <c r="G58" s="44" t="s">
        <v>323</v>
      </c>
      <c r="H58" s="13" t="s">
        <v>45</v>
      </c>
      <c r="I58" s="13"/>
      <c r="J58" s="35" t="s">
        <v>739</v>
      </c>
      <c r="K58" s="27" t="s">
        <v>50</v>
      </c>
      <c r="L58" s="36" t="s">
        <v>51</v>
      </c>
      <c r="M58" s="26" t="str">
        <f>VLOOKUP(E58,'MTS 2026 registrations'!B:B,1,false)</f>
        <v>#N/A</v>
      </c>
      <c r="N58" s="26" t="str">
        <f>VLOOKUP(B58,'MTS 2026 registrations'!A:A,1,false)</f>
        <v>#N/A</v>
      </c>
      <c r="O58" s="38" t="str">
        <f t="shared" si="2"/>
        <v>Marked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</row>
    <row r="59" ht="12.75" customHeight="1">
      <c r="A59" s="19" t="str">
        <f t="shared" si="1"/>
        <v>Jeroen Cevaal Polytential</v>
      </c>
      <c r="B59" s="19" t="s">
        <v>740</v>
      </c>
      <c r="C59" s="43" t="s">
        <v>731</v>
      </c>
      <c r="D59" s="43" t="s">
        <v>741</v>
      </c>
      <c r="E59" s="31" t="s">
        <v>742</v>
      </c>
      <c r="F59" s="33" t="s">
        <v>743</v>
      </c>
      <c r="G59" s="51" t="s">
        <v>46</v>
      </c>
      <c r="H59" s="25" t="s">
        <v>47</v>
      </c>
      <c r="I59" s="34"/>
      <c r="J59" s="35" t="s">
        <v>744</v>
      </c>
      <c r="K59" s="27" t="s">
        <v>50</v>
      </c>
      <c r="L59" s="36" t="s">
        <v>51</v>
      </c>
      <c r="M59" s="26" t="str">
        <f>VLOOKUP(E59,'MTS 2026 registrations'!B:B,1,false)</f>
        <v>#N/A</v>
      </c>
      <c r="N59" s="26" t="str">
        <f>VLOOKUP(B59,'MTS 2026 registrations'!A:A,1,false)</f>
        <v>#N/A</v>
      </c>
      <c r="O59" s="38" t="str">
        <f t="shared" si="2"/>
        <v>Marked</v>
      </c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</row>
    <row r="60" ht="12.75" customHeight="1">
      <c r="A60" s="19" t="str">
        <f t="shared" si="1"/>
        <v>Joep van Heesch IN-DUC</v>
      </c>
      <c r="B60" s="19" t="s">
        <v>745</v>
      </c>
      <c r="C60" s="60" t="s">
        <v>746</v>
      </c>
      <c r="D60" s="60" t="s">
        <v>747</v>
      </c>
      <c r="E60" s="62" t="s">
        <v>748</v>
      </c>
      <c r="F60" s="23" t="s">
        <v>749</v>
      </c>
      <c r="G60" s="51" t="s">
        <v>750</v>
      </c>
      <c r="H60" s="25" t="s">
        <v>31</v>
      </c>
      <c r="I60" s="23"/>
      <c r="J60" s="35" t="s">
        <v>751</v>
      </c>
      <c r="K60" s="27" t="s">
        <v>50</v>
      </c>
      <c r="L60" s="36" t="s">
        <v>51</v>
      </c>
      <c r="M60" s="26" t="str">
        <f>VLOOKUP(E60,'MTS 2026 registrations'!B:B,1,false)</f>
        <v>#N/A</v>
      </c>
      <c r="N60" s="26" t="str">
        <f>VLOOKUP(B60,'MTS 2026 registrations'!A:A,1,false)</f>
        <v>#N/A</v>
      </c>
      <c r="O60" s="38" t="str">
        <f t="shared" si="2"/>
        <v>Marked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34"/>
      <c r="AE60" s="34"/>
    </row>
    <row r="61" ht="12.75" customHeight="1">
      <c r="A61" s="19" t="str">
        <f t="shared" si="1"/>
        <v>Joeri Shake-on</v>
      </c>
      <c r="B61" s="19" t="s">
        <v>752</v>
      </c>
      <c r="C61" s="29" t="s">
        <v>752</v>
      </c>
      <c r="D61" s="109"/>
      <c r="E61" s="31" t="s">
        <v>753</v>
      </c>
      <c r="F61" s="33" t="s">
        <v>754</v>
      </c>
      <c r="G61" s="24" t="s">
        <v>46</v>
      </c>
      <c r="H61" s="25" t="s">
        <v>47</v>
      </c>
      <c r="I61" s="34"/>
      <c r="J61" s="35" t="s">
        <v>755</v>
      </c>
      <c r="K61" s="27" t="s">
        <v>50</v>
      </c>
      <c r="L61" s="36" t="s">
        <v>51</v>
      </c>
      <c r="M61" s="26" t="str">
        <f>VLOOKUP(E61,'MTS 2026 registrations'!B:B,1,false)</f>
        <v>#N/A</v>
      </c>
      <c r="N61" s="26" t="str">
        <f>VLOOKUP(B61,'MTS 2026 registrations'!A:A,1,false)</f>
        <v>#N/A</v>
      </c>
      <c r="O61" s="38" t="str">
        <f t="shared" si="2"/>
        <v>Marked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</row>
    <row r="62" ht="12.75" customHeight="1">
      <c r="A62" s="19" t="str">
        <f t="shared" si="1"/>
        <v>Johannes Luijten adjuvomotion</v>
      </c>
      <c r="B62" s="19" t="s">
        <v>756</v>
      </c>
      <c r="C62" s="20" t="s">
        <v>757</v>
      </c>
      <c r="D62" s="20" t="s">
        <v>758</v>
      </c>
      <c r="E62" s="21" t="s">
        <v>759</v>
      </c>
      <c r="F62" s="23" t="s">
        <v>760</v>
      </c>
      <c r="G62" s="44" t="s">
        <v>46</v>
      </c>
      <c r="H62" s="25" t="s">
        <v>47</v>
      </c>
      <c r="I62" s="26"/>
      <c r="J62" s="35" t="s">
        <v>761</v>
      </c>
      <c r="K62" s="27" t="s">
        <v>50</v>
      </c>
      <c r="L62" s="36" t="s">
        <v>51</v>
      </c>
      <c r="M62" s="26" t="str">
        <f>VLOOKUP(E62,'MTS 2026 registrations'!B:B,1,false)</f>
        <v>#N/A</v>
      </c>
      <c r="N62" s="26" t="str">
        <f>VLOOKUP(B62,'MTS 2026 registrations'!A:A,1,false)</f>
        <v>#N/A</v>
      </c>
      <c r="O62" s="38" t="str">
        <f t="shared" si="2"/>
        <v>Marked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34"/>
      <c r="AE62" s="34"/>
    </row>
    <row r="63" ht="12.75" customHeight="1">
      <c r="A63" s="19" t="str">
        <f t="shared" si="1"/>
        <v>John Harinck Gensos</v>
      </c>
      <c r="B63" s="19" t="s">
        <v>762</v>
      </c>
      <c r="C63" s="43" t="s">
        <v>763</v>
      </c>
      <c r="D63" s="43" t="s">
        <v>764</v>
      </c>
      <c r="E63" s="31" t="s">
        <v>765</v>
      </c>
      <c r="F63" s="33" t="s">
        <v>766</v>
      </c>
      <c r="G63" s="51" t="s">
        <v>46</v>
      </c>
      <c r="H63" s="25" t="s">
        <v>47</v>
      </c>
      <c r="I63" s="34"/>
      <c r="J63" s="35" t="s">
        <v>767</v>
      </c>
      <c r="K63" s="27" t="s">
        <v>50</v>
      </c>
      <c r="L63" s="36" t="s">
        <v>51</v>
      </c>
      <c r="M63" s="26" t="str">
        <f>VLOOKUP(E63,'MTS 2026 registrations'!B:B,1,false)</f>
        <v>#N/A</v>
      </c>
      <c r="N63" s="26" t="str">
        <f>VLOOKUP(B63,'MTS 2026 registrations'!A:A,1,false)</f>
        <v>#N/A</v>
      </c>
      <c r="O63" s="38" t="str">
        <f t="shared" si="2"/>
        <v>Marked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23"/>
      <c r="AE63" s="23"/>
    </row>
    <row r="64" ht="12.75" customHeight="1">
      <c r="A64" s="19" t="str">
        <f t="shared" si="1"/>
        <v>John Beckett vemble</v>
      </c>
      <c r="B64" s="19" t="s">
        <v>768</v>
      </c>
      <c r="C64" s="20" t="s">
        <v>763</v>
      </c>
      <c r="D64" s="20" t="s">
        <v>769</v>
      </c>
      <c r="E64" s="21" t="s">
        <v>770</v>
      </c>
      <c r="F64" s="23" t="s">
        <v>771</v>
      </c>
      <c r="G64" s="44" t="s">
        <v>46</v>
      </c>
      <c r="H64" s="25" t="s">
        <v>47</v>
      </c>
      <c r="I64" s="26"/>
      <c r="J64" s="35" t="s">
        <v>772</v>
      </c>
      <c r="K64" s="27" t="s">
        <v>50</v>
      </c>
      <c r="L64" s="36" t="s">
        <v>51</v>
      </c>
      <c r="M64" s="26" t="str">
        <f>VLOOKUP(E64,'MTS 2026 registrations'!B:B,1,false)</f>
        <v>#N/A</v>
      </c>
      <c r="N64" s="26" t="str">
        <f>VLOOKUP(B64,'MTS 2026 registrations'!A:A,1,false)</f>
        <v>#N/A</v>
      </c>
      <c r="O64" s="38" t="str">
        <f t="shared" si="2"/>
        <v>Marked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</row>
    <row r="65" ht="12.75" customHeight="1">
      <c r="A65" s="19" t="str">
        <f t="shared" si="1"/>
        <v>Joost Bouman atmosuav</v>
      </c>
      <c r="B65" s="19" t="s">
        <v>773</v>
      </c>
      <c r="C65" s="20" t="s">
        <v>774</v>
      </c>
      <c r="D65" s="20" t="s">
        <v>775</v>
      </c>
      <c r="E65" s="21" t="s">
        <v>776</v>
      </c>
      <c r="F65" s="23" t="s">
        <v>596</v>
      </c>
      <c r="G65" s="44" t="s">
        <v>46</v>
      </c>
      <c r="H65" s="25" t="s">
        <v>47</v>
      </c>
      <c r="I65" s="26"/>
      <c r="J65" s="35" t="s">
        <v>777</v>
      </c>
      <c r="K65" s="27" t="s">
        <v>50</v>
      </c>
      <c r="L65" s="36" t="s">
        <v>51</v>
      </c>
      <c r="M65" s="26" t="str">
        <f>VLOOKUP(E65,'MTS 2026 registrations'!B:B,1,false)</f>
        <v>#N/A</v>
      </c>
      <c r="N65" s="26" t="str">
        <f>VLOOKUP(B65,'MTS 2026 registrations'!A:A,1,false)</f>
        <v>#N/A</v>
      </c>
      <c r="O65" s="38" t="str">
        <f t="shared" si="2"/>
        <v>Marked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</row>
    <row r="66" ht="12.75" customHeight="1">
      <c r="A66" s="19" t="str">
        <f t="shared" si="1"/>
        <v>Joost Dekker ChemSIX</v>
      </c>
      <c r="B66" s="19" t="s">
        <v>778</v>
      </c>
      <c r="C66" s="43" t="s">
        <v>774</v>
      </c>
      <c r="D66" s="43" t="s">
        <v>779</v>
      </c>
      <c r="E66" s="31" t="s">
        <v>780</v>
      </c>
      <c r="F66" s="33" t="s">
        <v>781</v>
      </c>
      <c r="G66" s="51" t="s">
        <v>46</v>
      </c>
      <c r="H66" s="25" t="s">
        <v>47</v>
      </c>
      <c r="I66" s="34"/>
      <c r="J66" s="35" t="s">
        <v>782</v>
      </c>
      <c r="K66" s="27" t="s">
        <v>50</v>
      </c>
      <c r="L66" s="36" t="s">
        <v>51</v>
      </c>
      <c r="M66" s="26" t="str">
        <f>VLOOKUP(E66,'MTS 2026 registrations'!B:B,1,false)</f>
        <v>#N/A</v>
      </c>
      <c r="N66" s="26" t="str">
        <f>VLOOKUP(B66,'MTS 2026 registrations'!A:A,1,false)</f>
        <v>#N/A</v>
      </c>
      <c r="O66" s="38" t="str">
        <f t="shared" si="2"/>
        <v>Marked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23"/>
      <c r="AE66" s="23"/>
    </row>
    <row r="67" ht="12.75" customHeight="1">
      <c r="A67" s="19" t="str">
        <f t="shared" si="1"/>
        <v>Joost Dieben maeve</v>
      </c>
      <c r="B67" s="19" t="s">
        <v>783</v>
      </c>
      <c r="C67" s="20" t="s">
        <v>774</v>
      </c>
      <c r="D67" s="20" t="s">
        <v>784</v>
      </c>
      <c r="E67" s="21" t="s">
        <v>785</v>
      </c>
      <c r="F67" s="29" t="s">
        <v>786</v>
      </c>
      <c r="G67" s="44" t="s">
        <v>46</v>
      </c>
      <c r="H67" s="25" t="s">
        <v>47</v>
      </c>
      <c r="I67" s="23"/>
      <c r="J67" s="35" t="s">
        <v>787</v>
      </c>
      <c r="K67" s="27" t="s">
        <v>50</v>
      </c>
      <c r="L67" s="36" t="s">
        <v>51</v>
      </c>
      <c r="M67" s="26" t="str">
        <f>VLOOKUP(E67,'MTS 2026 registrations'!B:B,1,false)</f>
        <v>#N/A</v>
      </c>
      <c r="N67" s="26" t="str">
        <f>VLOOKUP(B67,'MTS 2026 registrations'!A:A,1,false)</f>
        <v>#N/A</v>
      </c>
      <c r="O67" s="38" t="str">
        <f t="shared" si="2"/>
        <v>Marked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34"/>
      <c r="AE67" s="34"/>
    </row>
    <row r="68" ht="12.75" customHeight="1">
      <c r="A68" s="19" t="str">
        <f t="shared" si="1"/>
        <v>Joost van Oorschot Synkick</v>
      </c>
      <c r="B68" s="19" t="s">
        <v>788</v>
      </c>
      <c r="C68" s="43" t="s">
        <v>774</v>
      </c>
      <c r="D68" s="43" t="s">
        <v>789</v>
      </c>
      <c r="E68" s="31" t="s">
        <v>790</v>
      </c>
      <c r="F68" s="33" t="s">
        <v>791</v>
      </c>
      <c r="G68" s="51" t="s">
        <v>46</v>
      </c>
      <c r="H68" s="25" t="s">
        <v>47</v>
      </c>
      <c r="I68" s="34"/>
      <c r="J68" s="35" t="s">
        <v>792</v>
      </c>
      <c r="K68" s="27" t="s">
        <v>50</v>
      </c>
      <c r="L68" s="36" t="s">
        <v>51</v>
      </c>
      <c r="M68" s="26" t="str">
        <f>VLOOKUP(E68,'MTS 2026 registrations'!B:B,1,false)</f>
        <v>#N/A</v>
      </c>
      <c r="N68" s="26" t="str">
        <f>VLOOKUP(B68,'MTS 2026 registrations'!A:A,1,false)</f>
        <v>#N/A</v>
      </c>
      <c r="O68" s="38" t="str">
        <f t="shared" si="2"/>
        <v>Marked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</row>
    <row r="69" ht="12.75" customHeight="1">
      <c r="A69" s="19" t="str">
        <f t="shared" si="1"/>
        <v>Jorrit Lucas Peeeks</v>
      </c>
      <c r="B69" s="19" t="s">
        <v>793</v>
      </c>
      <c r="C69" s="43" t="s">
        <v>794</v>
      </c>
      <c r="D69" s="43" t="s">
        <v>221</v>
      </c>
      <c r="E69" s="31" t="s">
        <v>795</v>
      </c>
      <c r="F69" s="33" t="s">
        <v>796</v>
      </c>
      <c r="G69" s="51" t="s">
        <v>46</v>
      </c>
      <c r="H69" s="25" t="s">
        <v>47</v>
      </c>
      <c r="I69" s="34"/>
      <c r="J69" s="35" t="s">
        <v>797</v>
      </c>
      <c r="K69" s="27" t="s">
        <v>50</v>
      </c>
      <c r="L69" s="36" t="s">
        <v>51</v>
      </c>
      <c r="M69" s="26" t="str">
        <f>VLOOKUP(E69,'MTS 2026 registrations'!B:B,1,false)</f>
        <v>#N/A</v>
      </c>
      <c r="N69" s="26" t="str">
        <f>VLOOKUP(B69,'MTS 2026 registrations'!A:A,1,false)</f>
        <v>#N/A</v>
      </c>
      <c r="O69" s="38" t="str">
        <f t="shared" si="2"/>
        <v>Marked</v>
      </c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0" ht="12.75" customHeight="1">
      <c r="A70" s="19" t="str">
        <f t="shared" si="1"/>
        <v>K G Smit Gensos</v>
      </c>
      <c r="B70" s="19" t="s">
        <v>799</v>
      </c>
      <c r="C70" s="43" t="s">
        <v>800</v>
      </c>
      <c r="D70" s="43" t="s">
        <v>521</v>
      </c>
      <c r="E70" s="31" t="s">
        <v>801</v>
      </c>
      <c r="F70" s="33" t="s">
        <v>766</v>
      </c>
      <c r="G70" s="51" t="s">
        <v>46</v>
      </c>
      <c r="H70" s="25" t="s">
        <v>47</v>
      </c>
      <c r="I70" s="34"/>
      <c r="J70" s="35" t="s">
        <v>802</v>
      </c>
      <c r="K70" s="27" t="s">
        <v>50</v>
      </c>
      <c r="L70" s="36" t="s">
        <v>51</v>
      </c>
      <c r="M70" s="26" t="str">
        <f>VLOOKUP(E70,'MTS 2026 registrations'!B:B,1,false)</f>
        <v>#N/A</v>
      </c>
      <c r="N70" s="26" t="str">
        <f>VLOOKUP(B70,'MTS 2026 registrations'!A:A,1,false)</f>
        <v>#N/A</v>
      </c>
      <c r="O70" s="38" t="str">
        <f t="shared" si="2"/>
        <v>Marked</v>
      </c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</row>
    <row r="71" ht="12.75" customHeight="1">
      <c r="A71" s="19" t="str">
        <f t="shared" si="1"/>
        <v>Koen Bertels Bluebee</v>
      </c>
      <c r="B71" s="19" t="s">
        <v>803</v>
      </c>
      <c r="C71" s="43" t="s">
        <v>804</v>
      </c>
      <c r="D71" s="43" t="s">
        <v>805</v>
      </c>
      <c r="E71" s="31" t="s">
        <v>806</v>
      </c>
      <c r="F71" s="33" t="s">
        <v>807</v>
      </c>
      <c r="G71" s="44" t="s">
        <v>46</v>
      </c>
      <c r="H71" s="25" t="s">
        <v>47</v>
      </c>
      <c r="I71" s="34"/>
      <c r="J71" s="35" t="s">
        <v>808</v>
      </c>
      <c r="K71" s="27" t="s">
        <v>50</v>
      </c>
      <c r="L71" s="36" t="s">
        <v>51</v>
      </c>
      <c r="M71" s="26" t="str">
        <f>VLOOKUP(E71,'MTS 2026 registrations'!B:B,1,false)</f>
        <v>#N/A</v>
      </c>
      <c r="N71" s="26" t="str">
        <f>VLOOKUP(B71,'MTS 2026 registrations'!A:A,1,false)</f>
        <v>#N/A</v>
      </c>
      <c r="O71" s="38" t="str">
        <f t="shared" si="2"/>
        <v>Marked</v>
      </c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</row>
    <row r="72" ht="12.75" customHeight="1">
      <c r="A72" s="19" t="str">
        <f t="shared" si="1"/>
        <v>Koen FlexSol Solutions</v>
      </c>
      <c r="B72" s="19" t="s">
        <v>804</v>
      </c>
      <c r="C72" s="43" t="s">
        <v>804</v>
      </c>
      <c r="D72" s="100"/>
      <c r="E72" s="31" t="s">
        <v>809</v>
      </c>
      <c r="F72" s="33" t="s">
        <v>810</v>
      </c>
      <c r="G72" s="51" t="s">
        <v>46</v>
      </c>
      <c r="H72" s="25" t="s">
        <v>47</v>
      </c>
      <c r="I72" s="34"/>
      <c r="J72" s="35" t="s">
        <v>811</v>
      </c>
      <c r="K72" s="27" t="s">
        <v>50</v>
      </c>
      <c r="L72" s="36" t="s">
        <v>51</v>
      </c>
      <c r="M72" s="26" t="str">
        <f>VLOOKUP(E72,'MTS 2026 registrations'!B:B,1,false)</f>
        <v>#N/A</v>
      </c>
      <c r="N72" s="26" t="str">
        <f>VLOOKUP(B72,'MTS 2026 registrations'!A:A,1,false)</f>
        <v>#N/A</v>
      </c>
      <c r="O72" s="38" t="str">
        <f t="shared" si="2"/>
        <v>Marked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</row>
    <row r="73" ht="12.75" customHeight="1">
      <c r="A73" s="19" t="str">
        <f t="shared" si="1"/>
        <v>Koen van der Maaden uprax</v>
      </c>
      <c r="B73" s="19" t="s">
        <v>812</v>
      </c>
      <c r="C73" s="20" t="s">
        <v>804</v>
      </c>
      <c r="D73" s="20" t="s">
        <v>813</v>
      </c>
      <c r="E73" s="21" t="s">
        <v>814</v>
      </c>
      <c r="F73" s="23" t="s">
        <v>815</v>
      </c>
      <c r="G73" s="44" t="s">
        <v>46</v>
      </c>
      <c r="H73" s="25" t="s">
        <v>47</v>
      </c>
      <c r="I73" s="68"/>
      <c r="J73" s="35" t="s">
        <v>816</v>
      </c>
      <c r="K73" s="27" t="s">
        <v>50</v>
      </c>
      <c r="L73" s="36" t="s">
        <v>51</v>
      </c>
      <c r="M73" s="26" t="str">
        <f>VLOOKUP(E73,'MTS 2026 registrations'!B:B,1,false)</f>
        <v>#N/A</v>
      </c>
      <c r="N73" s="26" t="str">
        <f>VLOOKUP(B73,'MTS 2026 registrations'!A:A,1,false)</f>
        <v>#N/A</v>
      </c>
      <c r="O73" s="38" t="str">
        <f t="shared" si="2"/>
        <v>Marked</v>
      </c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</row>
    <row r="74" ht="12.75" customHeight="1">
      <c r="A74" s="19" t="str">
        <f t="shared" si="1"/>
        <v>Leander Ross Type22 (QuinTech)</v>
      </c>
      <c r="B74" s="19" t="s">
        <v>817</v>
      </c>
      <c r="C74" s="43" t="s">
        <v>818</v>
      </c>
      <c r="D74" s="43" t="s">
        <v>819</v>
      </c>
      <c r="E74" s="31" t="s">
        <v>820</v>
      </c>
      <c r="F74" s="33" t="s">
        <v>821</v>
      </c>
      <c r="G74" s="51" t="s">
        <v>46</v>
      </c>
      <c r="H74" s="25" t="s">
        <v>47</v>
      </c>
      <c r="I74" s="34"/>
      <c r="J74" s="35" t="s">
        <v>822</v>
      </c>
      <c r="K74" s="27" t="s">
        <v>50</v>
      </c>
      <c r="L74" s="36" t="s">
        <v>51</v>
      </c>
      <c r="M74" s="26" t="str">
        <f>VLOOKUP(E74,'MTS 2026 registrations'!B:B,1,false)</f>
        <v>#N/A</v>
      </c>
      <c r="N74" s="26" t="str">
        <f>VLOOKUP(B74,'MTS 2026 registrations'!A:A,1,false)</f>
        <v>#N/A</v>
      </c>
      <c r="O74" s="38" t="str">
        <f t="shared" si="2"/>
        <v>Marked</v>
      </c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</row>
    <row r="75" ht="12.75" customHeight="1">
      <c r="A75" s="19" t="str">
        <f t="shared" si="1"/>
        <v>Lidewij van Twillert meshlingerie</v>
      </c>
      <c r="B75" s="19" t="s">
        <v>823</v>
      </c>
      <c r="C75" s="20" t="s">
        <v>824</v>
      </c>
      <c r="D75" s="20" t="s">
        <v>825</v>
      </c>
      <c r="E75" s="21" t="s">
        <v>826</v>
      </c>
      <c r="F75" s="23" t="s">
        <v>724</v>
      </c>
      <c r="G75" s="44" t="s">
        <v>46</v>
      </c>
      <c r="H75" s="25" t="s">
        <v>47</v>
      </c>
      <c r="I75" s="34"/>
      <c r="J75" s="35" t="s">
        <v>827</v>
      </c>
      <c r="K75" s="27" t="s">
        <v>50</v>
      </c>
      <c r="L75" s="36" t="s">
        <v>51</v>
      </c>
      <c r="M75" s="26" t="str">
        <f>VLOOKUP(E75,'MTS 2026 registrations'!B:B,1,false)</f>
        <v>#N/A</v>
      </c>
      <c r="N75" s="26" t="str">
        <f>VLOOKUP(B75,'MTS 2026 registrations'!A:A,1,false)</f>
        <v>#N/A</v>
      </c>
      <c r="O75" s="38" t="str">
        <f t="shared" si="2"/>
        <v>Marked</v>
      </c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</row>
    <row r="76" ht="12.75" customHeight="1">
      <c r="A76" s="19" t="str">
        <f t="shared" si="1"/>
        <v>Lisanne van Dijk Crescent Technologies</v>
      </c>
      <c r="B76" s="19" t="s">
        <v>828</v>
      </c>
      <c r="C76" s="43" t="s">
        <v>829</v>
      </c>
      <c r="D76" s="43" t="s">
        <v>830</v>
      </c>
      <c r="E76" s="31" t="s">
        <v>831</v>
      </c>
      <c r="F76" s="33" t="s">
        <v>832</v>
      </c>
      <c r="G76" s="44" t="s">
        <v>46</v>
      </c>
      <c r="H76" s="25" t="s">
        <v>47</v>
      </c>
      <c r="I76" s="34"/>
      <c r="J76" s="35" t="s">
        <v>833</v>
      </c>
      <c r="K76" s="27" t="s">
        <v>50</v>
      </c>
      <c r="L76" s="36" t="s">
        <v>51</v>
      </c>
      <c r="M76" s="26" t="str">
        <f>VLOOKUP(E76,'MTS 2026 registrations'!B:B,1,false)</f>
        <v>#N/A</v>
      </c>
      <c r="N76" s="26" t="str">
        <f>VLOOKUP(B76,'MTS 2026 registrations'!A:A,1,false)</f>
        <v>#N/A</v>
      </c>
      <c r="O76" s="38" t="str">
        <f t="shared" si="2"/>
        <v>Marked</v>
      </c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</row>
    <row r="77" ht="12.75" customHeight="1">
      <c r="A77" s="19" t="str">
        <f t="shared" si="1"/>
        <v>M Wisse Lacquey Robot Grasping Solutions</v>
      </c>
      <c r="B77" s="19" t="s">
        <v>834</v>
      </c>
      <c r="C77" s="43" t="s">
        <v>835</v>
      </c>
      <c r="D77" s="43" t="s">
        <v>836</v>
      </c>
      <c r="E77" s="31" t="s">
        <v>837</v>
      </c>
      <c r="F77" s="33" t="s">
        <v>838</v>
      </c>
      <c r="G77" s="51" t="s">
        <v>46</v>
      </c>
      <c r="H77" s="110" t="s">
        <v>47</v>
      </c>
      <c r="I77" s="34"/>
      <c r="J77" s="35" t="s">
        <v>839</v>
      </c>
      <c r="K77" s="27" t="s">
        <v>50</v>
      </c>
      <c r="L77" s="36" t="s">
        <v>51</v>
      </c>
      <c r="M77" s="26" t="str">
        <f>VLOOKUP(E77,'MTS 2026 registrations'!B:B,1,false)</f>
        <v>#N/A</v>
      </c>
      <c r="N77" s="26" t="str">
        <f>VLOOKUP(B77,'MTS 2026 registrations'!A:A,1,false)</f>
        <v>#N/A</v>
      </c>
      <c r="O77" s="38" t="str">
        <f t="shared" si="2"/>
        <v>Marked</v>
      </c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</row>
    <row r="78" ht="12.75" customHeight="1">
      <c r="A78" s="19" t="str">
        <f t="shared" si="1"/>
        <v>M de meijer Nerdalize</v>
      </c>
      <c r="B78" s="19" t="s">
        <v>840</v>
      </c>
      <c r="C78" s="43" t="s">
        <v>835</v>
      </c>
      <c r="D78" s="43" t="s">
        <v>841</v>
      </c>
      <c r="E78" s="31" t="s">
        <v>842</v>
      </c>
      <c r="F78" s="33" t="s">
        <v>843</v>
      </c>
      <c r="G78" s="51" t="s">
        <v>46</v>
      </c>
      <c r="H78" s="25" t="s">
        <v>47</v>
      </c>
      <c r="I78" s="34"/>
      <c r="J78" s="35" t="s">
        <v>844</v>
      </c>
      <c r="K78" s="27" t="s">
        <v>50</v>
      </c>
      <c r="L78" s="36" t="s">
        <v>51</v>
      </c>
      <c r="M78" s="26" t="str">
        <f>VLOOKUP(E78,'MTS 2026 registrations'!B:B,1,false)</f>
        <v>#N/A</v>
      </c>
      <c r="N78" s="26" t="str">
        <f>VLOOKUP(B78,'MTS 2026 registrations'!A:A,1,false)</f>
        <v>#N/A</v>
      </c>
      <c r="O78" s="38" t="str">
        <f t="shared" si="2"/>
        <v>Marked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</row>
    <row r="79" ht="12.75" customHeight="1">
      <c r="A79" s="19" t="str">
        <f t="shared" si="1"/>
        <v>Maarten Kuijper deltasync</v>
      </c>
      <c r="B79" s="19" t="s">
        <v>845</v>
      </c>
      <c r="C79" s="20" t="s">
        <v>261</v>
      </c>
      <c r="D79" s="20" t="s">
        <v>846</v>
      </c>
      <c r="E79" s="21" t="s">
        <v>847</v>
      </c>
      <c r="F79" s="23" t="s">
        <v>848</v>
      </c>
      <c r="G79" s="44" t="s">
        <v>46</v>
      </c>
      <c r="H79" s="25" t="s">
        <v>47</v>
      </c>
      <c r="I79" s="34"/>
      <c r="J79" s="35" t="s">
        <v>849</v>
      </c>
      <c r="K79" s="27" t="s">
        <v>50</v>
      </c>
      <c r="L79" s="36" t="s">
        <v>51</v>
      </c>
      <c r="M79" s="26" t="str">
        <f>VLOOKUP(E79,'MTS 2026 registrations'!B:B,1,false)</f>
        <v>#N/A</v>
      </c>
      <c r="N79" s="26" t="str">
        <f>VLOOKUP(B79,'MTS 2026 registrations'!A:A,1,false)</f>
        <v>#N/A</v>
      </c>
      <c r="O79" s="38" t="str">
        <f t="shared" si="2"/>
        <v>Marked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23"/>
      <c r="AE79" s="23"/>
    </row>
    <row r="80" ht="12.75" customHeight="1">
      <c r="A80" s="19" t="str">
        <f t="shared" si="1"/>
        <v>Maayke Aimee Damen Excess Materials Exchange</v>
      </c>
      <c r="B80" s="19" t="s">
        <v>850</v>
      </c>
      <c r="C80" s="43" t="s">
        <v>851</v>
      </c>
      <c r="D80" s="43" t="s">
        <v>852</v>
      </c>
      <c r="E80" s="31" t="s">
        <v>853</v>
      </c>
      <c r="F80" s="33" t="s">
        <v>854</v>
      </c>
      <c r="G80" s="44" t="s">
        <v>46</v>
      </c>
      <c r="H80" s="25" t="s">
        <v>47</v>
      </c>
      <c r="I80" s="34"/>
      <c r="J80" s="35" t="s">
        <v>855</v>
      </c>
      <c r="K80" s="27" t="s">
        <v>50</v>
      </c>
      <c r="L80" s="36" t="s">
        <v>51</v>
      </c>
      <c r="M80" s="26" t="str">
        <f>VLOOKUP(E80,'MTS 2026 registrations'!B:B,1,false)</f>
        <v>#N/A</v>
      </c>
      <c r="N80" s="26" t="str">
        <f>VLOOKUP(B80,'MTS 2026 registrations'!A:A,1,false)</f>
        <v>#N/A</v>
      </c>
      <c r="O80" s="38" t="str">
        <f t="shared" si="2"/>
        <v>Marked</v>
      </c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</row>
    <row r="81" ht="12.75" customHeight="1">
      <c r="A81" s="19" t="str">
        <f t="shared" si="1"/>
        <v>Marcel Kroezen Mungosworks</v>
      </c>
      <c r="B81" s="19" t="s">
        <v>856</v>
      </c>
      <c r="C81" s="29" t="s">
        <v>857</v>
      </c>
      <c r="D81" s="29" t="s">
        <v>858</v>
      </c>
      <c r="E81" s="31" t="s">
        <v>859</v>
      </c>
      <c r="F81" s="33" t="s">
        <v>74</v>
      </c>
      <c r="G81" s="32" t="s">
        <v>46</v>
      </c>
      <c r="H81" s="25" t="s">
        <v>47</v>
      </c>
      <c r="I81" s="13"/>
      <c r="J81" s="35" t="s">
        <v>860</v>
      </c>
      <c r="K81" s="27" t="s">
        <v>50</v>
      </c>
      <c r="L81" s="36" t="s">
        <v>51</v>
      </c>
      <c r="M81" s="26" t="str">
        <f>VLOOKUP(E81,'MTS 2026 registrations'!B:B,1,false)</f>
        <v>#N/A</v>
      </c>
      <c r="N81" s="26" t="str">
        <f>VLOOKUP(B81,'MTS 2026 registrations'!A:A,1,false)</f>
        <v>#N/A</v>
      </c>
      <c r="O81" s="38" t="str">
        <f t="shared" si="2"/>
        <v>Marked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</row>
    <row r="82" ht="12.75" customHeight="1">
      <c r="A82" s="19" t="str">
        <f t="shared" si="1"/>
        <v>Marie-jose Tekkoo</v>
      </c>
      <c r="B82" s="19" t="s">
        <v>861</v>
      </c>
      <c r="C82" s="97" t="s">
        <v>861</v>
      </c>
      <c r="D82" s="98"/>
      <c r="E82" s="99"/>
      <c r="F82" s="97" t="s">
        <v>862</v>
      </c>
      <c r="G82" s="44" t="s">
        <v>56</v>
      </c>
      <c r="H82" s="13" t="s">
        <v>45</v>
      </c>
      <c r="I82" s="34"/>
      <c r="J82" s="35"/>
      <c r="K82" s="27" t="s">
        <v>32</v>
      </c>
      <c r="L82" s="36" t="s">
        <v>51</v>
      </c>
      <c r="M82" s="26" t="str">
        <f>VLOOKUP(E82,'MTS 2026 registrations'!B:B,1,false)</f>
        <v>#N/A</v>
      </c>
      <c r="N82" s="26" t="str">
        <f>VLOOKUP(B82,'MTS 2026 registrations'!A:A,1,false)</f>
        <v>#N/A</v>
      </c>
      <c r="O82" s="38" t="str">
        <f t="shared" si="2"/>
        <v>Marked</v>
      </c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</row>
    <row r="83" ht="12.75" customHeight="1">
      <c r="A83" s="19" t="str">
        <f t="shared" si="1"/>
        <v>Marije Wassenaar ams-institute.org</v>
      </c>
      <c r="B83" s="19" t="s">
        <v>863</v>
      </c>
      <c r="C83" s="20" t="s">
        <v>864</v>
      </c>
      <c r="D83" s="20" t="s">
        <v>865</v>
      </c>
      <c r="E83" s="21" t="s">
        <v>866</v>
      </c>
      <c r="F83" s="23" t="s">
        <v>867</v>
      </c>
      <c r="G83" s="106" t="s">
        <v>69</v>
      </c>
      <c r="H83" s="25" t="s">
        <v>139</v>
      </c>
      <c r="I83" s="26"/>
      <c r="J83" s="35" t="s">
        <v>868</v>
      </c>
      <c r="K83" s="27" t="s">
        <v>50</v>
      </c>
      <c r="L83" s="36" t="s">
        <v>51</v>
      </c>
      <c r="M83" s="26" t="str">
        <f>VLOOKUP(E83,'MTS 2026 registrations'!B:B,1,false)</f>
        <v>#N/A</v>
      </c>
      <c r="N83" s="26" t="str">
        <f>VLOOKUP(B83,'MTS 2026 registrations'!A:A,1,false)</f>
        <v>#N/A</v>
      </c>
      <c r="O83" s="38" t="str">
        <f t="shared" si="2"/>
        <v>Marked</v>
      </c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</row>
    <row r="84" ht="12.75" customHeight="1">
      <c r="A84" s="19" t="str">
        <f t="shared" si="1"/>
        <v>Marijn Flipse Boltmobility</v>
      </c>
      <c r="B84" s="19" t="s">
        <v>869</v>
      </c>
      <c r="C84" s="43" t="s">
        <v>870</v>
      </c>
      <c r="D84" s="43" t="s">
        <v>871</v>
      </c>
      <c r="E84" s="111" t="s">
        <v>872</v>
      </c>
      <c r="F84" s="33" t="s">
        <v>873</v>
      </c>
      <c r="G84" s="44" t="s">
        <v>46</v>
      </c>
      <c r="H84" s="25" t="s">
        <v>47</v>
      </c>
      <c r="I84" s="34"/>
      <c r="J84" s="35" t="s">
        <v>874</v>
      </c>
      <c r="K84" s="27" t="s">
        <v>50</v>
      </c>
      <c r="L84" s="36" t="s">
        <v>51</v>
      </c>
      <c r="M84" s="26" t="str">
        <f>VLOOKUP(E84,'MTS 2026 registrations'!B:B,1,false)</f>
        <v>#N/A</v>
      </c>
      <c r="N84" s="26" t="str">
        <f>VLOOKUP(B84,'MTS 2026 registrations'!A:A,1,false)</f>
        <v>#N/A</v>
      </c>
      <c r="O84" s="38" t="str">
        <f t="shared" si="2"/>
        <v>Marked</v>
      </c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</row>
    <row r="85" ht="12.75" customHeight="1">
      <c r="A85" s="19" t="str">
        <f t="shared" si="1"/>
        <v>Mark Appels ABU Engineered Solutions</v>
      </c>
      <c r="B85" s="19" t="s">
        <v>875</v>
      </c>
      <c r="C85" s="43" t="s">
        <v>876</v>
      </c>
      <c r="D85" s="43" t="s">
        <v>877</v>
      </c>
      <c r="E85" s="80" t="s">
        <v>878</v>
      </c>
      <c r="F85" s="33" t="s">
        <v>879</v>
      </c>
      <c r="G85" s="51" t="s">
        <v>46</v>
      </c>
      <c r="H85" s="25" t="s">
        <v>47</v>
      </c>
      <c r="I85" s="34"/>
      <c r="J85" s="35" t="s">
        <v>880</v>
      </c>
      <c r="K85" s="27" t="s">
        <v>50</v>
      </c>
      <c r="L85" s="36" t="s">
        <v>51</v>
      </c>
      <c r="M85" s="26" t="str">
        <f>VLOOKUP(E85,'MTS 2026 registrations'!B:B,1,false)</f>
        <v>#N/A</v>
      </c>
      <c r="N85" s="26" t="str">
        <f>VLOOKUP(B85,'MTS 2026 registrations'!A:A,1,false)</f>
        <v>#N/A</v>
      </c>
      <c r="O85" s="38" t="str">
        <f t="shared" si="2"/>
        <v>Marked</v>
      </c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</row>
    <row r="86" ht="12.75" customHeight="1">
      <c r="A86" s="19" t="str">
        <f t="shared" si="1"/>
        <v>Martijn Vogten steljevraag</v>
      </c>
      <c r="B86" s="19" t="s">
        <v>881</v>
      </c>
      <c r="C86" s="20" t="s">
        <v>882</v>
      </c>
      <c r="D86" s="20" t="s">
        <v>883</v>
      </c>
      <c r="E86" s="21" t="s">
        <v>884</v>
      </c>
      <c r="F86" s="23" t="s">
        <v>885</v>
      </c>
      <c r="G86" s="44" t="s">
        <v>46</v>
      </c>
      <c r="H86" s="25" t="s">
        <v>47</v>
      </c>
      <c r="I86" s="34"/>
      <c r="J86" s="35" t="s">
        <v>886</v>
      </c>
      <c r="K86" s="27" t="s">
        <v>50</v>
      </c>
      <c r="L86" s="36" t="s">
        <v>51</v>
      </c>
      <c r="M86" s="26" t="str">
        <f>VLOOKUP(E86,'MTS 2026 registrations'!B:B,1,false)</f>
        <v>#N/A</v>
      </c>
      <c r="N86" s="26" t="str">
        <f>VLOOKUP(B86,'MTS 2026 registrations'!A:A,1,false)</f>
        <v>#N/A</v>
      </c>
      <c r="O86" s="38" t="str">
        <f t="shared" si="2"/>
        <v>Marked</v>
      </c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</row>
    <row r="87" ht="12.75" customHeight="1">
      <c r="A87" s="19" t="str">
        <f t="shared" si="1"/>
        <v>Martin van Hemert lexiq</v>
      </c>
      <c r="B87" s="19" t="s">
        <v>887</v>
      </c>
      <c r="C87" s="20" t="s">
        <v>888</v>
      </c>
      <c r="D87" s="20" t="s">
        <v>889</v>
      </c>
      <c r="E87" s="21" t="s">
        <v>890</v>
      </c>
      <c r="F87" s="23" t="s">
        <v>891</v>
      </c>
      <c r="G87" s="32" t="s">
        <v>46</v>
      </c>
      <c r="H87" s="25" t="s">
        <v>47</v>
      </c>
      <c r="I87" s="13"/>
      <c r="J87" s="35" t="s">
        <v>892</v>
      </c>
      <c r="K87" s="27" t="s">
        <v>50</v>
      </c>
      <c r="L87" s="36" t="s">
        <v>51</v>
      </c>
      <c r="M87" s="26" t="str">
        <f>VLOOKUP(E87,'MTS 2026 registrations'!B:B,1,false)</f>
        <v>#N/A</v>
      </c>
      <c r="N87" s="26" t="str">
        <f>VLOOKUP(B87,'MTS 2026 registrations'!A:A,1,false)</f>
        <v>#N/A</v>
      </c>
      <c r="O87" s="38" t="str">
        <f t="shared" si="2"/>
        <v>Marked</v>
      </c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</row>
    <row r="88" ht="12.75" customHeight="1">
      <c r="A88" s="19" t="str">
        <f t="shared" si="1"/>
        <v>Martin prins The Datacenter Group</v>
      </c>
      <c r="B88" s="19" t="s">
        <v>893</v>
      </c>
      <c r="C88" s="43" t="s">
        <v>888</v>
      </c>
      <c r="D88" s="43" t="s">
        <v>894</v>
      </c>
      <c r="E88" s="31" t="s">
        <v>895</v>
      </c>
      <c r="F88" s="33" t="s">
        <v>896</v>
      </c>
      <c r="G88" s="51" t="s">
        <v>46</v>
      </c>
      <c r="H88" s="25" t="s">
        <v>47</v>
      </c>
      <c r="I88" s="34"/>
      <c r="J88" s="35" t="s">
        <v>897</v>
      </c>
      <c r="K88" s="27" t="s">
        <v>50</v>
      </c>
      <c r="L88" s="36" t="s">
        <v>51</v>
      </c>
      <c r="M88" s="26" t="str">
        <f>VLOOKUP(E88,'MTS 2026 registrations'!B:B,1,false)</f>
        <v>#N/A</v>
      </c>
      <c r="N88" s="26" t="str">
        <f>VLOOKUP(B88,'MTS 2026 registrations'!A:A,1,false)</f>
        <v>#N/A</v>
      </c>
      <c r="O88" s="38" t="str">
        <f t="shared" si="2"/>
        <v>Marked</v>
      </c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</row>
    <row r="89" ht="12.75" customHeight="1">
      <c r="A89" s="19" t="str">
        <f t="shared" si="1"/>
        <v>Mels van Hoolwerff solarmonkey</v>
      </c>
      <c r="B89" s="19" t="s">
        <v>898</v>
      </c>
      <c r="C89" s="20" t="s">
        <v>899</v>
      </c>
      <c r="D89" s="20" t="s">
        <v>900</v>
      </c>
      <c r="E89" s="21" t="s">
        <v>901</v>
      </c>
      <c r="F89" s="23" t="s">
        <v>902</v>
      </c>
      <c r="G89" s="44" t="s">
        <v>46</v>
      </c>
      <c r="H89" s="25" t="s">
        <v>47</v>
      </c>
      <c r="I89" s="34"/>
      <c r="J89" s="35" t="s">
        <v>903</v>
      </c>
      <c r="K89" s="27" t="s">
        <v>50</v>
      </c>
      <c r="L89" s="36" t="s">
        <v>51</v>
      </c>
      <c r="M89" s="26" t="str">
        <f>VLOOKUP(E89,'MTS 2026 registrations'!B:B,1,false)</f>
        <v>#N/A</v>
      </c>
      <c r="N89" s="26" t="str">
        <f>VLOOKUP(B89,'MTS 2026 registrations'!A:A,1,false)</f>
        <v>#N/A</v>
      </c>
      <c r="O89" s="38" t="str">
        <f t="shared" si="2"/>
        <v>Marked</v>
      </c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  <row r="90" ht="12.75" customHeight="1">
      <c r="A90" s="19" t="str">
        <f t="shared" si="1"/>
        <v>Michael van der Cammen LexIQ</v>
      </c>
      <c r="B90" s="19" t="s">
        <v>904</v>
      </c>
      <c r="C90" s="43" t="s">
        <v>569</v>
      </c>
      <c r="D90" s="43" t="s">
        <v>905</v>
      </c>
      <c r="E90" s="31" t="s">
        <v>906</v>
      </c>
      <c r="F90" s="33" t="s">
        <v>907</v>
      </c>
      <c r="G90" s="51" t="s">
        <v>46</v>
      </c>
      <c r="H90" s="25" t="s">
        <v>47</v>
      </c>
      <c r="I90" s="34"/>
      <c r="J90" s="35" t="s">
        <v>908</v>
      </c>
      <c r="K90" s="27" t="s">
        <v>50</v>
      </c>
      <c r="L90" s="36" t="s">
        <v>51</v>
      </c>
      <c r="M90" s="26" t="str">
        <f>VLOOKUP(E90,'MTS 2026 registrations'!B:B,1,false)</f>
        <v>#N/A</v>
      </c>
      <c r="N90" s="26" t="str">
        <f>VLOOKUP(B90,'MTS 2026 registrations'!A:A,1,false)</f>
        <v>#N/A</v>
      </c>
      <c r="O90" s="38" t="str">
        <f t="shared" si="2"/>
        <v>Marked</v>
      </c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</row>
    <row r="91" ht="12.75" customHeight="1">
      <c r="A91" s="19" t="str">
        <f t="shared" si="1"/>
        <v>Michael van Schie newcompliance</v>
      </c>
      <c r="B91" s="19" t="s">
        <v>909</v>
      </c>
      <c r="C91" s="20" t="s">
        <v>569</v>
      </c>
      <c r="D91" s="20" t="s">
        <v>910</v>
      </c>
      <c r="E91" s="21" t="s">
        <v>911</v>
      </c>
      <c r="F91" s="23" t="s">
        <v>912</v>
      </c>
      <c r="G91" s="44" t="s">
        <v>46</v>
      </c>
      <c r="H91" s="25" t="s">
        <v>47</v>
      </c>
      <c r="I91" s="34"/>
      <c r="J91" s="35" t="s">
        <v>913</v>
      </c>
      <c r="K91" s="27" t="s">
        <v>50</v>
      </c>
      <c r="L91" s="36" t="s">
        <v>51</v>
      </c>
      <c r="M91" s="26" t="str">
        <f>VLOOKUP(E91,'MTS 2026 registrations'!B:B,1,false)</f>
        <v>#N/A</v>
      </c>
      <c r="N91" s="26" t="str">
        <f>VLOOKUP(B91,'MTS 2026 registrations'!A:A,1,false)</f>
        <v>#N/A</v>
      </c>
      <c r="O91" s="38" t="str">
        <f t="shared" si="2"/>
        <v>Marked</v>
      </c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</row>
    <row r="92" ht="12.75" customHeight="1">
      <c r="A92" s="19" t="str">
        <f t="shared" si="1"/>
        <v>Michael Fritschi SpringScan</v>
      </c>
      <c r="B92" s="19" t="s">
        <v>914</v>
      </c>
      <c r="C92" s="43" t="s">
        <v>569</v>
      </c>
      <c r="D92" s="43" t="s">
        <v>915</v>
      </c>
      <c r="E92" s="31" t="s">
        <v>916</v>
      </c>
      <c r="F92" s="33" t="s">
        <v>917</v>
      </c>
      <c r="G92" s="51" t="s">
        <v>46</v>
      </c>
      <c r="H92" s="25" t="s">
        <v>47</v>
      </c>
      <c r="I92" s="34"/>
      <c r="J92" s="35" t="s">
        <v>918</v>
      </c>
      <c r="K92" s="27" t="s">
        <v>50</v>
      </c>
      <c r="L92" s="36" t="s">
        <v>51</v>
      </c>
      <c r="M92" s="26" t="str">
        <f>VLOOKUP(E92,'MTS 2026 registrations'!B:B,1,false)</f>
        <v>#N/A</v>
      </c>
      <c r="N92" s="26" t="str">
        <f>VLOOKUP(B92,'MTS 2026 registrations'!A:A,1,false)</f>
        <v>#N/A</v>
      </c>
      <c r="O92" s="38" t="str">
        <f t="shared" si="2"/>
        <v>Marked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</row>
    <row r="93" ht="12.75" customHeight="1">
      <c r="A93" s="19" t="str">
        <f t="shared" si="1"/>
        <v>Michael Jenkins - JP motorcycles JP Motorcycles</v>
      </c>
      <c r="B93" s="19" t="s">
        <v>919</v>
      </c>
      <c r="C93" s="43" t="s">
        <v>920</v>
      </c>
      <c r="D93" s="43" t="s">
        <v>921</v>
      </c>
      <c r="E93" s="31" t="s">
        <v>922</v>
      </c>
      <c r="F93" s="33" t="s">
        <v>923</v>
      </c>
      <c r="G93" s="51" t="s">
        <v>46</v>
      </c>
      <c r="H93" s="25" t="s">
        <v>47</v>
      </c>
      <c r="I93" s="34"/>
      <c r="J93" s="35" t="s">
        <v>924</v>
      </c>
      <c r="K93" s="27" t="s">
        <v>50</v>
      </c>
      <c r="L93" s="36" t="s">
        <v>51</v>
      </c>
      <c r="M93" s="26" t="str">
        <f>VLOOKUP(E93,'MTS 2026 registrations'!B:B,1,false)</f>
        <v>#N/A</v>
      </c>
      <c r="N93" s="26" t="str">
        <f>VLOOKUP(B93,'MTS 2026 registrations'!A:A,1,false)</f>
        <v>#N/A</v>
      </c>
      <c r="O93" s="38" t="str">
        <f t="shared" si="2"/>
        <v>Marked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</row>
    <row r="94" ht="12.75" customHeight="1">
      <c r="A94" s="19" t="str">
        <f t="shared" si="1"/>
        <v>Murat Tarakci rsm</v>
      </c>
      <c r="B94" s="19" t="s">
        <v>927</v>
      </c>
      <c r="C94" s="43" t="s">
        <v>928</v>
      </c>
      <c r="D94" s="43" t="s">
        <v>929</v>
      </c>
      <c r="E94" s="99" t="s">
        <v>930</v>
      </c>
      <c r="F94" s="43" t="s">
        <v>931</v>
      </c>
      <c r="G94" s="44" t="s">
        <v>43</v>
      </c>
      <c r="H94" s="13" t="s">
        <v>45</v>
      </c>
      <c r="I94" s="34"/>
      <c r="J94" s="35"/>
      <c r="K94" s="27" t="s">
        <v>32</v>
      </c>
      <c r="L94" s="36" t="s">
        <v>51</v>
      </c>
      <c r="M94" s="26" t="str">
        <f>VLOOKUP(E94,'MTS 2026 registrations'!B:B,1,false)</f>
        <v>#N/A</v>
      </c>
      <c r="N94" s="26" t="str">
        <f>VLOOKUP(B94,'MTS 2026 registrations'!A:A,1,false)</f>
        <v>#N/A</v>
      </c>
      <c r="O94" s="38" t="str">
        <f t="shared" si="2"/>
        <v>Marked</v>
      </c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</row>
    <row r="95" ht="12.75" customHeight="1">
      <c r="A95" s="19" t="str">
        <f t="shared" si="1"/>
        <v>Nazli Cila Tebesir</v>
      </c>
      <c r="B95" s="19" t="s">
        <v>932</v>
      </c>
      <c r="C95" s="43" t="s">
        <v>933</v>
      </c>
      <c r="D95" s="43" t="s">
        <v>934</v>
      </c>
      <c r="E95" s="80" t="s">
        <v>935</v>
      </c>
      <c r="F95" s="33" t="s">
        <v>936</v>
      </c>
      <c r="G95" s="51" t="s">
        <v>46</v>
      </c>
      <c r="H95" s="25" t="s">
        <v>47</v>
      </c>
      <c r="I95" s="34"/>
      <c r="J95" s="35" t="s">
        <v>937</v>
      </c>
      <c r="K95" s="27" t="s">
        <v>50</v>
      </c>
      <c r="L95" s="36" t="s">
        <v>51</v>
      </c>
      <c r="M95" s="26" t="str">
        <f>VLOOKUP(E95,'MTS 2026 registrations'!B:B,1,false)</f>
        <v>#N/A</v>
      </c>
      <c r="N95" s="26" t="str">
        <f>VLOOKUP(B95,'MTS 2026 registrations'!A:A,1,false)</f>
        <v>#N/A</v>
      </c>
      <c r="O95" s="38" t="str">
        <f t="shared" si="2"/>
        <v>Marked</v>
      </c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</row>
    <row r="96" ht="12.75" customHeight="1">
      <c r="A96" s="19" t="str">
        <f t="shared" si="1"/>
        <v>Nebras Ozzo conical</v>
      </c>
      <c r="B96" s="19" t="s">
        <v>938</v>
      </c>
      <c r="C96" s="20" t="s">
        <v>939</v>
      </c>
      <c r="D96" s="20" t="s">
        <v>940</v>
      </c>
      <c r="E96" s="21" t="s">
        <v>941</v>
      </c>
      <c r="F96" s="23" t="s">
        <v>83</v>
      </c>
      <c r="G96" s="44" t="s">
        <v>46</v>
      </c>
      <c r="H96" s="25" t="s">
        <v>47</v>
      </c>
      <c r="I96" s="26"/>
      <c r="J96" s="35" t="s">
        <v>942</v>
      </c>
      <c r="K96" s="27" t="s">
        <v>50</v>
      </c>
      <c r="L96" s="36" t="s">
        <v>51</v>
      </c>
      <c r="M96" s="26" t="str">
        <f>VLOOKUP(E96,'MTS 2026 registrations'!B:B,1,false)</f>
        <v>#N/A</v>
      </c>
      <c r="N96" s="26" t="str">
        <f>VLOOKUP(B96,'MTS 2026 registrations'!A:A,1,false)</f>
        <v>#N/A</v>
      </c>
      <c r="O96" s="38" t="str">
        <f t="shared" si="2"/>
        <v>Marked</v>
      </c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</row>
    <row r="97" ht="12.75" customHeight="1">
      <c r="A97" s="19" t="str">
        <f t="shared" si="1"/>
        <v>Niko van Meurs olympian</v>
      </c>
      <c r="B97" s="19" t="s">
        <v>943</v>
      </c>
      <c r="C97" s="20" t="s">
        <v>944</v>
      </c>
      <c r="D97" s="20" t="s">
        <v>945</v>
      </c>
      <c r="E97" s="21" t="s">
        <v>946</v>
      </c>
      <c r="F97" s="23" t="s">
        <v>118</v>
      </c>
      <c r="G97" s="44" t="s">
        <v>46</v>
      </c>
      <c r="H97" s="25" t="s">
        <v>47</v>
      </c>
      <c r="I97" s="34"/>
      <c r="J97" s="35" t="s">
        <v>947</v>
      </c>
      <c r="K97" s="27" t="s">
        <v>50</v>
      </c>
      <c r="L97" s="36" t="s">
        <v>51</v>
      </c>
      <c r="M97" s="26" t="str">
        <f>VLOOKUP(E97,'MTS 2026 registrations'!B:B,1,false)</f>
        <v>#N/A</v>
      </c>
      <c r="N97" s="26" t="str">
        <f>VLOOKUP(B97,'MTS 2026 registrations'!A:A,1,false)</f>
        <v>#N/A</v>
      </c>
      <c r="O97" s="38" t="str">
        <f t="shared" si="2"/>
        <v>Marked</v>
      </c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</row>
    <row r="98" ht="12.75" customHeight="1">
      <c r="A98" s="19" t="str">
        <f t="shared" si="1"/>
        <v>Patrick Savalle Mobbr Crowd Payment</v>
      </c>
      <c r="B98" s="19" t="s">
        <v>948</v>
      </c>
      <c r="C98" s="43" t="s">
        <v>501</v>
      </c>
      <c r="D98" s="43" t="s">
        <v>949</v>
      </c>
      <c r="E98" s="80" t="s">
        <v>950</v>
      </c>
      <c r="F98" s="33" t="s">
        <v>621</v>
      </c>
      <c r="G98" s="51" t="s">
        <v>46</v>
      </c>
      <c r="H98" s="25" t="s">
        <v>47</v>
      </c>
      <c r="I98" s="34"/>
      <c r="J98" s="35" t="s">
        <v>951</v>
      </c>
      <c r="K98" s="27" t="s">
        <v>50</v>
      </c>
      <c r="L98" s="36" t="s">
        <v>51</v>
      </c>
      <c r="M98" s="26" t="str">
        <f>VLOOKUP(E98,'MTS 2026 registrations'!B:B,1,false)</f>
        <v>#N/A</v>
      </c>
      <c r="N98" s="26" t="str">
        <f>VLOOKUP(B98,'MTS 2026 registrations'!A:A,1,false)</f>
        <v>#N/A</v>
      </c>
      <c r="O98" s="38" t="str">
        <f t="shared" si="2"/>
        <v>Marked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</row>
    <row r="99" ht="12.75" customHeight="1">
      <c r="A99" s="19" t="str">
        <f t="shared" si="1"/>
        <v>Paul Breur Mungosworks</v>
      </c>
      <c r="B99" s="19" t="s">
        <v>952</v>
      </c>
      <c r="C99" s="43" t="s">
        <v>953</v>
      </c>
      <c r="D99" s="43" t="s">
        <v>954</v>
      </c>
      <c r="E99" s="31" t="s">
        <v>955</v>
      </c>
      <c r="F99" s="33" t="s">
        <v>74</v>
      </c>
      <c r="G99" s="44" t="s">
        <v>46</v>
      </c>
      <c r="H99" s="25" t="s">
        <v>47</v>
      </c>
      <c r="I99" s="34"/>
      <c r="J99" s="35" t="s">
        <v>956</v>
      </c>
      <c r="K99" s="27" t="s">
        <v>50</v>
      </c>
      <c r="L99" s="36" t="s">
        <v>51</v>
      </c>
      <c r="M99" s="26" t="str">
        <f>VLOOKUP(E99,'MTS 2026 registrations'!B:B,1,false)</f>
        <v>#N/A</v>
      </c>
      <c r="N99" s="26" t="str">
        <f>VLOOKUP(B99,'MTS 2026 registrations'!A:A,1,false)</f>
        <v>#N/A</v>
      </c>
      <c r="O99" s="38" t="str">
        <f t="shared" si="2"/>
        <v>Marked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</row>
    <row r="100" ht="12.75" customHeight="1">
      <c r="A100" s="19" t="str">
        <f t="shared" si="1"/>
        <v>Peter Brouwer 4FOLD (Holland Container Innovations)</v>
      </c>
      <c r="B100" s="19" t="s">
        <v>957</v>
      </c>
      <c r="C100" s="29" t="s">
        <v>520</v>
      </c>
      <c r="D100" s="29" t="s">
        <v>958</v>
      </c>
      <c r="E100" s="31" t="s">
        <v>959</v>
      </c>
      <c r="F100" s="33" t="s">
        <v>661</v>
      </c>
      <c r="G100" s="32" t="s">
        <v>46</v>
      </c>
      <c r="H100" s="25" t="s">
        <v>47</v>
      </c>
      <c r="I100" s="34"/>
      <c r="J100" s="35" t="s">
        <v>960</v>
      </c>
      <c r="K100" s="27" t="s">
        <v>50</v>
      </c>
      <c r="L100" s="36" t="s">
        <v>51</v>
      </c>
      <c r="M100" s="26" t="str">
        <f>VLOOKUP(E100,'MTS 2026 registrations'!B:B,1,false)</f>
        <v>#N/A</v>
      </c>
      <c r="N100" s="26" t="str">
        <f>VLOOKUP(B100,'MTS 2026 registrations'!A:A,1,false)</f>
        <v>#N/A</v>
      </c>
      <c r="O100" s="38" t="str">
        <f t="shared" si="2"/>
        <v>Marked</v>
      </c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</row>
    <row r="101" ht="12.75" customHeight="1">
      <c r="A101" s="19" t="str">
        <f t="shared" si="1"/>
        <v>Peter Hulshof gradyent</v>
      </c>
      <c r="B101" s="19" t="s">
        <v>961</v>
      </c>
      <c r="C101" s="43" t="s">
        <v>520</v>
      </c>
      <c r="D101" s="43" t="s">
        <v>962</v>
      </c>
      <c r="E101" s="99" t="s">
        <v>963</v>
      </c>
      <c r="F101" s="43" t="s">
        <v>964</v>
      </c>
      <c r="G101" s="51" t="s">
        <v>46</v>
      </c>
      <c r="H101" s="13" t="s">
        <v>213</v>
      </c>
      <c r="I101" s="36" t="s">
        <v>965</v>
      </c>
      <c r="J101" s="35"/>
      <c r="K101" s="27" t="s">
        <v>32</v>
      </c>
      <c r="L101" s="36" t="s">
        <v>51</v>
      </c>
      <c r="M101" s="26" t="str">
        <f>VLOOKUP(E101,'MTS 2026 registrations'!B:B,1,false)</f>
        <v>#N/A</v>
      </c>
      <c r="N101" s="26" t="str">
        <f>VLOOKUP(B101,'MTS 2026 registrations'!A:A,1,false)</f>
        <v>#N/A</v>
      </c>
      <c r="O101" s="38" t="str">
        <f t="shared" si="2"/>
        <v>Marked</v>
      </c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</row>
    <row r="102" ht="12.75" customHeight="1">
      <c r="A102" s="19" t="str">
        <f t="shared" si="1"/>
        <v>Phuc Vuong ABU Engineered Solutions</v>
      </c>
      <c r="B102" s="19" t="s">
        <v>966</v>
      </c>
      <c r="C102" s="43" t="s">
        <v>967</v>
      </c>
      <c r="D102" s="43" t="s">
        <v>968</v>
      </c>
      <c r="E102" s="80" t="s">
        <v>969</v>
      </c>
      <c r="F102" s="33" t="s">
        <v>879</v>
      </c>
      <c r="G102" s="51" t="s">
        <v>46</v>
      </c>
      <c r="H102" s="25" t="s">
        <v>47</v>
      </c>
      <c r="I102" s="34"/>
      <c r="J102" s="35" t="s">
        <v>971</v>
      </c>
      <c r="K102" s="27" t="s">
        <v>50</v>
      </c>
      <c r="L102" s="36" t="s">
        <v>51</v>
      </c>
      <c r="M102" s="26" t="str">
        <f>VLOOKUP(E102,'MTS 2026 registrations'!B:B,1,false)</f>
        <v>#N/A</v>
      </c>
      <c r="N102" s="26" t="str">
        <f>VLOOKUP(B102,'MTS 2026 registrations'!A:A,1,false)</f>
        <v>#N/A</v>
      </c>
      <c r="O102" s="38" t="str">
        <f t="shared" si="2"/>
        <v>Marked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</row>
    <row r="103" ht="12.75" customHeight="1">
      <c r="A103" s="19" t="str">
        <f t="shared" si="1"/>
        <v>Pietro Faggiani kitepower</v>
      </c>
      <c r="B103" s="19" t="s">
        <v>972</v>
      </c>
      <c r="C103" s="20" t="s">
        <v>973</v>
      </c>
      <c r="D103" s="20" t="s">
        <v>974</v>
      </c>
      <c r="E103" s="112" t="s">
        <v>975</v>
      </c>
      <c r="F103" s="49" t="s">
        <v>976</v>
      </c>
      <c r="G103" s="44" t="s">
        <v>46</v>
      </c>
      <c r="H103" s="25" t="s">
        <v>47</v>
      </c>
      <c r="I103" s="34"/>
      <c r="J103" s="35" t="s">
        <v>977</v>
      </c>
      <c r="K103" s="27" t="s">
        <v>50</v>
      </c>
      <c r="L103" s="36" t="s">
        <v>51</v>
      </c>
      <c r="M103" s="26" t="str">
        <f>VLOOKUP(E103,'MTS 2026 registrations'!B:B,1,false)</f>
        <v>#N/A</v>
      </c>
      <c r="N103" s="26" t="str">
        <f>VLOOKUP(B103,'MTS 2026 registrations'!A:A,1,false)</f>
        <v>#N/A</v>
      </c>
      <c r="O103" s="38" t="str">
        <f t="shared" si="2"/>
        <v>Marked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</row>
    <row r="104" ht="12.75" customHeight="1">
      <c r="A104" s="19" t="str">
        <f t="shared" si="1"/>
        <v>Pinhas Reich ForceSense (Medishield)</v>
      </c>
      <c r="B104" s="19" t="s">
        <v>978</v>
      </c>
      <c r="C104" s="43" t="s">
        <v>979</v>
      </c>
      <c r="D104" s="43" t="s">
        <v>980</v>
      </c>
      <c r="E104" s="31" t="s">
        <v>981</v>
      </c>
      <c r="F104" s="33" t="s">
        <v>982</v>
      </c>
      <c r="G104" s="51" t="s">
        <v>46</v>
      </c>
      <c r="H104" s="25" t="s">
        <v>47</v>
      </c>
      <c r="I104" s="34"/>
      <c r="J104" s="35" t="s">
        <v>983</v>
      </c>
      <c r="K104" s="27" t="s">
        <v>50</v>
      </c>
      <c r="L104" s="36" t="s">
        <v>51</v>
      </c>
      <c r="M104" s="26" t="str">
        <f>VLOOKUP(E104,'MTS 2026 registrations'!B:B,1,false)</f>
        <v>#N/A</v>
      </c>
      <c r="N104" s="26" t="str">
        <f>VLOOKUP(B104,'MTS 2026 registrations'!A:A,1,false)</f>
        <v>#N/A</v>
      </c>
      <c r="O104" s="38" t="str">
        <f t="shared" si="2"/>
        <v>Marked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</row>
    <row r="105" ht="12.75" customHeight="1">
      <c r="A105" s="19" t="str">
        <f t="shared" si="1"/>
        <v>Pradeep Pandurangi Levitas Composite Structures</v>
      </c>
      <c r="B105" s="19" t="s">
        <v>984</v>
      </c>
      <c r="C105" s="43" t="s">
        <v>985</v>
      </c>
      <c r="D105" s="43" t="s">
        <v>986</v>
      </c>
      <c r="E105" s="31" t="s">
        <v>987</v>
      </c>
      <c r="F105" s="33" t="s">
        <v>988</v>
      </c>
      <c r="G105" s="51" t="s">
        <v>46</v>
      </c>
      <c r="H105" s="25" t="s">
        <v>47</v>
      </c>
      <c r="I105" s="34"/>
      <c r="J105" s="35" t="s">
        <v>989</v>
      </c>
      <c r="K105" s="27" t="s">
        <v>50</v>
      </c>
      <c r="L105" s="36" t="s">
        <v>51</v>
      </c>
      <c r="M105" s="26" t="str">
        <f>VLOOKUP(E105,'MTS 2026 registrations'!B:B,1,false)</f>
        <v>#N/A</v>
      </c>
      <c r="N105" s="26" t="str">
        <f>VLOOKUP(B105,'MTS 2026 registrations'!A:A,1,false)</f>
        <v>#N/A</v>
      </c>
      <c r="O105" s="38" t="str">
        <f t="shared" si="2"/>
        <v>Marked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</row>
    <row r="106" ht="12.75" customHeight="1">
      <c r="A106" s="19" t="str">
        <f t="shared" si="1"/>
        <v>R Blokker Bluerise</v>
      </c>
      <c r="B106" s="19" t="s">
        <v>990</v>
      </c>
      <c r="C106" s="43" t="s">
        <v>991</v>
      </c>
      <c r="D106" s="43" t="s">
        <v>992</v>
      </c>
      <c r="E106" s="31" t="s">
        <v>993</v>
      </c>
      <c r="F106" s="33" t="s">
        <v>994</v>
      </c>
      <c r="G106" s="44" t="s">
        <v>46</v>
      </c>
      <c r="H106" s="25" t="s">
        <v>47</v>
      </c>
      <c r="I106" s="34"/>
      <c r="J106" s="35" t="s">
        <v>995</v>
      </c>
      <c r="K106" s="27" t="s">
        <v>50</v>
      </c>
      <c r="L106" s="36" t="s">
        <v>51</v>
      </c>
      <c r="M106" s="26" t="str">
        <f>VLOOKUP(E106,'MTS 2026 registrations'!B:B,1,false)</f>
        <v>#N/A</v>
      </c>
      <c r="N106" s="26" t="str">
        <f>VLOOKUP(B106,'MTS 2026 registrations'!A:A,1,false)</f>
        <v>#N/A</v>
      </c>
      <c r="O106" s="38" t="str">
        <f t="shared" si="2"/>
        <v>Marked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</row>
    <row r="107" ht="12.75" customHeight="1">
      <c r="A107" s="19" t="str">
        <f t="shared" si="1"/>
        <v>Rafael Carvalho RiskApp</v>
      </c>
      <c r="B107" s="19" t="s">
        <v>996</v>
      </c>
      <c r="C107" s="29" t="s">
        <v>997</v>
      </c>
      <c r="D107" s="29" t="s">
        <v>998</v>
      </c>
      <c r="E107" s="31" t="s">
        <v>999</v>
      </c>
      <c r="F107" s="113" t="s">
        <v>1000</v>
      </c>
      <c r="G107" s="32" t="s">
        <v>46</v>
      </c>
      <c r="H107" s="25" t="s">
        <v>47</v>
      </c>
      <c r="I107" s="34"/>
      <c r="J107" s="35" t="s">
        <v>1001</v>
      </c>
      <c r="K107" s="27" t="s">
        <v>50</v>
      </c>
      <c r="L107" s="36" t="s">
        <v>51</v>
      </c>
      <c r="M107" s="26" t="str">
        <f>VLOOKUP(E107,'MTS 2026 registrations'!B:B,1,false)</f>
        <v>#N/A</v>
      </c>
      <c r="N107" s="26" t="str">
        <f>VLOOKUP(B107,'MTS 2026 registrations'!A:A,1,false)</f>
        <v>#N/A</v>
      </c>
      <c r="O107" s="38" t="str">
        <f t="shared" si="2"/>
        <v>Marked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</row>
    <row r="108" ht="12.75" customHeight="1">
      <c r="A108" s="19" t="str">
        <f t="shared" si="1"/>
        <v>Raimond Haan arnold-siedsma</v>
      </c>
      <c r="B108" s="19" t="s">
        <v>1002</v>
      </c>
      <c r="C108" s="20" t="s">
        <v>1003</v>
      </c>
      <c r="D108" s="20" t="s">
        <v>1004</v>
      </c>
      <c r="E108" s="21" t="s">
        <v>1005</v>
      </c>
      <c r="F108" s="23" t="s">
        <v>627</v>
      </c>
      <c r="G108" s="106" t="s">
        <v>69</v>
      </c>
      <c r="H108" s="25" t="s">
        <v>47</v>
      </c>
      <c r="I108" s="26"/>
      <c r="J108" s="35" t="s">
        <v>1006</v>
      </c>
      <c r="K108" s="27" t="s">
        <v>50</v>
      </c>
      <c r="L108" s="36" t="s">
        <v>51</v>
      </c>
      <c r="M108" s="26" t="str">
        <f>VLOOKUP(E108,'MTS 2026 registrations'!B:B,1,false)</f>
        <v>#N/A</v>
      </c>
      <c r="N108" s="26" t="str">
        <f>VLOOKUP(B108,'MTS 2026 registrations'!A:A,1,false)</f>
        <v>#N/A</v>
      </c>
      <c r="O108" s="38" t="str">
        <f t="shared" si="2"/>
        <v>Marked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</row>
    <row r="109" ht="12.75" customHeight="1">
      <c r="A109" s="19" t="str">
        <f t="shared" si="1"/>
        <v>Ranjeet Sengar Yokai</v>
      </c>
      <c r="B109" s="19" t="s">
        <v>1007</v>
      </c>
      <c r="C109" s="29" t="s">
        <v>1008</v>
      </c>
      <c r="D109" s="29" t="s">
        <v>1009</v>
      </c>
      <c r="E109" s="31" t="s">
        <v>1010</v>
      </c>
      <c r="F109" s="113" t="s">
        <v>1011</v>
      </c>
      <c r="G109" s="32" t="s">
        <v>46</v>
      </c>
      <c r="H109" s="25" t="s">
        <v>47</v>
      </c>
      <c r="I109" s="34"/>
      <c r="J109" s="35" t="s">
        <v>1012</v>
      </c>
      <c r="K109" s="27" t="s">
        <v>50</v>
      </c>
      <c r="L109" s="36" t="s">
        <v>51</v>
      </c>
      <c r="M109" s="26" t="str">
        <f>VLOOKUP(E109,'MTS 2026 registrations'!B:B,1,false)</f>
        <v>#N/A</v>
      </c>
      <c r="N109" s="26" t="str">
        <f>VLOOKUP(B109,'MTS 2026 registrations'!A:A,1,false)</f>
        <v>#N/A</v>
      </c>
      <c r="O109" s="38" t="str">
        <f t="shared" si="2"/>
        <v>Marked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</row>
    <row r="110" ht="12.75" customHeight="1">
      <c r="A110" s="19" t="str">
        <f t="shared" si="1"/>
        <v>Rik van den Reijen CO2Zero</v>
      </c>
      <c r="B110" s="19" t="s">
        <v>1013</v>
      </c>
      <c r="C110" s="43" t="s">
        <v>1014</v>
      </c>
      <c r="D110" s="43" t="s">
        <v>1015</v>
      </c>
      <c r="E110" s="31" t="s">
        <v>1016</v>
      </c>
      <c r="F110" s="113" t="s">
        <v>1017</v>
      </c>
      <c r="G110" s="44" t="s">
        <v>46</v>
      </c>
      <c r="H110" s="25" t="s">
        <v>47</v>
      </c>
      <c r="I110" s="34"/>
      <c r="J110" s="35" t="s">
        <v>1018</v>
      </c>
      <c r="K110" s="27" t="s">
        <v>50</v>
      </c>
      <c r="L110" s="36" t="s">
        <v>51</v>
      </c>
      <c r="M110" s="26" t="str">
        <f>VLOOKUP(E110,'MTS 2026 registrations'!B:B,1,false)</f>
        <v>#N/A</v>
      </c>
      <c r="N110" s="26" t="str">
        <f>VLOOKUP(B110,'MTS 2026 registrations'!A:A,1,false)</f>
        <v>#N/A</v>
      </c>
      <c r="O110" s="38" t="str">
        <f t="shared" si="2"/>
        <v>Marked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</row>
    <row r="111" ht="12.75" customHeight="1">
      <c r="A111" s="19" t="str">
        <f t="shared" si="1"/>
        <v>Sally Jibrail maeve</v>
      </c>
      <c r="B111" s="19" t="s">
        <v>1019</v>
      </c>
      <c r="C111" s="20" t="s">
        <v>1020</v>
      </c>
      <c r="D111" s="20" t="s">
        <v>1021</v>
      </c>
      <c r="E111" s="21" t="s">
        <v>1022</v>
      </c>
      <c r="F111" s="29" t="s">
        <v>786</v>
      </c>
      <c r="G111" s="44" t="s">
        <v>46</v>
      </c>
      <c r="H111" s="25" t="s">
        <v>47</v>
      </c>
      <c r="I111" s="34"/>
      <c r="J111" s="35" t="s">
        <v>1023</v>
      </c>
      <c r="K111" s="27" t="s">
        <v>50</v>
      </c>
      <c r="L111" s="36" t="s">
        <v>51</v>
      </c>
      <c r="M111" s="26" t="str">
        <f>VLOOKUP(E111,'MTS 2026 registrations'!B:B,1,false)</f>
        <v>#N/A</v>
      </c>
      <c r="N111" s="26" t="str">
        <f>VLOOKUP(B111,'MTS 2026 registrations'!A:A,1,false)</f>
        <v>#N/A</v>
      </c>
      <c r="O111" s="38" t="str">
        <f t="shared" si="2"/>
        <v>Marked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</row>
    <row r="112" ht="12.75" customHeight="1">
      <c r="A112" s="19" t="str">
        <f t="shared" si="1"/>
        <v>Samy Andary Crescent Technologies</v>
      </c>
      <c r="B112" s="19" t="s">
        <v>1024</v>
      </c>
      <c r="C112" s="43" t="s">
        <v>1025</v>
      </c>
      <c r="D112" s="43" t="s">
        <v>1026</v>
      </c>
      <c r="E112" s="31" t="s">
        <v>1027</v>
      </c>
      <c r="F112" s="33" t="s">
        <v>832</v>
      </c>
      <c r="G112" s="44" t="s">
        <v>46</v>
      </c>
      <c r="H112" s="25" t="s">
        <v>47</v>
      </c>
      <c r="I112" s="34"/>
      <c r="J112" s="35" t="s">
        <v>1028</v>
      </c>
      <c r="K112" s="27" t="s">
        <v>50</v>
      </c>
      <c r="L112" s="36" t="s">
        <v>51</v>
      </c>
      <c r="M112" s="26" t="str">
        <f>VLOOKUP(E112,'MTS 2026 registrations'!B:B,1,false)</f>
        <v>#N/A</v>
      </c>
      <c r="N112" s="26" t="str">
        <f>VLOOKUP(B112,'MTS 2026 registrations'!A:A,1,false)</f>
        <v>#N/A</v>
      </c>
      <c r="O112" s="38" t="str">
        <f t="shared" si="2"/>
        <v>Marked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</row>
    <row r="113" ht="12.75" customHeight="1">
      <c r="A113" s="19" t="str">
        <f t="shared" si="1"/>
        <v>Sanne castro SimGas</v>
      </c>
      <c r="B113" s="19" t="s">
        <v>1029</v>
      </c>
      <c r="C113" s="43" t="s">
        <v>1030</v>
      </c>
      <c r="D113" s="43" t="s">
        <v>1031</v>
      </c>
      <c r="E113" s="31" t="s">
        <v>1032</v>
      </c>
      <c r="F113" s="33" t="s">
        <v>495</v>
      </c>
      <c r="G113" s="51" t="s">
        <v>46</v>
      </c>
      <c r="H113" s="25" t="s">
        <v>47</v>
      </c>
      <c r="I113" s="34"/>
      <c r="J113" s="35" t="s">
        <v>1033</v>
      </c>
      <c r="K113" s="27" t="s">
        <v>50</v>
      </c>
      <c r="L113" s="36" t="s">
        <v>51</v>
      </c>
      <c r="M113" s="26" t="str">
        <f>VLOOKUP(E113,'MTS 2026 registrations'!B:B,1,false)</f>
        <v>#N/A</v>
      </c>
      <c r="N113" s="26" t="str">
        <f>VLOOKUP(B113,'MTS 2026 registrations'!A:A,1,false)</f>
        <v>#N/A</v>
      </c>
      <c r="O113" s="38" t="str">
        <f t="shared" si="2"/>
        <v>Marked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</row>
    <row r="114" ht="12.75" customHeight="1">
      <c r="A114" s="19" t="str">
        <f t="shared" si="1"/>
        <v>Siem Kok feedbackfruits</v>
      </c>
      <c r="B114" s="19" t="s">
        <v>1034</v>
      </c>
      <c r="C114" s="20" t="s">
        <v>1035</v>
      </c>
      <c r="D114" s="20" t="s">
        <v>421</v>
      </c>
      <c r="E114" s="21" t="s">
        <v>1036</v>
      </c>
      <c r="F114" s="23" t="s">
        <v>1037</v>
      </c>
      <c r="G114" s="44" t="s">
        <v>46</v>
      </c>
      <c r="H114" s="25" t="s">
        <v>47</v>
      </c>
      <c r="I114" s="34"/>
      <c r="J114" s="35" t="s">
        <v>1038</v>
      </c>
      <c r="K114" s="27" t="s">
        <v>50</v>
      </c>
      <c r="L114" s="36" t="s">
        <v>51</v>
      </c>
      <c r="M114" s="26" t="str">
        <f>VLOOKUP(E114,'MTS 2026 registrations'!B:B,1,false)</f>
        <v>#N/A</v>
      </c>
      <c r="N114" s="26" t="str">
        <f>VLOOKUP(B114,'MTS 2026 registrations'!A:A,1,false)</f>
        <v>#N/A</v>
      </c>
      <c r="O114" s="38" t="str">
        <f t="shared" si="2"/>
        <v>Marked</v>
      </c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</row>
    <row r="115" ht="12.75" customHeight="1">
      <c r="A115" s="19" t="str">
        <f t="shared" si="1"/>
        <v>Simone Amicabile solho</v>
      </c>
      <c r="B115" s="19" t="s">
        <v>1039</v>
      </c>
      <c r="C115" s="20" t="s">
        <v>1040</v>
      </c>
      <c r="D115" s="20" t="s">
        <v>1041</v>
      </c>
      <c r="E115" s="21" t="s">
        <v>1042</v>
      </c>
      <c r="F115" s="23" t="s">
        <v>1043</v>
      </c>
      <c r="G115" s="44" t="s">
        <v>46</v>
      </c>
      <c r="H115" s="25" t="s">
        <v>47</v>
      </c>
      <c r="I115" s="34"/>
      <c r="J115" s="35" t="s">
        <v>1044</v>
      </c>
      <c r="K115" s="27" t="s">
        <v>50</v>
      </c>
      <c r="L115" s="36" t="s">
        <v>51</v>
      </c>
      <c r="M115" s="26" t="str">
        <f>VLOOKUP(E115,'MTS 2026 registrations'!B:B,1,false)</f>
        <v>#N/A</v>
      </c>
      <c r="N115" s="26" t="str">
        <f>VLOOKUP(B115,'MTS 2026 registrations'!A:A,1,false)</f>
        <v>#N/A</v>
      </c>
      <c r="O115" s="38" t="str">
        <f t="shared" si="2"/>
        <v>Marked</v>
      </c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</row>
    <row r="116" ht="12.75" customHeight="1">
      <c r="A116" s="19" t="str">
        <f t="shared" si="1"/>
        <v>Sina Dezfuli Phoenix bone tech</v>
      </c>
      <c r="B116" s="19" t="s">
        <v>1045</v>
      </c>
      <c r="C116" s="43" t="s">
        <v>1046</v>
      </c>
      <c r="D116" s="43" t="s">
        <v>1047</v>
      </c>
      <c r="E116" s="31" t="s">
        <v>1048</v>
      </c>
      <c r="F116" s="33" t="s">
        <v>1049</v>
      </c>
      <c r="G116" s="51" t="s">
        <v>46</v>
      </c>
      <c r="H116" s="25" t="s">
        <v>47</v>
      </c>
      <c r="I116" s="34"/>
      <c r="J116" s="35" t="s">
        <v>1050</v>
      </c>
      <c r="K116" s="27" t="s">
        <v>50</v>
      </c>
      <c r="L116" s="36" t="s">
        <v>51</v>
      </c>
      <c r="M116" s="26" t="str">
        <f>VLOOKUP(E116,'MTS 2026 registrations'!B:B,1,false)</f>
        <v>#N/A</v>
      </c>
      <c r="N116" s="26" t="str">
        <f>VLOOKUP(B116,'MTS 2026 registrations'!A:A,1,false)</f>
        <v>#N/A</v>
      </c>
      <c r="O116" s="38" t="str">
        <f t="shared" si="2"/>
        <v>Marked</v>
      </c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</row>
    <row r="117" ht="12.75" customHeight="1">
      <c r="A117" s="19" t="str">
        <f t="shared" si="1"/>
        <v>Sjoerd Lageweg IN-DUC</v>
      </c>
      <c r="B117" s="19" t="s">
        <v>1051</v>
      </c>
      <c r="C117" s="60" t="s">
        <v>1052</v>
      </c>
      <c r="D117" s="60" t="s">
        <v>1053</v>
      </c>
      <c r="E117" s="62" t="s">
        <v>748</v>
      </c>
      <c r="F117" s="50" t="s">
        <v>749</v>
      </c>
      <c r="G117" s="51" t="s">
        <v>750</v>
      </c>
      <c r="H117" s="25" t="s">
        <v>31</v>
      </c>
      <c r="I117" s="23"/>
      <c r="J117" s="35" t="s">
        <v>1054</v>
      </c>
      <c r="K117" s="27" t="s">
        <v>50</v>
      </c>
      <c r="L117" s="36" t="s">
        <v>51</v>
      </c>
      <c r="M117" s="26" t="str">
        <f>VLOOKUP(E117,'MTS 2026 registrations'!B:B,1,false)</f>
        <v>#N/A</v>
      </c>
      <c r="N117" s="26" t="str">
        <f>VLOOKUP(B117,'MTS 2026 registrations'!A:A,1,false)</f>
        <v>#N/A</v>
      </c>
      <c r="O117" s="38" t="str">
        <f t="shared" si="2"/>
        <v>Marked</v>
      </c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34"/>
      <c r="AE117" s="34"/>
    </row>
    <row r="118" ht="12.75" customHeight="1">
      <c r="A118" s="19" t="str">
        <f t="shared" si="1"/>
        <v>Stefan van der Elst KE-works</v>
      </c>
      <c r="B118" s="19" t="s">
        <v>1055</v>
      </c>
      <c r="C118" s="43" t="s">
        <v>1056</v>
      </c>
      <c r="D118" s="43" t="s">
        <v>1057</v>
      </c>
      <c r="E118" s="31" t="s">
        <v>1058</v>
      </c>
      <c r="F118" s="33" t="s">
        <v>1059</v>
      </c>
      <c r="G118" s="44" t="s">
        <v>46</v>
      </c>
      <c r="H118" s="25" t="s">
        <v>47</v>
      </c>
      <c r="I118" s="34"/>
      <c r="J118" s="35" t="s">
        <v>1060</v>
      </c>
      <c r="K118" s="27" t="s">
        <v>50</v>
      </c>
      <c r="L118" s="36" t="s">
        <v>51</v>
      </c>
      <c r="M118" s="26" t="str">
        <f>VLOOKUP(E118,'MTS 2026 registrations'!B:B,1,false)</f>
        <v>#N/A</v>
      </c>
      <c r="N118" s="26" t="str">
        <f>VLOOKUP(B118,'MTS 2026 registrations'!A:A,1,false)</f>
        <v>#N/A</v>
      </c>
      <c r="O118" s="38" t="str">
        <f t="shared" si="2"/>
        <v>Marked</v>
      </c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</row>
    <row r="119" ht="12.75" customHeight="1">
      <c r="A119" s="19" t="str">
        <f t="shared" si="1"/>
        <v>Stefan Van Cleef YSVOGEL</v>
      </c>
      <c r="B119" s="19" t="s">
        <v>1062</v>
      </c>
      <c r="C119" s="29" t="s">
        <v>1056</v>
      </c>
      <c r="D119" s="29" t="s">
        <v>1063</v>
      </c>
      <c r="E119" s="31" t="s">
        <v>1064</v>
      </c>
      <c r="F119" s="113" t="s">
        <v>1065</v>
      </c>
      <c r="G119" s="32" t="s">
        <v>46</v>
      </c>
      <c r="H119" s="25" t="s">
        <v>47</v>
      </c>
      <c r="I119" s="34"/>
      <c r="J119" s="35" t="s">
        <v>1066</v>
      </c>
      <c r="K119" s="27" t="s">
        <v>50</v>
      </c>
      <c r="L119" s="36" t="s">
        <v>51</v>
      </c>
      <c r="M119" s="26" t="str">
        <f>VLOOKUP(E119,'MTS 2026 registrations'!B:B,1,false)</f>
        <v>#N/A</v>
      </c>
      <c r="N119" s="26" t="str">
        <f>VLOOKUP(B119,'MTS 2026 registrations'!A:A,1,false)</f>
        <v>#N/A</v>
      </c>
      <c r="O119" s="38" t="str">
        <f t="shared" si="2"/>
        <v>Marked</v>
      </c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</row>
    <row r="120" ht="12.75" customHeight="1">
      <c r="A120" s="19" t="str">
        <f t="shared" si="1"/>
        <v>Sylvain van der Meer VIKTOR (MOCS)</v>
      </c>
      <c r="B120" s="19" t="s">
        <v>1067</v>
      </c>
      <c r="C120" s="43" t="s">
        <v>1068</v>
      </c>
      <c r="D120" s="43" t="s">
        <v>1069</v>
      </c>
      <c r="E120" s="31" t="s">
        <v>1070</v>
      </c>
      <c r="F120" s="33" t="s">
        <v>1071</v>
      </c>
      <c r="G120" s="51" t="s">
        <v>46</v>
      </c>
      <c r="H120" s="25" t="s">
        <v>47</v>
      </c>
      <c r="I120" s="34"/>
      <c r="J120" s="114" t="s">
        <v>1072</v>
      </c>
      <c r="K120" s="27" t="s">
        <v>50</v>
      </c>
      <c r="L120" s="36" t="s">
        <v>51</v>
      </c>
      <c r="M120" s="26" t="str">
        <f>VLOOKUP(E120,'MTS 2026 registrations'!B:B,1,false)</f>
        <v>#N/A</v>
      </c>
      <c r="N120" s="26" t="str">
        <f>VLOOKUP(B120,'MTS 2026 registrations'!A:A,1,false)</f>
        <v>#N/A</v>
      </c>
      <c r="O120" s="38" t="str">
        <f t="shared" si="2"/>
        <v>Marked</v>
      </c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</row>
    <row r="121" ht="12.75" customHeight="1">
      <c r="A121" s="19" t="str">
        <f t="shared" si="1"/>
        <v>Tarek Gobar Icysolutions</v>
      </c>
      <c r="B121" s="19" t="s">
        <v>1073</v>
      </c>
      <c r="C121" s="43" t="s">
        <v>1074</v>
      </c>
      <c r="D121" s="43" t="s">
        <v>1075</v>
      </c>
      <c r="E121" s="31" t="s">
        <v>1076</v>
      </c>
      <c r="F121" s="33" t="s">
        <v>1077</v>
      </c>
      <c r="G121" s="51" t="s">
        <v>46</v>
      </c>
      <c r="H121" s="25" t="s">
        <v>47</v>
      </c>
      <c r="I121" s="34"/>
      <c r="J121" s="35" t="s">
        <v>1078</v>
      </c>
      <c r="K121" s="27" t="s">
        <v>50</v>
      </c>
      <c r="L121" s="36" t="s">
        <v>51</v>
      </c>
      <c r="M121" s="26" t="str">
        <f>VLOOKUP(E121,'MTS 2026 registrations'!B:B,1,false)</f>
        <v>#N/A</v>
      </c>
      <c r="N121" s="26" t="str">
        <f>VLOOKUP(B121,'MTS 2026 registrations'!A:A,1,false)</f>
        <v>#N/A</v>
      </c>
      <c r="O121" s="38" t="str">
        <f t="shared" si="2"/>
        <v>Marked</v>
      </c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</row>
    <row r="122" ht="12.75" customHeight="1">
      <c r="A122" s="19" t="str">
        <f t="shared" si="1"/>
        <v>Tetyana Bilyachenko vemble</v>
      </c>
      <c r="B122" s="19" t="s">
        <v>1080</v>
      </c>
      <c r="C122" s="20" t="s">
        <v>1081</v>
      </c>
      <c r="D122" s="20" t="s">
        <v>1082</v>
      </c>
      <c r="E122" s="21" t="s">
        <v>1083</v>
      </c>
      <c r="F122" s="23" t="s">
        <v>771</v>
      </c>
      <c r="G122" s="44" t="s">
        <v>46</v>
      </c>
      <c r="H122" s="25" t="s">
        <v>47</v>
      </c>
      <c r="I122" s="68"/>
      <c r="J122" s="35" t="s">
        <v>1084</v>
      </c>
      <c r="K122" s="27" t="s">
        <v>50</v>
      </c>
      <c r="L122" s="36" t="s">
        <v>51</v>
      </c>
      <c r="M122" s="26" t="str">
        <f>VLOOKUP(E122,'MTS 2026 registrations'!B:B,1,false)</f>
        <v>#N/A</v>
      </c>
      <c r="N122" s="26" t="str">
        <f>VLOOKUP(B122,'MTS 2026 registrations'!A:A,1,false)</f>
        <v>#N/A</v>
      </c>
      <c r="O122" s="38" t="str">
        <f t="shared" si="2"/>
        <v>Marked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</row>
    <row r="123" ht="12.75" customHeight="1">
      <c r="A123" s="19" t="str">
        <f t="shared" si="1"/>
        <v>Thijs Veldhuis lanefyld</v>
      </c>
      <c r="B123" s="19" t="s">
        <v>1085</v>
      </c>
      <c r="C123" s="20" t="s">
        <v>1086</v>
      </c>
      <c r="D123" s="20" t="s">
        <v>1087</v>
      </c>
      <c r="E123" s="21" t="s">
        <v>1088</v>
      </c>
      <c r="F123" s="23" t="s">
        <v>1089</v>
      </c>
      <c r="G123" s="44" t="s">
        <v>46</v>
      </c>
      <c r="H123" s="25" t="s">
        <v>47</v>
      </c>
      <c r="I123" s="34"/>
      <c r="J123" s="35" t="s">
        <v>1090</v>
      </c>
      <c r="K123" s="27" t="s">
        <v>50</v>
      </c>
      <c r="L123" s="36" t="s">
        <v>51</v>
      </c>
      <c r="M123" s="26" t="str">
        <f>VLOOKUP(E123,'MTS 2026 registrations'!B:B,1,false)</f>
        <v>#N/A</v>
      </c>
      <c r="N123" s="26" t="str">
        <f>VLOOKUP(B123,'MTS 2026 registrations'!A:A,1,false)</f>
        <v>#N/A</v>
      </c>
      <c r="O123" s="38" t="str">
        <f t="shared" si="2"/>
        <v>Marked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</row>
    <row r="124" ht="12.75" customHeight="1">
      <c r="A124" s="19" t="str">
        <f t="shared" si="1"/>
        <v>Thijs Bieling Plense Technologies</v>
      </c>
      <c r="B124" s="19" t="s">
        <v>1091</v>
      </c>
      <c r="C124" s="20" t="s">
        <v>1086</v>
      </c>
      <c r="D124" s="20" t="s">
        <v>1092</v>
      </c>
      <c r="E124" s="21" t="s">
        <v>1093</v>
      </c>
      <c r="F124" s="50" t="s">
        <v>1094</v>
      </c>
      <c r="G124" s="32" t="s">
        <v>46</v>
      </c>
      <c r="H124" s="25" t="s">
        <v>47</v>
      </c>
      <c r="I124" s="34"/>
      <c r="J124" s="35" t="s">
        <v>1095</v>
      </c>
      <c r="K124" s="27" t="s">
        <v>50</v>
      </c>
      <c r="L124" s="36" t="s">
        <v>51</v>
      </c>
      <c r="M124" s="26" t="str">
        <f>VLOOKUP(E124,'MTS 2026 registrations'!B:B,1,false)</f>
        <v>#N/A</v>
      </c>
      <c r="N124" s="26" t="str">
        <f>VLOOKUP(B124,'MTS 2026 registrations'!A:A,1,false)</f>
        <v>#N/A</v>
      </c>
      <c r="O124" s="38" t="str">
        <f t="shared" si="2"/>
        <v>Marked</v>
      </c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</row>
    <row r="125" ht="12.75" customHeight="1">
      <c r="A125" s="19" t="str">
        <f t="shared" si="1"/>
        <v>Thomas van Elzakker i-Optics</v>
      </c>
      <c r="B125" s="19" t="s">
        <v>1096</v>
      </c>
      <c r="C125" s="43" t="s">
        <v>1097</v>
      </c>
      <c r="D125" s="43" t="s">
        <v>1098</v>
      </c>
      <c r="E125" s="31" t="s">
        <v>1099</v>
      </c>
      <c r="F125" s="33" t="s">
        <v>1100</v>
      </c>
      <c r="G125" s="51" t="s">
        <v>46</v>
      </c>
      <c r="H125" s="25" t="s">
        <v>47</v>
      </c>
      <c r="I125" s="34"/>
      <c r="J125" s="35" t="s">
        <v>1101</v>
      </c>
      <c r="K125" s="27" t="s">
        <v>50</v>
      </c>
      <c r="L125" s="36" t="s">
        <v>51</v>
      </c>
      <c r="M125" s="26" t="str">
        <f>VLOOKUP(E125,'MTS 2026 registrations'!B:B,1,false)</f>
        <v>#N/A</v>
      </c>
      <c r="N125" s="26" t="str">
        <f>VLOOKUP(B125,'MTS 2026 registrations'!A:A,1,false)</f>
        <v>#N/A</v>
      </c>
      <c r="O125" s="38" t="str">
        <f t="shared" si="2"/>
        <v>Marked</v>
      </c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</row>
    <row r="126" ht="12.75" customHeight="1">
      <c r="A126" s="19" t="str">
        <f t="shared" si="1"/>
        <v>Thomas Vlaar JackSavior</v>
      </c>
      <c r="B126" s="19" t="s">
        <v>1102</v>
      </c>
      <c r="C126" s="43" t="s">
        <v>1097</v>
      </c>
      <c r="D126" s="43" t="s">
        <v>1103</v>
      </c>
      <c r="E126" s="31" t="s">
        <v>1104</v>
      </c>
      <c r="F126" s="33" t="s">
        <v>1105</v>
      </c>
      <c r="G126" s="51" t="s">
        <v>46</v>
      </c>
      <c r="H126" s="25" t="s">
        <v>47</v>
      </c>
      <c r="I126" s="34"/>
      <c r="J126" s="35" t="s">
        <v>1106</v>
      </c>
      <c r="K126" s="27" t="s">
        <v>50</v>
      </c>
      <c r="L126" s="36" t="s">
        <v>51</v>
      </c>
      <c r="M126" s="26" t="str">
        <f>VLOOKUP(E126,'MTS 2026 registrations'!B:B,1,false)</f>
        <v>#N/A</v>
      </c>
      <c r="N126" s="26" t="str">
        <f>VLOOKUP(B126,'MTS 2026 registrations'!A:A,1,false)</f>
        <v>#N/A</v>
      </c>
      <c r="O126" s="38" t="str">
        <f t="shared" si="2"/>
        <v>Marked</v>
      </c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</row>
    <row r="127" ht="12.75" customHeight="1">
      <c r="A127" s="19" t="str">
        <f t="shared" si="1"/>
        <v>Thomas de Wijn SolarWorks! Moçambique</v>
      </c>
      <c r="B127" s="19" t="s">
        <v>1107</v>
      </c>
      <c r="C127" s="20" t="s">
        <v>1097</v>
      </c>
      <c r="D127" s="20" t="s">
        <v>1108</v>
      </c>
      <c r="E127" s="21" t="s">
        <v>1109</v>
      </c>
      <c r="F127" s="115" t="s">
        <v>1110</v>
      </c>
      <c r="G127" s="44" t="s">
        <v>46</v>
      </c>
      <c r="H127" s="25" t="s">
        <v>47</v>
      </c>
      <c r="I127" s="34"/>
      <c r="J127" s="35" t="s">
        <v>1111</v>
      </c>
      <c r="K127" s="27" t="s">
        <v>50</v>
      </c>
      <c r="L127" s="36" t="s">
        <v>51</v>
      </c>
      <c r="M127" s="26" t="str">
        <f>VLOOKUP(E127,'MTS 2026 registrations'!B:B,1,false)</f>
        <v>#N/A</v>
      </c>
      <c r="N127" s="26" t="str">
        <f>VLOOKUP(B127,'MTS 2026 registrations'!A:A,1,false)</f>
        <v>#N/A</v>
      </c>
      <c r="O127" s="38" t="str">
        <f t="shared" si="2"/>
        <v>Marked</v>
      </c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</row>
    <row r="128" ht="12.75" customHeight="1">
      <c r="A128" s="19" t="str">
        <f t="shared" si="1"/>
        <v>Thomas De Leeuw Sunuru</v>
      </c>
      <c r="B128" s="19" t="s">
        <v>1112</v>
      </c>
      <c r="C128" s="29" t="s">
        <v>1097</v>
      </c>
      <c r="D128" s="29" t="s">
        <v>1113</v>
      </c>
      <c r="E128" s="31" t="s">
        <v>1114</v>
      </c>
      <c r="F128" s="33" t="s">
        <v>712</v>
      </c>
      <c r="G128" s="24" t="s">
        <v>46</v>
      </c>
      <c r="H128" s="25" t="s">
        <v>47</v>
      </c>
      <c r="I128" s="34"/>
      <c r="J128" s="35" t="s">
        <v>1115</v>
      </c>
      <c r="K128" s="27" t="s">
        <v>50</v>
      </c>
      <c r="L128" s="36" t="s">
        <v>51</v>
      </c>
      <c r="M128" s="26" t="str">
        <f>VLOOKUP(E128,'MTS 2026 registrations'!B:B,1,false)</f>
        <v>#N/A</v>
      </c>
      <c r="N128" s="26" t="str">
        <f>VLOOKUP(B128,'MTS 2026 registrations'!A:A,1,false)</f>
        <v>#N/A</v>
      </c>
      <c r="O128" s="38" t="str">
        <f t="shared" si="2"/>
        <v>Marked</v>
      </c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</row>
    <row r="129" ht="12.75" customHeight="1">
      <c r="A129" s="19" t="str">
        <f t="shared" si="1"/>
        <v>Thomas Voets Sealed Cycle</v>
      </c>
      <c r="B129" s="19" t="s">
        <v>1116</v>
      </c>
      <c r="C129" s="60" t="s">
        <v>1117</v>
      </c>
      <c r="D129" s="60" t="s">
        <v>1118</v>
      </c>
      <c r="E129" s="62" t="s">
        <v>1119</v>
      </c>
      <c r="F129" s="50" t="s">
        <v>1120</v>
      </c>
      <c r="G129" s="51" t="s">
        <v>750</v>
      </c>
      <c r="H129" s="25" t="s">
        <v>31</v>
      </c>
      <c r="I129" s="34"/>
      <c r="J129" s="35"/>
      <c r="K129" s="27" t="s">
        <v>32</v>
      </c>
      <c r="L129" s="36" t="s">
        <v>51</v>
      </c>
      <c r="M129" s="26" t="str">
        <f>VLOOKUP(E129,'MTS 2026 registrations'!B:B,1,false)</f>
        <v>#N/A</v>
      </c>
      <c r="N129" s="26" t="str">
        <f>VLOOKUP(B129,'MTS 2026 registrations'!A:A,1,false)</f>
        <v>#N/A</v>
      </c>
      <c r="O129" s="38" t="str">
        <f t="shared" si="2"/>
        <v>Marked</v>
      </c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</row>
    <row r="130" ht="12.75" customHeight="1">
      <c r="A130" s="19" t="str">
        <f t="shared" si="1"/>
        <v>Tim Smits Unpluq</v>
      </c>
      <c r="B130" s="19" t="s">
        <v>1121</v>
      </c>
      <c r="C130" s="43" t="s">
        <v>1122</v>
      </c>
      <c r="D130" s="43" t="s">
        <v>1123</v>
      </c>
      <c r="E130" s="31" t="s">
        <v>1124</v>
      </c>
      <c r="F130" s="33" t="s">
        <v>1125</v>
      </c>
      <c r="G130" s="51" t="s">
        <v>46</v>
      </c>
      <c r="H130" s="25" t="s">
        <v>47</v>
      </c>
      <c r="I130" s="34"/>
      <c r="J130" s="35" t="s">
        <v>1126</v>
      </c>
      <c r="K130" s="27" t="s">
        <v>50</v>
      </c>
      <c r="L130" s="36" t="s">
        <v>51</v>
      </c>
      <c r="M130" s="26" t="str">
        <f>VLOOKUP(E130,'MTS 2026 registrations'!B:B,1,false)</f>
        <v>#N/A</v>
      </c>
      <c r="N130" s="26" t="str">
        <f>VLOOKUP(B130,'MTS 2026 registrations'!A:A,1,false)</f>
        <v>#N/A</v>
      </c>
      <c r="O130" s="38" t="str">
        <f t="shared" si="2"/>
        <v>Marked</v>
      </c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</row>
    <row r="131" ht="12.75" customHeight="1">
      <c r="A131" s="19" t="str">
        <f t="shared" si="1"/>
        <v>Tom White Supersola</v>
      </c>
      <c r="B131" s="19" t="s">
        <v>1127</v>
      </c>
      <c r="C131" s="29" t="s">
        <v>1128</v>
      </c>
      <c r="D131" s="29" t="s">
        <v>1129</v>
      </c>
      <c r="E131" s="31" t="s">
        <v>1130</v>
      </c>
      <c r="F131" s="33" t="s">
        <v>1131</v>
      </c>
      <c r="G131" s="24" t="s">
        <v>46</v>
      </c>
      <c r="H131" s="25" t="s">
        <v>47</v>
      </c>
      <c r="I131" s="34"/>
      <c r="J131" s="35" t="s">
        <v>1132</v>
      </c>
      <c r="K131" s="27" t="s">
        <v>50</v>
      </c>
      <c r="L131" s="36" t="s">
        <v>51</v>
      </c>
      <c r="M131" s="26" t="str">
        <f>VLOOKUP(E131,'MTS 2026 registrations'!B:B,1,false)</f>
        <v>#N/A</v>
      </c>
      <c r="N131" s="26" t="str">
        <f>VLOOKUP(B131,'MTS 2026 registrations'!A:A,1,false)</f>
        <v>#N/A</v>
      </c>
      <c r="O131" s="38" t="str">
        <f t="shared" si="2"/>
        <v>Marked</v>
      </c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</row>
    <row r="132" ht="12.75" customHeight="1">
      <c r="A132" s="19" t="str">
        <f t="shared" si="1"/>
        <v>Ulf Dahlstrom Green Motion Technologies</v>
      </c>
      <c r="B132" s="19" t="s">
        <v>1133</v>
      </c>
      <c r="C132" s="43" t="s">
        <v>1134</v>
      </c>
      <c r="D132" s="43" t="s">
        <v>1135</v>
      </c>
      <c r="E132" s="31" t="s">
        <v>1136</v>
      </c>
      <c r="F132" s="33" t="s">
        <v>1137</v>
      </c>
      <c r="G132" s="44" t="s">
        <v>46</v>
      </c>
      <c r="H132" s="25" t="s">
        <v>47</v>
      </c>
      <c r="I132" s="34"/>
      <c r="J132" s="35" t="s">
        <v>1138</v>
      </c>
      <c r="K132" s="27" t="s">
        <v>50</v>
      </c>
      <c r="L132" s="36" t="s">
        <v>51</v>
      </c>
      <c r="M132" s="26" t="str">
        <f>VLOOKUP(E132,'MTS 2026 registrations'!B:B,1,false)</f>
        <v>#N/A</v>
      </c>
      <c r="N132" s="26" t="str">
        <f>VLOOKUP(B132,'MTS 2026 registrations'!A:A,1,false)</f>
        <v>#N/A</v>
      </c>
      <c r="O132" s="38" t="str">
        <f t="shared" si="2"/>
        <v>Marked</v>
      </c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</row>
    <row r="133" ht="12.75" customHeight="1">
      <c r="A133" s="19" t="str">
        <f t="shared" si="1"/>
        <v>Velzeboer Synkick</v>
      </c>
      <c r="B133" s="19" t="s">
        <v>1139</v>
      </c>
      <c r="C133" s="29" t="s">
        <v>1139</v>
      </c>
      <c r="D133" s="109"/>
      <c r="E133" s="31" t="s">
        <v>1140</v>
      </c>
      <c r="F133" s="33" t="s">
        <v>791</v>
      </c>
      <c r="G133" s="24" t="s">
        <v>46</v>
      </c>
      <c r="H133" s="25" t="s">
        <v>47</v>
      </c>
      <c r="I133" s="34"/>
      <c r="J133" s="35" t="s">
        <v>1141</v>
      </c>
      <c r="K133" s="27" t="s">
        <v>50</v>
      </c>
      <c r="L133" s="36" t="s">
        <v>51</v>
      </c>
      <c r="M133" s="26" t="str">
        <f>VLOOKUP(E133,'MTS 2026 registrations'!B:B,1,false)</f>
        <v>#N/A</v>
      </c>
      <c r="N133" s="26" t="str">
        <f>VLOOKUP(B133,'MTS 2026 registrations'!A:A,1,false)</f>
        <v>#N/A</v>
      </c>
      <c r="O133" s="38" t="str">
        <f t="shared" si="2"/>
        <v>Marked</v>
      </c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</row>
    <row r="134" ht="12.75" customHeight="1">
      <c r="A134" s="19" t="str">
        <f t="shared" si="1"/>
        <v>Venkatesh Seshaiya Doraiswamy Chandrasekar tocano</v>
      </c>
      <c r="B134" s="19" t="s">
        <v>1142</v>
      </c>
      <c r="C134" s="20" t="s">
        <v>1143</v>
      </c>
      <c r="D134" s="20" t="s">
        <v>1144</v>
      </c>
      <c r="E134" s="88" t="s">
        <v>1145</v>
      </c>
      <c r="F134" s="23" t="s">
        <v>1146</v>
      </c>
      <c r="G134" s="44" t="s">
        <v>46</v>
      </c>
      <c r="H134" s="25" t="s">
        <v>47</v>
      </c>
      <c r="I134" s="34"/>
      <c r="J134" s="35" t="s">
        <v>1147</v>
      </c>
      <c r="K134" s="27" t="s">
        <v>50</v>
      </c>
      <c r="L134" s="36" t="s">
        <v>51</v>
      </c>
      <c r="M134" s="26" t="str">
        <f>VLOOKUP(E134,'MTS 2026 registrations'!B:B,1,false)</f>
        <v>#N/A</v>
      </c>
      <c r="N134" s="26" t="str">
        <f>VLOOKUP(B134,'MTS 2026 registrations'!A:A,1,false)</f>
        <v>#N/A</v>
      </c>
      <c r="O134" s="38" t="str">
        <f t="shared" si="2"/>
        <v>Marked</v>
      </c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</row>
    <row r="135" ht="12.75" customHeight="1">
      <c r="A135" s="19" t="str">
        <f t="shared" si="1"/>
        <v>Vincent Koeman chainels</v>
      </c>
      <c r="B135" s="19" t="s">
        <v>1148</v>
      </c>
      <c r="C135" s="20" t="s">
        <v>1149</v>
      </c>
      <c r="D135" s="20" t="s">
        <v>1150</v>
      </c>
      <c r="E135" s="21" t="s">
        <v>1151</v>
      </c>
      <c r="F135" s="23" t="s">
        <v>1152</v>
      </c>
      <c r="G135" s="44" t="s">
        <v>46</v>
      </c>
      <c r="H135" s="25" t="s">
        <v>47</v>
      </c>
      <c r="I135" s="68"/>
      <c r="J135" s="35" t="s">
        <v>1153</v>
      </c>
      <c r="K135" s="27" t="s">
        <v>50</v>
      </c>
      <c r="L135" s="36" t="s">
        <v>51</v>
      </c>
      <c r="M135" s="26" t="str">
        <f>VLOOKUP(E135,'MTS 2026 registrations'!B:B,1,false)</f>
        <v>#N/A</v>
      </c>
      <c r="N135" s="26" t="str">
        <f>VLOOKUP(B135,'MTS 2026 registrations'!A:A,1,false)</f>
        <v>#N/A</v>
      </c>
      <c r="O135" s="38" t="str">
        <f t="shared" si="2"/>
        <v>Marked</v>
      </c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</row>
    <row r="136" ht="12.75" customHeight="1">
      <c r="A136" s="19" t="str">
        <f t="shared" si="1"/>
        <v>Wilco Vreugdenhil Boltmobility</v>
      </c>
      <c r="B136" s="19" t="s">
        <v>1154</v>
      </c>
      <c r="C136" s="43" t="s">
        <v>1155</v>
      </c>
      <c r="D136" s="43" t="s">
        <v>1156</v>
      </c>
      <c r="E136" s="111" t="s">
        <v>1157</v>
      </c>
      <c r="F136" s="33" t="s">
        <v>873</v>
      </c>
      <c r="G136" s="44" t="s">
        <v>46</v>
      </c>
      <c r="H136" s="25" t="s">
        <v>47</v>
      </c>
      <c r="I136" s="34"/>
      <c r="J136" s="35" t="s">
        <v>1158</v>
      </c>
      <c r="K136" s="27" t="s">
        <v>50</v>
      </c>
      <c r="L136" s="36" t="s">
        <v>51</v>
      </c>
      <c r="M136" s="26" t="str">
        <f>VLOOKUP(E136,'MTS 2026 registrations'!B:B,1,false)</f>
        <v>#N/A</v>
      </c>
      <c r="N136" s="26" t="str">
        <f>VLOOKUP(B136,'MTS 2026 registrations'!A:A,1,false)</f>
        <v>#N/A</v>
      </c>
      <c r="O136" s="38" t="str">
        <f t="shared" si="2"/>
        <v>Marked</v>
      </c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</row>
    <row r="137" ht="12.75" customHeight="1">
      <c r="A137" s="19" t="str">
        <f t="shared" si="1"/>
        <v>Willem Buijs chainels</v>
      </c>
      <c r="B137" s="19" t="s">
        <v>1159</v>
      </c>
      <c r="C137" s="20" t="s">
        <v>1160</v>
      </c>
      <c r="D137" s="20" t="s">
        <v>1161</v>
      </c>
      <c r="E137" s="21" t="s">
        <v>1162</v>
      </c>
      <c r="F137" s="23" t="s">
        <v>1152</v>
      </c>
      <c r="G137" s="44" t="s">
        <v>46</v>
      </c>
      <c r="H137" s="25" t="s">
        <v>47</v>
      </c>
      <c r="I137" s="26"/>
      <c r="J137" s="35" t="s">
        <v>1163</v>
      </c>
      <c r="K137" s="27" t="s">
        <v>50</v>
      </c>
      <c r="L137" s="36" t="s">
        <v>51</v>
      </c>
      <c r="M137" s="26" t="str">
        <f>VLOOKUP(E137,'MTS 2026 registrations'!B:B,1,false)</f>
        <v>#N/A</v>
      </c>
      <c r="N137" s="26" t="str">
        <f>VLOOKUP(B137,'MTS 2026 registrations'!A:A,1,false)</f>
        <v>#N/A</v>
      </c>
      <c r="O137" s="38" t="str">
        <f t="shared" si="2"/>
        <v>Marked</v>
      </c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34"/>
      <c r="AE137" s="34"/>
    </row>
    <row r="138" ht="12.75" customHeight="1">
      <c r="A138" s="19" t="str">
        <f t="shared" si="1"/>
        <v>Wouter Moorlag 4FOLD (Holland Container Innovations)</v>
      </c>
      <c r="B138" s="19" t="s">
        <v>1164</v>
      </c>
      <c r="C138" s="43" t="s">
        <v>1165</v>
      </c>
      <c r="D138" s="43" t="s">
        <v>1166</v>
      </c>
      <c r="E138" s="31" t="s">
        <v>1167</v>
      </c>
      <c r="F138" s="33" t="s">
        <v>661</v>
      </c>
      <c r="G138" s="51" t="s">
        <v>46</v>
      </c>
      <c r="H138" s="25" t="s">
        <v>47</v>
      </c>
      <c r="I138" s="34"/>
      <c r="J138" s="35" t="s">
        <v>1168</v>
      </c>
      <c r="K138" s="27" t="s">
        <v>50</v>
      </c>
      <c r="L138" s="36" t="s">
        <v>51</v>
      </c>
      <c r="M138" s="26" t="str">
        <f>VLOOKUP(E138,'MTS 2026 registrations'!B:B,1,false)</f>
        <v>#N/A</v>
      </c>
      <c r="N138" s="26" t="str">
        <f>VLOOKUP(B138,'MTS 2026 registrations'!A:A,1,false)</f>
        <v>#N/A</v>
      </c>
      <c r="O138" s="38" t="str">
        <f t="shared" si="2"/>
        <v>Marked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</row>
    <row r="139" ht="12.75" customHeight="1">
      <c r="A139" s="19" t="str">
        <f t="shared" si="1"/>
        <v>Yff Verstraeten lanefyld</v>
      </c>
      <c r="B139" s="19" t="s">
        <v>1170</v>
      </c>
      <c r="C139" s="20" t="s">
        <v>1171</v>
      </c>
      <c r="D139" s="20" t="s">
        <v>1172</v>
      </c>
      <c r="E139" s="31" t="s">
        <v>1173</v>
      </c>
      <c r="F139" s="23" t="s">
        <v>1089</v>
      </c>
      <c r="G139" s="44" t="s">
        <v>46</v>
      </c>
      <c r="H139" s="25" t="s">
        <v>47</v>
      </c>
      <c r="I139" s="34"/>
      <c r="J139" s="35" t="s">
        <v>1174</v>
      </c>
      <c r="K139" s="27" t="s">
        <v>50</v>
      </c>
      <c r="L139" s="36" t="s">
        <v>51</v>
      </c>
      <c r="M139" s="26" t="str">
        <f>VLOOKUP(E139,'MTS 2026 registrations'!B:B,1,false)</f>
        <v>#N/A</v>
      </c>
      <c r="N139" s="26" t="str">
        <f>VLOOKUP(B139,'MTS 2026 registrations'!A:A,1,false)</f>
        <v>#N/A</v>
      </c>
      <c r="O139" s="38" t="str">
        <f t="shared" si="2"/>
        <v>Marked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</row>
    <row r="140" ht="12.75" customHeight="1">
      <c r="A140" s="19" t="str">
        <f t="shared" si="1"/>
        <v>Youval Kuipers crossguard</v>
      </c>
      <c r="B140" s="19" t="s">
        <v>1175</v>
      </c>
      <c r="C140" s="20" t="s">
        <v>1176</v>
      </c>
      <c r="D140" s="20" t="s">
        <v>1177</v>
      </c>
      <c r="E140" s="31" t="s">
        <v>1178</v>
      </c>
      <c r="F140" s="23" t="s">
        <v>1179</v>
      </c>
      <c r="G140" s="44" t="s">
        <v>46</v>
      </c>
      <c r="H140" s="25" t="s">
        <v>47</v>
      </c>
      <c r="I140" s="68"/>
      <c r="J140" s="35" t="s">
        <v>1180</v>
      </c>
      <c r="K140" s="27" t="s">
        <v>50</v>
      </c>
      <c r="L140" s="36" t="s">
        <v>51</v>
      </c>
      <c r="M140" s="26" t="str">
        <f>VLOOKUP(E140,'MTS 2026 registrations'!B:B,1,false)</f>
        <v>#N/A</v>
      </c>
      <c r="N140" s="26" t="str">
        <f>VLOOKUP(B140,'MTS 2026 registrations'!A:A,1,false)</f>
        <v>#N/A</v>
      </c>
      <c r="O140" s="38" t="str">
        <f t="shared" si="2"/>
        <v>Marked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</row>
    <row r="141" ht="12.75" customHeight="1">
      <c r="A141" s="19" t="str">
        <f t="shared" si="1"/>
        <v>Yufe Feng Wong frameflux</v>
      </c>
      <c r="B141" s="19" t="s">
        <v>1181</v>
      </c>
      <c r="C141" s="20" t="s">
        <v>1182</v>
      </c>
      <c r="D141" s="20" t="s">
        <v>1183</v>
      </c>
      <c r="E141" s="31" t="s">
        <v>1184</v>
      </c>
      <c r="F141" s="23" t="s">
        <v>1185</v>
      </c>
      <c r="G141" s="44" t="s">
        <v>46</v>
      </c>
      <c r="H141" s="25" t="s">
        <v>47</v>
      </c>
      <c r="I141" s="34"/>
      <c r="J141" s="35" t="s">
        <v>1186</v>
      </c>
      <c r="K141" s="27" t="s">
        <v>50</v>
      </c>
      <c r="L141" s="36" t="s">
        <v>51</v>
      </c>
      <c r="M141" s="26" t="str">
        <f>VLOOKUP(E141,'MTS 2026 registrations'!B:B,1,false)</f>
        <v>#N/A</v>
      </c>
      <c r="N141" s="26" t="str">
        <f>VLOOKUP(B141,'MTS 2026 registrations'!A:A,1,false)</f>
        <v>#N/A</v>
      </c>
      <c r="O141" s="38" t="str">
        <f t="shared" si="2"/>
        <v>Marked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</row>
    <row r="142" ht="12.75" customHeight="1">
      <c r="A142" s="19" t="str">
        <f t="shared" si="1"/>
        <v>Yuri van Engelshoven Polytential</v>
      </c>
      <c r="B142" s="19" t="s">
        <v>1187</v>
      </c>
      <c r="C142" s="43" t="s">
        <v>1188</v>
      </c>
      <c r="D142" s="43" t="s">
        <v>1189</v>
      </c>
      <c r="E142" s="31" t="s">
        <v>1190</v>
      </c>
      <c r="F142" s="33" t="s">
        <v>743</v>
      </c>
      <c r="G142" s="51" t="s">
        <v>46</v>
      </c>
      <c r="H142" s="25" t="s">
        <v>47</v>
      </c>
      <c r="I142" s="34"/>
      <c r="J142" s="35" t="s">
        <v>1191</v>
      </c>
      <c r="K142" s="27" t="s">
        <v>50</v>
      </c>
      <c r="L142" s="36" t="s">
        <v>51</v>
      </c>
      <c r="M142" s="26" t="str">
        <f>VLOOKUP(E142,'MTS 2026 registrations'!B:B,1,false)</f>
        <v>#N/A</v>
      </c>
      <c r="N142" s="26" t="str">
        <f>VLOOKUP(B142,'MTS 2026 registrations'!A:A,1,false)</f>
        <v>#N/A</v>
      </c>
      <c r="O142" s="38" t="str">
        <f t="shared" si="2"/>
        <v>Marked</v>
      </c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</row>
    <row r="143" ht="12.75" customHeight="1">
      <c r="A143" s="19" t="str">
        <f t="shared" si="1"/>
        <v>Ana Ward Yanmar</v>
      </c>
      <c r="B143" s="19" t="s">
        <v>1192</v>
      </c>
      <c r="C143" s="116" t="s">
        <v>1193</v>
      </c>
      <c r="D143" s="117" t="s">
        <v>304</v>
      </c>
      <c r="E143" s="112" t="s">
        <v>1195</v>
      </c>
      <c r="F143" s="118" t="s">
        <v>1196</v>
      </c>
      <c r="G143" s="42" t="s">
        <v>163</v>
      </c>
      <c r="H143" s="25" t="s">
        <v>164</v>
      </c>
      <c r="I143" s="26"/>
      <c r="J143" s="35" t="s">
        <v>1197</v>
      </c>
      <c r="K143" s="27" t="s">
        <v>50</v>
      </c>
      <c r="L143" s="36" t="s">
        <v>1198</v>
      </c>
      <c r="M143" s="26" t="str">
        <f>VLOOKUP(E143,'MTS 2026 registrations'!B:B,1,false)</f>
        <v>#N/A</v>
      </c>
      <c r="N143" s="26" t="str">
        <f>VLOOKUP(B143,'MTS 2026 registrations'!A:A,1,false)</f>
        <v>#N/A</v>
      </c>
      <c r="O143" s="38" t="str">
        <f t="shared" si="2"/>
        <v>Marked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23"/>
      <c r="AE143" s="23"/>
    </row>
    <row r="144" ht="12.75" customHeight="1">
      <c r="A144" s="19" t="str">
        <f t="shared" si="1"/>
        <v>Andrea Coraddu oceanai</v>
      </c>
      <c r="B144" s="19" t="s">
        <v>1199</v>
      </c>
      <c r="C144" s="20" t="s">
        <v>1200</v>
      </c>
      <c r="D144" s="93" t="s">
        <v>1201</v>
      </c>
      <c r="E144" s="21" t="s">
        <v>1202</v>
      </c>
      <c r="F144" s="23" t="s">
        <v>1203</v>
      </c>
      <c r="G144" s="32" t="s">
        <v>46</v>
      </c>
      <c r="H144" s="25" t="s">
        <v>47</v>
      </c>
      <c r="I144" s="23"/>
      <c r="J144" s="35" t="s">
        <v>1204</v>
      </c>
      <c r="K144" s="27" t="s">
        <v>50</v>
      </c>
      <c r="L144" s="36" t="s">
        <v>1198</v>
      </c>
      <c r="M144" s="26" t="str">
        <f>VLOOKUP(E144,'MTS 2026 registrations'!B:B,1,false)</f>
        <v>#N/A</v>
      </c>
      <c r="N144" s="26" t="str">
        <f>VLOOKUP(B144,'MTS 2026 registrations'!A:A,1,false)</f>
        <v>#N/A</v>
      </c>
      <c r="O144" s="38" t="str">
        <f t="shared" si="2"/>
        <v>Marked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2.75" customHeight="1">
      <c r="A145" s="19" t="str">
        <f t="shared" si="1"/>
        <v>Arnaud Backbier Independent</v>
      </c>
      <c r="B145" s="19" t="s">
        <v>1205</v>
      </c>
      <c r="C145" s="13" t="s">
        <v>1206</v>
      </c>
      <c r="D145" s="13" t="s">
        <v>1207</v>
      </c>
      <c r="E145" s="13" t="s">
        <v>1208</v>
      </c>
      <c r="F145" s="66" t="s">
        <v>1209</v>
      </c>
      <c r="G145" s="24" t="s">
        <v>225</v>
      </c>
      <c r="H145" s="25" t="s">
        <v>47</v>
      </c>
      <c r="I145" s="34"/>
      <c r="J145" s="35" t="s">
        <v>1211</v>
      </c>
      <c r="K145" s="27" t="s">
        <v>50</v>
      </c>
      <c r="L145" s="36" t="s">
        <v>1198</v>
      </c>
      <c r="M145" s="26" t="str">
        <f>VLOOKUP(E145,'MTS 2026 registrations'!B:B,1,false)</f>
        <v>#N/A</v>
      </c>
      <c r="N145" s="26" t="str">
        <f>VLOOKUP(B145,'MTS 2026 registrations'!A:A,1,false)</f>
        <v>#N/A</v>
      </c>
      <c r="O145" s="38" t="str">
        <f t="shared" si="2"/>
        <v>Marked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</row>
    <row r="146" ht="12.75" customHeight="1">
      <c r="A146" s="19" t="str">
        <f t="shared" si="1"/>
        <v>Arnaud van der Veen tocano</v>
      </c>
      <c r="B146" s="19" t="s">
        <v>1213</v>
      </c>
      <c r="C146" s="20" t="s">
        <v>1206</v>
      </c>
      <c r="D146" s="20" t="s">
        <v>1214</v>
      </c>
      <c r="E146" s="112" t="s">
        <v>1215</v>
      </c>
      <c r="F146" s="23" t="s">
        <v>1146</v>
      </c>
      <c r="G146" s="44" t="s">
        <v>46</v>
      </c>
      <c r="H146" s="25" t="s">
        <v>47</v>
      </c>
      <c r="I146" s="23"/>
      <c r="J146" s="35" t="s">
        <v>1216</v>
      </c>
      <c r="K146" s="27" t="s">
        <v>50</v>
      </c>
      <c r="L146" s="36" t="s">
        <v>1198</v>
      </c>
      <c r="M146" s="26" t="str">
        <f>VLOOKUP(E146,'MTS 2026 registrations'!B:B,1,false)</f>
        <v>#N/A</v>
      </c>
      <c r="N146" s="26" t="str">
        <f>VLOOKUP(B146,'MTS 2026 registrations'!A:A,1,false)</f>
        <v>#N/A</v>
      </c>
      <c r="O146" s="38" t="str">
        <f t="shared" si="2"/>
        <v>Marked</v>
      </c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2.75" customHeight="1">
      <c r="A147" s="19" t="str">
        <f t="shared" si="1"/>
        <v>Bart Roeffe deltasync</v>
      </c>
      <c r="B147" s="19" t="s">
        <v>1218</v>
      </c>
      <c r="C147" s="20" t="s">
        <v>389</v>
      </c>
      <c r="D147" s="20" t="s">
        <v>1219</v>
      </c>
      <c r="E147" s="21" t="s">
        <v>1220</v>
      </c>
      <c r="F147" s="23" t="s">
        <v>848</v>
      </c>
      <c r="G147" s="32" t="s">
        <v>46</v>
      </c>
      <c r="H147" s="25" t="s">
        <v>47</v>
      </c>
      <c r="I147" s="23"/>
      <c r="J147" s="35" t="s">
        <v>1221</v>
      </c>
      <c r="K147" s="27" t="s">
        <v>50</v>
      </c>
      <c r="L147" s="36" t="s">
        <v>1198</v>
      </c>
      <c r="M147" s="26" t="str">
        <f>VLOOKUP(E147,'MTS 2026 registrations'!B:B,1,false)</f>
        <v>#N/A</v>
      </c>
      <c r="N147" s="26" t="str">
        <f>VLOOKUP(B147,'MTS 2026 registrations'!A:A,1,false)</f>
        <v>#N/A</v>
      </c>
      <c r="O147" s="38" t="str">
        <f t="shared" si="2"/>
        <v>Marked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2.75" customHeight="1">
      <c r="A148" s="19" t="str">
        <f t="shared" si="1"/>
        <v>Elisabeth Iszauk extantia</v>
      </c>
      <c r="B148" s="19" t="s">
        <v>1222</v>
      </c>
      <c r="C148" s="20" t="s">
        <v>1223</v>
      </c>
      <c r="D148" s="20" t="s">
        <v>1224</v>
      </c>
      <c r="E148" s="21" t="s">
        <v>1225</v>
      </c>
      <c r="F148" s="119" t="s">
        <v>1226</v>
      </c>
      <c r="G148" s="24" t="s">
        <v>163</v>
      </c>
      <c r="H148" s="25" t="s">
        <v>164</v>
      </c>
      <c r="I148" s="23"/>
      <c r="J148" s="35" t="s">
        <v>1227</v>
      </c>
      <c r="K148" s="27" t="s">
        <v>50</v>
      </c>
      <c r="L148" s="36" t="s">
        <v>1198</v>
      </c>
      <c r="M148" s="26" t="str">
        <f>VLOOKUP(E148,'MTS 2026 registrations'!B:B,1,false)</f>
        <v>#N/A</v>
      </c>
      <c r="N148" s="26" t="str">
        <f>VLOOKUP(B148,'MTS 2026 registrations'!A:A,1,false)</f>
        <v>#N/A</v>
      </c>
      <c r="O148" s="38" t="str">
        <f t="shared" si="2"/>
        <v>Marked</v>
      </c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2.75" customHeight="1">
      <c r="A149" s="19" t="str">
        <f t="shared" si="1"/>
        <v>Gijs de Groot ubiops.</v>
      </c>
      <c r="B149" s="19" t="s">
        <v>1228</v>
      </c>
      <c r="C149" s="20" t="s">
        <v>1229</v>
      </c>
      <c r="D149" s="20" t="s">
        <v>1230</v>
      </c>
      <c r="E149" s="112" t="s">
        <v>1231</v>
      </c>
      <c r="F149" s="23" t="s">
        <v>1232</v>
      </c>
      <c r="G149" s="42" t="s">
        <v>69</v>
      </c>
      <c r="H149" s="25" t="s">
        <v>47</v>
      </c>
      <c r="I149" s="26"/>
      <c r="J149" s="35" t="s">
        <v>1233</v>
      </c>
      <c r="K149" s="27" t="s">
        <v>50</v>
      </c>
      <c r="L149" s="36" t="s">
        <v>1198</v>
      </c>
      <c r="M149" s="26" t="str">
        <f>VLOOKUP(E149,'MTS 2026 registrations'!B:B,1,false)</f>
        <v>#N/A</v>
      </c>
      <c r="N149" s="26" t="str">
        <f>VLOOKUP(B149,'MTS 2026 registrations'!A:A,1,false)</f>
        <v>#N/A</v>
      </c>
      <c r="O149" s="38" t="str">
        <f t="shared" si="2"/>
        <v>Marked</v>
      </c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2.75" customHeight="1">
      <c r="A150" s="19" t="str">
        <f t="shared" si="1"/>
        <v>Hassan Rivandi Neurosonics</v>
      </c>
      <c r="B150" s="19" t="s">
        <v>1235</v>
      </c>
      <c r="C150" s="60" t="s">
        <v>1236</v>
      </c>
      <c r="D150" s="60" t="s">
        <v>1237</v>
      </c>
      <c r="E150" s="62" t="s">
        <v>1238</v>
      </c>
      <c r="F150" s="23" t="s">
        <v>1239</v>
      </c>
      <c r="G150" s="24" t="s">
        <v>750</v>
      </c>
      <c r="H150" s="25" t="s">
        <v>31</v>
      </c>
      <c r="I150" s="23"/>
      <c r="J150" s="35" t="s">
        <v>1240</v>
      </c>
      <c r="K150" s="27" t="s">
        <v>50</v>
      </c>
      <c r="L150" s="36" t="s">
        <v>1198</v>
      </c>
      <c r="M150" s="26" t="str">
        <f>VLOOKUP(E150,'MTS 2026 registrations'!B:B,1,false)</f>
        <v>#N/A</v>
      </c>
      <c r="N150" s="26" t="str">
        <f>VLOOKUP(B150,'MTS 2026 registrations'!A:A,1,false)</f>
        <v>#N/A</v>
      </c>
      <c r="O150" s="38" t="str">
        <f t="shared" si="2"/>
        <v>Marked</v>
      </c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34"/>
      <c r="AE150" s="34"/>
    </row>
    <row r="151" ht="12.75" customHeight="1">
      <c r="A151" s="19" t="str">
        <f t="shared" si="1"/>
        <v>Ilse de Wit- hoogendijk hagaziekenhuis</v>
      </c>
      <c r="B151" s="19" t="s">
        <v>1241</v>
      </c>
      <c r="C151" s="72" t="s">
        <v>1242</v>
      </c>
      <c r="D151" s="72" t="s">
        <v>1243</v>
      </c>
      <c r="E151" s="30" t="s">
        <v>1244</v>
      </c>
      <c r="F151" s="29" t="s">
        <v>1245</v>
      </c>
      <c r="G151" s="32" t="s">
        <v>56</v>
      </c>
      <c r="H151" s="13" t="s">
        <v>45</v>
      </c>
      <c r="I151" s="34"/>
      <c r="J151" s="35" t="s">
        <v>1246</v>
      </c>
      <c r="K151" s="27" t="s">
        <v>50</v>
      </c>
      <c r="L151" s="36" t="s">
        <v>1198</v>
      </c>
      <c r="M151" s="26" t="str">
        <f>VLOOKUP(E151,'MTS 2026 registrations'!B:B,1,false)</f>
        <v>#N/A</v>
      </c>
      <c r="N151" s="26" t="str">
        <f>VLOOKUP(B151,'MTS 2026 registrations'!A:A,1,false)</f>
        <v>#N/A</v>
      </c>
      <c r="O151" s="38" t="str">
        <f t="shared" si="2"/>
        <v>Marked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</row>
    <row r="152" ht="12.75" customHeight="1">
      <c r="A152" s="19" t="str">
        <f t="shared" si="1"/>
        <v>Jake Walker oceanai</v>
      </c>
      <c r="B152" s="19" t="s">
        <v>1248</v>
      </c>
      <c r="C152" s="20" t="s">
        <v>1250</v>
      </c>
      <c r="D152" s="120" t="s">
        <v>1251</v>
      </c>
      <c r="E152" s="21" t="s">
        <v>1252</v>
      </c>
      <c r="F152" s="23" t="s">
        <v>1203</v>
      </c>
      <c r="G152" s="32" t="s">
        <v>46</v>
      </c>
      <c r="H152" s="25" t="s">
        <v>47</v>
      </c>
      <c r="I152" s="23"/>
      <c r="J152" s="35" t="s">
        <v>1253</v>
      </c>
      <c r="K152" s="27" t="s">
        <v>50</v>
      </c>
      <c r="L152" s="36" t="s">
        <v>1198</v>
      </c>
      <c r="M152" s="26" t="str">
        <f>VLOOKUP(E152,'MTS 2026 registrations'!B:B,1,false)</f>
        <v>#N/A</v>
      </c>
      <c r="N152" s="26" t="str">
        <f>VLOOKUP(B152,'MTS 2026 registrations'!A:A,1,false)</f>
        <v>#N/A</v>
      </c>
      <c r="O152" s="38" t="str">
        <f t="shared" si="2"/>
        <v>Marked</v>
      </c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34"/>
      <c r="AE152" s="34"/>
    </row>
    <row r="153" ht="12.75" customHeight="1">
      <c r="A153" s="19" t="str">
        <f t="shared" si="1"/>
        <v>Jay Jayesingha Urbandine</v>
      </c>
      <c r="B153" s="19" t="s">
        <v>1255</v>
      </c>
      <c r="C153" s="29" t="s">
        <v>1256</v>
      </c>
      <c r="D153" s="121" t="s">
        <v>1257</v>
      </c>
      <c r="E153" s="62" t="s">
        <v>1258</v>
      </c>
      <c r="F153" s="50" t="s">
        <v>462</v>
      </c>
      <c r="G153" s="32" t="s">
        <v>46</v>
      </c>
      <c r="H153" s="25" t="s">
        <v>139</v>
      </c>
      <c r="I153" s="13" t="s">
        <v>188</v>
      </c>
      <c r="J153" s="35" t="s">
        <v>1259</v>
      </c>
      <c r="K153" s="27" t="s">
        <v>50</v>
      </c>
      <c r="L153" s="36" t="s">
        <v>1198</v>
      </c>
      <c r="M153" s="26" t="str">
        <f>VLOOKUP(E153,'MTS 2026 registrations'!B:B,1,false)</f>
        <v>#N/A</v>
      </c>
      <c r="N153" s="26" t="str">
        <f>VLOOKUP(B153,'MTS 2026 registrations'!A:A,1,false)</f>
        <v>#N/A</v>
      </c>
      <c r="O153" s="38" t="str">
        <f t="shared" si="2"/>
        <v>Marked</v>
      </c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2.75" customHeight="1">
      <c r="A154" s="19" t="str">
        <f t="shared" si="1"/>
        <v>Joep Breuer kitepower</v>
      </c>
      <c r="B154" s="19" t="s">
        <v>1260</v>
      </c>
      <c r="C154" s="20" t="s">
        <v>746</v>
      </c>
      <c r="D154" s="20" t="s">
        <v>1261</v>
      </c>
      <c r="E154" s="21" t="s">
        <v>1262</v>
      </c>
      <c r="F154" s="23" t="s">
        <v>976</v>
      </c>
      <c r="G154" s="32" t="s">
        <v>46</v>
      </c>
      <c r="H154" s="25" t="s">
        <v>47</v>
      </c>
      <c r="I154" s="23"/>
      <c r="J154" s="35" t="s">
        <v>1263</v>
      </c>
      <c r="K154" s="27" t="s">
        <v>50</v>
      </c>
      <c r="L154" s="36" t="s">
        <v>1198</v>
      </c>
      <c r="M154" s="26" t="str">
        <f>VLOOKUP(E154,'MTS 2026 registrations'!B:B,1,false)</f>
        <v>#N/A</v>
      </c>
      <c r="N154" s="26" t="str">
        <f>VLOOKUP(B154,'MTS 2026 registrations'!A:A,1,false)</f>
        <v>#N/A</v>
      </c>
      <c r="O154" s="38" t="str">
        <f t="shared" si="2"/>
        <v>Marked</v>
      </c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34"/>
      <c r="AE154" s="34"/>
    </row>
    <row r="155" ht="12.75" customHeight="1">
      <c r="A155" s="19" t="str">
        <f t="shared" si="1"/>
        <v>Joost de Wit mediadistillery.tv</v>
      </c>
      <c r="B155" s="19" t="s">
        <v>1265</v>
      </c>
      <c r="C155" s="20" t="s">
        <v>774</v>
      </c>
      <c r="D155" s="53" t="s">
        <v>1266</v>
      </c>
      <c r="E155" s="21" t="s">
        <v>1267</v>
      </c>
      <c r="F155" s="122" t="s">
        <v>1268</v>
      </c>
      <c r="G155" s="32" t="s">
        <v>46</v>
      </c>
      <c r="H155" s="25" t="s">
        <v>47</v>
      </c>
      <c r="I155" s="34"/>
      <c r="J155" s="35" t="s">
        <v>1269</v>
      </c>
      <c r="K155" s="27" t="s">
        <v>50</v>
      </c>
      <c r="L155" s="36" t="s">
        <v>1198</v>
      </c>
      <c r="M155" s="26" t="str">
        <f>VLOOKUP(E155,'MTS 2026 registrations'!B:B,1,false)</f>
        <v>#N/A</v>
      </c>
      <c r="N155" s="26" t="str">
        <f>VLOOKUP(B155,'MTS 2026 registrations'!A:A,1,false)</f>
        <v>#N/A</v>
      </c>
      <c r="O155" s="38" t="str">
        <f t="shared" si="2"/>
        <v>Marked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</row>
    <row r="156" ht="12.75" customHeight="1">
      <c r="A156" s="19" t="str">
        <f t="shared" si="1"/>
        <v>Julius Smith supersola</v>
      </c>
      <c r="B156" s="19" t="s">
        <v>1270</v>
      </c>
      <c r="C156" s="20" t="s">
        <v>1271</v>
      </c>
      <c r="D156" s="20" t="s">
        <v>681</v>
      </c>
      <c r="E156" s="123" t="s">
        <v>1272</v>
      </c>
      <c r="F156" s="23" t="s">
        <v>1273</v>
      </c>
      <c r="G156" s="32" t="s">
        <v>46</v>
      </c>
      <c r="H156" s="25" t="s">
        <v>47</v>
      </c>
      <c r="I156" s="34"/>
      <c r="J156" s="35" t="s">
        <v>1274</v>
      </c>
      <c r="K156" s="27" t="s">
        <v>50</v>
      </c>
      <c r="L156" s="36" t="s">
        <v>1198</v>
      </c>
      <c r="M156" s="26" t="str">
        <f>VLOOKUP(E156,'MTS 2026 registrations'!B:B,1,false)</f>
        <v>#N/A</v>
      </c>
      <c r="N156" s="26" t="str">
        <f>VLOOKUP(B156,'MTS 2026 registrations'!A:A,1,false)</f>
        <v>#N/A</v>
      </c>
      <c r="O156" s="38" t="str">
        <f t="shared" si="2"/>
        <v>Marked</v>
      </c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23"/>
      <c r="AE156" s="23"/>
    </row>
    <row r="157" ht="12.75" customHeight="1">
      <c r="A157" s="19" t="str">
        <f t="shared" si="1"/>
        <v>Kaoutar Ashour </v>
      </c>
      <c r="B157" s="19" t="s">
        <v>1276</v>
      </c>
      <c r="C157" s="29" t="s">
        <v>1277</v>
      </c>
      <c r="D157" s="121" t="s">
        <v>1278</v>
      </c>
      <c r="E157" s="30" t="s">
        <v>1279</v>
      </c>
      <c r="F157" s="29"/>
      <c r="G157" s="32" t="s">
        <v>323</v>
      </c>
      <c r="H157" s="13" t="s">
        <v>45</v>
      </c>
      <c r="I157" s="34"/>
      <c r="J157" s="35" t="s">
        <v>1280</v>
      </c>
      <c r="K157" s="27" t="s">
        <v>50</v>
      </c>
      <c r="L157" s="91" t="s">
        <v>1198</v>
      </c>
      <c r="M157" s="26" t="str">
        <f>VLOOKUP(E157,'MTS 2026 registrations'!B:B,1,false)</f>
        <v>#N/A</v>
      </c>
      <c r="N157" s="26" t="str">
        <f>VLOOKUP(B157,'MTS 2026 registrations'!A:A,1,false)</f>
        <v>#N/A</v>
      </c>
      <c r="O157" s="38" t="str">
        <f t="shared" si="2"/>
        <v>Marked</v>
      </c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</row>
    <row r="158" ht="12.75" customHeight="1">
      <c r="A158" s="19" t="str">
        <f t="shared" si="1"/>
        <v>Karina Chapiewska deltasync</v>
      </c>
      <c r="B158" s="19" t="s">
        <v>1281</v>
      </c>
      <c r="C158" s="20" t="s">
        <v>1282</v>
      </c>
      <c r="D158" s="20" t="s">
        <v>1283</v>
      </c>
      <c r="E158" s="21" t="s">
        <v>1284</v>
      </c>
      <c r="F158" s="23" t="s">
        <v>848</v>
      </c>
      <c r="G158" s="32" t="s">
        <v>46</v>
      </c>
      <c r="H158" s="25" t="s">
        <v>47</v>
      </c>
      <c r="I158" s="34"/>
      <c r="J158" s="35" t="s">
        <v>1285</v>
      </c>
      <c r="K158" s="27" t="s">
        <v>50</v>
      </c>
      <c r="L158" s="36" t="s">
        <v>1198</v>
      </c>
      <c r="M158" s="26" t="str">
        <f>VLOOKUP(E158,'MTS 2026 registrations'!B:B,1,false)</f>
        <v>#N/A</v>
      </c>
      <c r="N158" s="26" t="str">
        <f>VLOOKUP(B158,'MTS 2026 registrations'!A:A,1,false)</f>
        <v>#N/A</v>
      </c>
      <c r="O158" s="38" t="str">
        <f t="shared" si="2"/>
        <v>Marked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</row>
    <row r="159" ht="12.75" customHeight="1">
      <c r="A159" s="19" t="str">
        <f t="shared" si="1"/>
        <v>Katrien van Hees </v>
      </c>
      <c r="B159" s="19" t="s">
        <v>1286</v>
      </c>
      <c r="C159" s="72" t="s">
        <v>1287</v>
      </c>
      <c r="D159" s="72" t="s">
        <v>1288</v>
      </c>
      <c r="E159" s="30" t="s">
        <v>1289</v>
      </c>
      <c r="F159" s="29"/>
      <c r="G159" s="32" t="s">
        <v>43</v>
      </c>
      <c r="H159" s="13" t="s">
        <v>45</v>
      </c>
      <c r="I159" s="34"/>
      <c r="J159" s="35" t="s">
        <v>1290</v>
      </c>
      <c r="K159" s="27" t="s">
        <v>50</v>
      </c>
      <c r="L159" s="36" t="s">
        <v>1198</v>
      </c>
      <c r="M159" s="26" t="str">
        <f>VLOOKUP(E159,'MTS 2026 registrations'!B:B,1,false)</f>
        <v>#N/A</v>
      </c>
      <c r="N159" s="26" t="str">
        <f>VLOOKUP(B159,'MTS 2026 registrations'!A:A,1,false)</f>
        <v>#N/A</v>
      </c>
      <c r="O159" s="38" t="str">
        <f t="shared" si="2"/>
        <v>Marked</v>
      </c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</row>
    <row r="160" ht="12.75" customHeight="1">
      <c r="A160" s="19" t="str">
        <f t="shared" si="1"/>
        <v>Krishna Chaitanya R Yokai</v>
      </c>
      <c r="B160" s="19" t="s">
        <v>1291</v>
      </c>
      <c r="C160" s="29" t="s">
        <v>1292</v>
      </c>
      <c r="D160" s="29" t="s">
        <v>1293</v>
      </c>
      <c r="E160" s="31" t="s">
        <v>1294</v>
      </c>
      <c r="F160" s="113" t="s">
        <v>1011</v>
      </c>
      <c r="G160" s="32" t="s">
        <v>46</v>
      </c>
      <c r="H160" s="25" t="s">
        <v>47</v>
      </c>
      <c r="I160" s="34"/>
      <c r="J160" s="35" t="s">
        <v>1295</v>
      </c>
      <c r="K160" s="27" t="s">
        <v>50</v>
      </c>
      <c r="L160" s="36" t="s">
        <v>1198</v>
      </c>
      <c r="M160" s="26" t="str">
        <f>VLOOKUP(E160,'MTS 2026 registrations'!B:B,1,false)</f>
        <v>#N/A</v>
      </c>
      <c r="N160" s="26" t="str">
        <f>VLOOKUP(B160,'MTS 2026 registrations'!A:A,1,false)</f>
        <v>#N/A</v>
      </c>
      <c r="O160" s="38" t="str">
        <f t="shared" si="2"/>
        <v>Marked</v>
      </c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34"/>
      <c r="AE160" s="34"/>
    </row>
    <row r="161" ht="12.75" customHeight="1">
      <c r="A161" s="19" t="str">
        <f t="shared" si="1"/>
        <v>Luisa Kraut join.capital</v>
      </c>
      <c r="B161" s="19" t="s">
        <v>1296</v>
      </c>
      <c r="C161" s="20" t="s">
        <v>1297</v>
      </c>
      <c r="D161" s="20" t="s">
        <v>1298</v>
      </c>
      <c r="E161" s="21" t="s">
        <v>1299</v>
      </c>
      <c r="F161" s="119" t="s">
        <v>1300</v>
      </c>
      <c r="G161" s="24" t="s">
        <v>163</v>
      </c>
      <c r="H161" s="25" t="s">
        <v>164</v>
      </c>
      <c r="I161" s="34"/>
      <c r="J161" s="35" t="s">
        <v>1301</v>
      </c>
      <c r="K161" s="27" t="s">
        <v>50</v>
      </c>
      <c r="L161" s="36" t="s">
        <v>1198</v>
      </c>
      <c r="M161" s="26" t="str">
        <f>VLOOKUP(E161,'MTS 2026 registrations'!B:B,1,false)</f>
        <v>#N/A</v>
      </c>
      <c r="N161" s="26" t="str">
        <f>VLOOKUP(B161,'MTS 2026 registrations'!A:A,1,false)</f>
        <v>#N/A</v>
      </c>
      <c r="O161" s="38" t="str">
        <f t="shared" si="2"/>
        <v>Marked</v>
      </c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</row>
    <row r="162" ht="12.75" customHeight="1">
      <c r="A162" s="19" t="str">
        <f t="shared" si="1"/>
        <v>Mark Appel sendcloud</v>
      </c>
      <c r="B162" s="19" t="s">
        <v>1302</v>
      </c>
      <c r="C162" s="29" t="s">
        <v>876</v>
      </c>
      <c r="D162" s="29" t="s">
        <v>1303</v>
      </c>
      <c r="E162" s="30" t="s">
        <v>1304</v>
      </c>
      <c r="F162" s="29" t="s">
        <v>1305</v>
      </c>
      <c r="G162" s="32" t="s">
        <v>1306</v>
      </c>
      <c r="H162" s="13" t="s">
        <v>213</v>
      </c>
      <c r="I162" s="36" t="s">
        <v>1307</v>
      </c>
      <c r="J162" s="35" t="s">
        <v>1308</v>
      </c>
      <c r="K162" s="27" t="s">
        <v>50</v>
      </c>
      <c r="L162" s="36" t="s">
        <v>1198</v>
      </c>
      <c r="M162" s="26" t="str">
        <f>VLOOKUP(E162,'MTS 2026 registrations'!B:B,1,false)</f>
        <v>#N/A</v>
      </c>
      <c r="N162" s="26" t="str">
        <f>VLOOKUP(B162,'MTS 2026 registrations'!A:A,1,false)</f>
        <v>#N/A</v>
      </c>
      <c r="O162" s="38" t="str">
        <f t="shared" si="2"/>
        <v>Marked</v>
      </c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</row>
    <row r="163" ht="12.75" customHeight="1">
      <c r="A163" s="19" t="str">
        <f t="shared" si="1"/>
        <v>Mars Geuze Hardt (Hyperloop) Global Mobility</v>
      </c>
      <c r="B163" s="19" t="s">
        <v>1309</v>
      </c>
      <c r="C163" s="29" t="s">
        <v>1310</v>
      </c>
      <c r="D163" s="29" t="s">
        <v>1311</v>
      </c>
      <c r="E163" s="31" t="s">
        <v>1312</v>
      </c>
      <c r="F163" s="33" t="s">
        <v>1313</v>
      </c>
      <c r="G163" s="32" t="s">
        <v>46</v>
      </c>
      <c r="H163" s="25" t="s">
        <v>47</v>
      </c>
      <c r="I163" s="34"/>
      <c r="J163" s="35" t="s">
        <v>1314</v>
      </c>
      <c r="K163" s="27" t="s">
        <v>50</v>
      </c>
      <c r="L163" s="36" t="s">
        <v>1198</v>
      </c>
      <c r="M163" s="26" t="str">
        <f>VLOOKUP(E163,'MTS 2026 registrations'!B:B,1,false)</f>
        <v>#N/A</v>
      </c>
      <c r="N163" s="26" t="str">
        <f>VLOOKUP(B163,'MTS 2026 registrations'!A:A,1,false)</f>
        <v>#N/A</v>
      </c>
      <c r="O163" s="38" t="str">
        <f t="shared" si="2"/>
        <v>Marked</v>
      </c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</row>
    <row r="164" ht="12.75" customHeight="1">
      <c r="A164" s="19" t="str">
        <f t="shared" si="1"/>
        <v>Maurits de Lint starnustech</v>
      </c>
      <c r="B164" s="19" t="s">
        <v>1315</v>
      </c>
      <c r="C164" s="20" t="s">
        <v>1316</v>
      </c>
      <c r="D164" s="20" t="s">
        <v>1317</v>
      </c>
      <c r="E164" s="21" t="s">
        <v>1318</v>
      </c>
      <c r="F164" s="23" t="s">
        <v>1319</v>
      </c>
      <c r="G164" s="32" t="s">
        <v>46</v>
      </c>
      <c r="H164" s="25" t="s">
        <v>47</v>
      </c>
      <c r="I164" s="34"/>
      <c r="J164" s="35" t="s">
        <v>1320</v>
      </c>
      <c r="K164" s="27" t="s">
        <v>50</v>
      </c>
      <c r="L164" s="36" t="s">
        <v>1198</v>
      </c>
      <c r="M164" s="26" t="str">
        <f>VLOOKUP(E164,'MTS 2026 registrations'!B:B,1,false)</f>
        <v>#N/A</v>
      </c>
      <c r="N164" s="26" t="str">
        <f>VLOOKUP(B164,'MTS 2026 registrations'!A:A,1,false)</f>
        <v>#N/A</v>
      </c>
      <c r="O164" s="38" t="str">
        <f t="shared" si="2"/>
        <v>Marked</v>
      </c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</row>
    <row r="165" ht="12.75" customHeight="1">
      <c r="A165" s="19" t="str">
        <f t="shared" si="1"/>
        <v>MichaÃ«l Ozo XO Sight (Sophos Robotics)</v>
      </c>
      <c r="B165" s="19" t="s">
        <v>1322</v>
      </c>
      <c r="C165" s="29" t="s">
        <v>1323</v>
      </c>
      <c r="D165" s="29" t="s">
        <v>1324</v>
      </c>
      <c r="E165" s="31" t="s">
        <v>1325</v>
      </c>
      <c r="F165" s="33" t="s">
        <v>1326</v>
      </c>
      <c r="G165" s="32" t="s">
        <v>46</v>
      </c>
      <c r="H165" s="25" t="s">
        <v>47</v>
      </c>
      <c r="I165" s="34"/>
      <c r="J165" s="35" t="s">
        <v>1327</v>
      </c>
      <c r="K165" s="27" t="s">
        <v>50</v>
      </c>
      <c r="L165" s="36" t="s">
        <v>1198</v>
      </c>
      <c r="M165" s="26" t="str">
        <f>VLOOKUP(E165,'MTS 2026 registrations'!B:B,1,false)</f>
        <v>#N/A</v>
      </c>
      <c r="N165" s="26" t="str">
        <f>VLOOKUP(B165,'MTS 2026 registrations'!A:A,1,false)</f>
        <v>#N/A</v>
      </c>
      <c r="O165" s="38" t="str">
        <f t="shared" si="2"/>
        <v>Marked</v>
      </c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</row>
    <row r="166" ht="12.75" customHeight="1">
      <c r="A166" s="19" t="str">
        <f t="shared" si="1"/>
        <v>Musab Almozien conical</v>
      </c>
      <c r="B166" s="19" t="s">
        <v>1328</v>
      </c>
      <c r="C166" s="20" t="s">
        <v>1329</v>
      </c>
      <c r="D166" s="20" t="s">
        <v>1330</v>
      </c>
      <c r="E166" s="21" t="s">
        <v>1331</v>
      </c>
      <c r="F166" s="23" t="s">
        <v>83</v>
      </c>
      <c r="G166" s="32" t="s">
        <v>46</v>
      </c>
      <c r="H166" s="25" t="s">
        <v>47</v>
      </c>
      <c r="I166" s="26"/>
      <c r="J166" s="35" t="s">
        <v>1332</v>
      </c>
      <c r="K166" s="27" t="s">
        <v>50</v>
      </c>
      <c r="L166" s="36" t="s">
        <v>1198</v>
      </c>
      <c r="M166" s="26" t="str">
        <f>VLOOKUP(E166,'MTS 2026 registrations'!B:B,1,false)</f>
        <v>#N/A</v>
      </c>
      <c r="N166" s="26" t="str">
        <f>VLOOKUP(B166,'MTS 2026 registrations'!A:A,1,false)</f>
        <v>#N/A</v>
      </c>
      <c r="O166" s="38" t="str">
        <f t="shared" si="2"/>
        <v>Marked</v>
      </c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</row>
    <row r="167" ht="12.75" customHeight="1">
      <c r="A167" s="19" t="str">
        <f t="shared" si="1"/>
        <v>Namratha Kothapalli speedinvest</v>
      </c>
      <c r="B167" s="19" t="s">
        <v>1333</v>
      </c>
      <c r="C167" s="20" t="s">
        <v>1334</v>
      </c>
      <c r="D167" s="20" t="s">
        <v>1335</v>
      </c>
      <c r="E167" s="21" t="s">
        <v>1336</v>
      </c>
      <c r="F167" s="119" t="s">
        <v>1337</v>
      </c>
      <c r="G167" s="24" t="s">
        <v>163</v>
      </c>
      <c r="H167" s="25" t="s">
        <v>164</v>
      </c>
      <c r="I167" s="34"/>
      <c r="J167" s="35" t="s">
        <v>1338</v>
      </c>
      <c r="K167" s="27" t="s">
        <v>50</v>
      </c>
      <c r="L167" s="36" t="s">
        <v>1198</v>
      </c>
      <c r="M167" s="26" t="str">
        <f>VLOOKUP(E167,'MTS 2026 registrations'!B:B,1,false)</f>
        <v>#N/A</v>
      </c>
      <c r="N167" s="26" t="str">
        <f>VLOOKUP(B167,'MTS 2026 registrations'!A:A,1,false)</f>
        <v>#N/A</v>
      </c>
      <c r="O167" s="38" t="str">
        <f t="shared" si="2"/>
        <v>Marked</v>
      </c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</row>
    <row r="168" ht="12.75" customHeight="1">
      <c r="A168" s="19" t="str">
        <f t="shared" si="1"/>
        <v>Nathalie Menningh health-holland</v>
      </c>
      <c r="B168" s="19" t="s">
        <v>1339</v>
      </c>
      <c r="C168" s="72" t="s">
        <v>1340</v>
      </c>
      <c r="D168" s="124" t="s">
        <v>1341</v>
      </c>
      <c r="E168" s="30" t="s">
        <v>1342</v>
      </c>
      <c r="F168" s="29" t="s">
        <v>1343</v>
      </c>
      <c r="G168" s="32" t="s">
        <v>69</v>
      </c>
      <c r="H168" s="13" t="s">
        <v>45</v>
      </c>
      <c r="I168" s="34"/>
      <c r="J168" s="35" t="s">
        <v>1344</v>
      </c>
      <c r="K168" s="27" t="s">
        <v>50</v>
      </c>
      <c r="L168" s="36" t="s">
        <v>1198</v>
      </c>
      <c r="M168" s="26" t="str">
        <f>VLOOKUP(E168,'MTS 2026 registrations'!B:B,1,false)</f>
        <v>#N/A</v>
      </c>
      <c r="N168" s="26" t="str">
        <f>VLOOKUP(B168,'MTS 2026 registrations'!A:A,1,false)</f>
        <v>#N/A</v>
      </c>
      <c r="O168" s="38" t="str">
        <f t="shared" si="2"/>
        <v>Marked</v>
      </c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</row>
    <row r="169" ht="12.75" customHeight="1">
      <c r="A169" s="19" t="str">
        <f t="shared" si="1"/>
        <v>Nino Bellenge medscaler</v>
      </c>
      <c r="B169" s="19" t="s">
        <v>1345</v>
      </c>
      <c r="C169" s="20" t="s">
        <v>1346</v>
      </c>
      <c r="D169" s="20" t="s">
        <v>1347</v>
      </c>
      <c r="E169" s="21" t="s">
        <v>1348</v>
      </c>
      <c r="F169" s="23" t="s">
        <v>1349</v>
      </c>
      <c r="G169" s="24" t="s">
        <v>29</v>
      </c>
      <c r="H169" s="49" t="s">
        <v>47</v>
      </c>
      <c r="I169" s="34"/>
      <c r="J169" s="35" t="s">
        <v>1350</v>
      </c>
      <c r="K169" s="27" t="s">
        <v>50</v>
      </c>
      <c r="L169" s="91" t="s">
        <v>1198</v>
      </c>
      <c r="M169" s="26" t="str">
        <f>VLOOKUP(E169,'MTS 2026 registrations'!B:B,1,false)</f>
        <v>#N/A</v>
      </c>
      <c r="N169" s="26" t="str">
        <f>VLOOKUP(B169,'MTS 2026 registrations'!A:A,1,false)</f>
        <v>#N/A</v>
      </c>
      <c r="O169" s="38" t="str">
        <f t="shared" si="2"/>
        <v>Marked</v>
      </c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</row>
    <row r="170" ht="12.75" customHeight="1">
      <c r="A170" s="19" t="str">
        <f t="shared" si="1"/>
        <v>Owen Reynolds teklasventures</v>
      </c>
      <c r="B170" s="19" t="s">
        <v>1351</v>
      </c>
      <c r="C170" s="20" t="s">
        <v>1352</v>
      </c>
      <c r="D170" s="20" t="s">
        <v>1353</v>
      </c>
      <c r="E170" s="21" t="s">
        <v>1354</v>
      </c>
      <c r="F170" s="119" t="s">
        <v>1355</v>
      </c>
      <c r="G170" s="24" t="s">
        <v>163</v>
      </c>
      <c r="H170" s="25" t="s">
        <v>164</v>
      </c>
      <c r="I170" s="34"/>
      <c r="J170" s="35" t="s">
        <v>1356</v>
      </c>
      <c r="K170" s="27" t="s">
        <v>50</v>
      </c>
      <c r="L170" s="36" t="s">
        <v>1198</v>
      </c>
      <c r="M170" s="26" t="str">
        <f>VLOOKUP(E170,'MTS 2026 registrations'!B:B,1,false)</f>
        <v>#N/A</v>
      </c>
      <c r="N170" s="26" t="str">
        <f>VLOOKUP(B170,'MTS 2026 registrations'!A:A,1,false)</f>
        <v>#N/A</v>
      </c>
      <c r="O170" s="38" t="str">
        <f t="shared" si="2"/>
        <v>Marked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</row>
    <row r="171" ht="12.75" customHeight="1">
      <c r="A171" s="19" t="str">
        <f t="shared" si="1"/>
        <v>Pavel Paclik prsysdesign.net</v>
      </c>
      <c r="B171" s="19" t="s">
        <v>1357</v>
      </c>
      <c r="C171" s="20" t="s">
        <v>1358</v>
      </c>
      <c r="D171" s="20" t="s">
        <v>1359</v>
      </c>
      <c r="E171" s="21" t="s">
        <v>1360</v>
      </c>
      <c r="F171" s="23" t="s">
        <v>1361</v>
      </c>
      <c r="G171" s="32" t="s">
        <v>46</v>
      </c>
      <c r="H171" s="25" t="s">
        <v>47</v>
      </c>
      <c r="I171" s="34"/>
      <c r="J171" s="35" t="s">
        <v>1362</v>
      </c>
      <c r="K171" s="27" t="s">
        <v>50</v>
      </c>
      <c r="L171" s="36" t="s">
        <v>1198</v>
      </c>
      <c r="M171" s="26" t="str">
        <f>VLOOKUP(E171,'MTS 2026 registrations'!B:B,1,false)</f>
        <v>#N/A</v>
      </c>
      <c r="N171" s="26" t="str">
        <f>VLOOKUP(B171,'MTS 2026 registrations'!A:A,1,false)</f>
        <v>#N/A</v>
      </c>
      <c r="O171" s="38" t="str">
        <f t="shared" si="2"/>
        <v>Marked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</row>
    <row r="172" ht="12.75" customHeight="1">
      <c r="A172" s="19" t="str">
        <f t="shared" si="1"/>
        <v>Pradeep Atmaram Yokai</v>
      </c>
      <c r="B172" s="19" t="s">
        <v>1363</v>
      </c>
      <c r="C172" s="29" t="s">
        <v>985</v>
      </c>
      <c r="D172" s="29" t="s">
        <v>1364</v>
      </c>
      <c r="E172" s="31" t="s">
        <v>1365</v>
      </c>
      <c r="F172" s="113" t="s">
        <v>1011</v>
      </c>
      <c r="G172" s="32" t="s">
        <v>46</v>
      </c>
      <c r="H172" s="25" t="s">
        <v>47</v>
      </c>
      <c r="I172" s="34"/>
      <c r="J172" s="35" t="s">
        <v>1366</v>
      </c>
      <c r="K172" s="27" t="s">
        <v>50</v>
      </c>
      <c r="L172" s="36" t="s">
        <v>1198</v>
      </c>
      <c r="M172" s="26" t="str">
        <f>VLOOKUP(E172,'MTS 2026 registrations'!B:B,1,false)</f>
        <v>#N/A</v>
      </c>
      <c r="N172" s="26" t="str">
        <f>VLOOKUP(B172,'MTS 2026 registrations'!A:A,1,false)</f>
        <v>#N/A</v>
      </c>
      <c r="O172" s="38" t="str">
        <f t="shared" si="2"/>
        <v>Marked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</row>
    <row r="173" ht="12.75" customHeight="1">
      <c r="A173" s="19" t="str">
        <f t="shared" si="1"/>
        <v>Reinier Reddingius solar-works</v>
      </c>
      <c r="B173" s="19" t="s">
        <v>1367</v>
      </c>
      <c r="C173" s="20" t="s">
        <v>1369</v>
      </c>
      <c r="D173" s="20" t="s">
        <v>1370</v>
      </c>
      <c r="E173" s="112" t="s">
        <v>1371</v>
      </c>
      <c r="F173" s="23" t="s">
        <v>302</v>
      </c>
      <c r="G173" s="44" t="s">
        <v>46</v>
      </c>
      <c r="H173" s="25" t="s">
        <v>47</v>
      </c>
      <c r="I173" s="34"/>
      <c r="J173" s="35" t="s">
        <v>1372</v>
      </c>
      <c r="K173" s="27" t="s">
        <v>50</v>
      </c>
      <c r="L173" s="36" t="s">
        <v>1198</v>
      </c>
      <c r="M173" s="26" t="str">
        <f>VLOOKUP(E173,'MTS 2026 registrations'!B:B,1,false)</f>
        <v>#N/A</v>
      </c>
      <c r="N173" s="26" t="str">
        <f>VLOOKUP(B173,'MTS 2026 registrations'!A:A,1,false)</f>
        <v>#N/A</v>
      </c>
      <c r="O173" s="38" t="str">
        <f t="shared" si="2"/>
        <v>Marked</v>
      </c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</row>
    <row r="174" ht="12.75" customHeight="1">
      <c r="A174" s="19" t="str">
        <f t="shared" si="1"/>
        <v>Ruben Treurniet civinc.co</v>
      </c>
      <c r="B174" s="19" t="s">
        <v>1373</v>
      </c>
      <c r="C174" s="20" t="s">
        <v>1374</v>
      </c>
      <c r="D174" s="20" t="s">
        <v>1375</v>
      </c>
      <c r="E174" s="112" t="s">
        <v>1376</v>
      </c>
      <c r="F174" s="23" t="s">
        <v>1377</v>
      </c>
      <c r="G174" s="32" t="s">
        <v>46</v>
      </c>
      <c r="H174" s="25" t="s">
        <v>47</v>
      </c>
      <c r="I174" s="68"/>
      <c r="J174" s="35" t="s">
        <v>1378</v>
      </c>
      <c r="K174" s="27" t="s">
        <v>50</v>
      </c>
      <c r="L174" s="36" t="s">
        <v>1198</v>
      </c>
      <c r="M174" s="26" t="str">
        <f>VLOOKUP(E174,'MTS 2026 registrations'!B:B,1,false)</f>
        <v>#N/A</v>
      </c>
      <c r="N174" s="26" t="str">
        <f>VLOOKUP(B174,'MTS 2026 registrations'!A:A,1,false)</f>
        <v>#N/A</v>
      </c>
      <c r="O174" s="38" t="str">
        <f t="shared" si="2"/>
        <v>Marked</v>
      </c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</row>
    <row r="175" ht="12.75" customHeight="1">
      <c r="A175" s="19" t="str">
        <f t="shared" si="1"/>
        <v>Ruud Knoops atmosuav</v>
      </c>
      <c r="B175" s="19" t="s">
        <v>1379</v>
      </c>
      <c r="C175" s="20" t="s">
        <v>1380</v>
      </c>
      <c r="D175" s="20" t="s">
        <v>1381</v>
      </c>
      <c r="E175" s="125" t="s">
        <v>1382</v>
      </c>
      <c r="F175" s="23" t="s">
        <v>596</v>
      </c>
      <c r="G175" s="32" t="s">
        <v>46</v>
      </c>
      <c r="H175" s="25" t="s">
        <v>47</v>
      </c>
      <c r="I175" s="26"/>
      <c r="J175" s="35" t="s">
        <v>1383</v>
      </c>
      <c r="K175" s="27" t="s">
        <v>50</v>
      </c>
      <c r="L175" s="36" t="s">
        <v>1198</v>
      </c>
      <c r="M175" s="26" t="str">
        <f>VLOOKUP(E175,'MTS 2026 registrations'!B:B,1,false)</f>
        <v>#N/A</v>
      </c>
      <c r="N175" s="26" t="str">
        <f>VLOOKUP(B175,'MTS 2026 registrations'!A:A,1,false)</f>
        <v>#N/A</v>
      </c>
      <c r="O175" s="38" t="str">
        <f t="shared" si="2"/>
        <v>Marked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</row>
    <row r="176" ht="12.75" customHeight="1">
      <c r="A176" s="19" t="str">
        <f t="shared" si="1"/>
        <v>Sam Kin Kindow (Solarswing)</v>
      </c>
      <c r="B176" s="19" t="s">
        <v>1384</v>
      </c>
      <c r="C176" s="29" t="s">
        <v>1385</v>
      </c>
      <c r="D176" s="29" t="s">
        <v>1386</v>
      </c>
      <c r="E176" s="31" t="s">
        <v>1387</v>
      </c>
      <c r="F176" s="33" t="s">
        <v>1388</v>
      </c>
      <c r="G176" s="32" t="s">
        <v>46</v>
      </c>
      <c r="H176" s="25" t="s">
        <v>47</v>
      </c>
      <c r="I176" s="34"/>
      <c r="J176" s="35" t="s">
        <v>1389</v>
      </c>
      <c r="K176" s="27" t="s">
        <v>50</v>
      </c>
      <c r="L176" s="36" t="s">
        <v>1198</v>
      </c>
      <c r="M176" s="26" t="str">
        <f>VLOOKUP(E176,'MTS 2026 registrations'!B:B,1,false)</f>
        <v>#N/A</v>
      </c>
      <c r="N176" s="26" t="str">
        <f>VLOOKUP(B176,'MTS 2026 registrations'!A:A,1,false)</f>
        <v>#N/A</v>
      </c>
      <c r="O176" s="38" t="str">
        <f t="shared" si="2"/>
        <v>Marked</v>
      </c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</row>
    <row r="177" ht="12.75" customHeight="1">
      <c r="A177" s="19" t="str">
        <f t="shared" si="1"/>
        <v>Sander Morsink demcon</v>
      </c>
      <c r="B177" s="19" t="s">
        <v>1390</v>
      </c>
      <c r="C177" s="20" t="s">
        <v>1391</v>
      </c>
      <c r="D177" s="93" t="s">
        <v>1392</v>
      </c>
      <c r="E177" s="126" t="s">
        <v>1393</v>
      </c>
      <c r="F177" s="91" t="s">
        <v>1394</v>
      </c>
      <c r="G177" s="24" t="s">
        <v>163</v>
      </c>
      <c r="H177" s="25" t="s">
        <v>164</v>
      </c>
      <c r="I177" s="34"/>
      <c r="J177" s="35" t="s">
        <v>1395</v>
      </c>
      <c r="K177" s="27" t="s">
        <v>50</v>
      </c>
      <c r="L177" s="36" t="s">
        <v>1198</v>
      </c>
      <c r="M177" s="26" t="str">
        <f>VLOOKUP(E177,'MTS 2026 registrations'!B:B,1,false)</f>
        <v>#N/A</v>
      </c>
      <c r="N177" s="26" t="str">
        <f>VLOOKUP(B177,'MTS 2026 registrations'!A:A,1,false)</f>
        <v>#N/A</v>
      </c>
      <c r="O177" s="38" t="str">
        <f t="shared" si="2"/>
        <v>Marked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</row>
    <row r="178" ht="12.75" customHeight="1">
      <c r="A178" s="19" t="str">
        <f t="shared" si="1"/>
        <v>Sander Jongeneel portofrotterdam</v>
      </c>
      <c r="B178" s="19" t="s">
        <v>1396</v>
      </c>
      <c r="C178" s="72" t="s">
        <v>1391</v>
      </c>
      <c r="D178" s="72" t="s">
        <v>1397</v>
      </c>
      <c r="E178" s="30" t="s">
        <v>1398</v>
      </c>
      <c r="F178" s="29" t="s">
        <v>1399</v>
      </c>
      <c r="G178" s="32" t="s">
        <v>69</v>
      </c>
      <c r="H178" s="13" t="s">
        <v>45</v>
      </c>
      <c r="I178" s="34"/>
      <c r="J178" s="35" t="s">
        <v>1400</v>
      </c>
      <c r="K178" s="27" t="s">
        <v>50</v>
      </c>
      <c r="L178" s="36" t="s">
        <v>1198</v>
      </c>
      <c r="M178" s="26" t="str">
        <f>VLOOKUP(E178,'MTS 2026 registrations'!B:B,1,false)</f>
        <v>#N/A</v>
      </c>
      <c r="N178" s="26" t="str">
        <f>VLOOKUP(B178,'MTS 2026 registrations'!A:A,1,false)</f>
        <v>#N/A</v>
      </c>
      <c r="O178" s="38" t="str">
        <f t="shared" si="2"/>
        <v>Marked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</row>
    <row r="179" ht="12.75" customHeight="1">
      <c r="A179" s="19" t="str">
        <f t="shared" si="1"/>
        <v>Seethu Mariyam Christoper heemskerk-innovative</v>
      </c>
      <c r="B179" s="19" t="s">
        <v>1401</v>
      </c>
      <c r="C179" s="20" t="s">
        <v>1402</v>
      </c>
      <c r="D179" s="20" t="s">
        <v>1403</v>
      </c>
      <c r="E179" s="21" t="s">
        <v>1404</v>
      </c>
      <c r="F179" s="23" t="s">
        <v>1405</v>
      </c>
      <c r="G179" s="32" t="s">
        <v>46</v>
      </c>
      <c r="H179" s="25" t="s">
        <v>47</v>
      </c>
      <c r="I179" s="34"/>
      <c r="J179" s="35" t="s">
        <v>1406</v>
      </c>
      <c r="K179" s="27" t="s">
        <v>50</v>
      </c>
      <c r="L179" s="36" t="s">
        <v>1198</v>
      </c>
      <c r="M179" s="26" t="str">
        <f>VLOOKUP(E179,'MTS 2026 registrations'!B:B,1,false)</f>
        <v>#N/A</v>
      </c>
      <c r="N179" s="26" t="str">
        <f>VLOOKUP(B179,'MTS 2026 registrations'!A:A,1,false)</f>
        <v>#N/A</v>
      </c>
      <c r="O179" s="38" t="str">
        <f t="shared" si="2"/>
        <v>Marked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</row>
    <row r="180" ht="12.75" customHeight="1">
      <c r="A180" s="19" t="str">
        <f t="shared" si="1"/>
        <v>Sven van Nieuwenhuizen frameflux</v>
      </c>
      <c r="B180" s="19" t="s">
        <v>1407</v>
      </c>
      <c r="C180" s="20" t="s">
        <v>1408</v>
      </c>
      <c r="D180" s="20" t="s">
        <v>1409</v>
      </c>
      <c r="E180" s="21" t="s">
        <v>1410</v>
      </c>
      <c r="F180" s="23" t="s">
        <v>1185</v>
      </c>
      <c r="G180" s="32" t="s">
        <v>46</v>
      </c>
      <c r="H180" s="25" t="s">
        <v>47</v>
      </c>
      <c r="I180" s="34"/>
      <c r="J180" s="35" t="s">
        <v>1411</v>
      </c>
      <c r="K180" s="27" t="s">
        <v>50</v>
      </c>
      <c r="L180" s="36" t="s">
        <v>1198</v>
      </c>
      <c r="M180" s="26" t="str">
        <f>VLOOKUP(E180,'MTS 2026 registrations'!B:B,1,false)</f>
        <v>#N/A</v>
      </c>
      <c r="N180" s="26" t="str">
        <f>VLOOKUP(B180,'MTS 2026 registrations'!A:A,1,false)</f>
        <v>#N/A</v>
      </c>
      <c r="O180" s="38" t="str">
        <f t="shared" si="2"/>
        <v>Marked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</row>
    <row r="181" ht="12.75" customHeight="1">
      <c r="A181" s="19" t="str">
        <f t="shared" si="1"/>
        <v>Thomas Beelaerts merqato</v>
      </c>
      <c r="B181" s="19" t="s">
        <v>1412</v>
      </c>
      <c r="C181" s="120" t="s">
        <v>1117</v>
      </c>
      <c r="D181" s="120" t="s">
        <v>1413</v>
      </c>
      <c r="E181" s="21" t="s">
        <v>1414</v>
      </c>
      <c r="F181" s="23" t="s">
        <v>566</v>
      </c>
      <c r="G181" s="32" t="s">
        <v>46</v>
      </c>
      <c r="H181" s="25" t="s">
        <v>47</v>
      </c>
      <c r="I181" s="34"/>
      <c r="J181" s="35" t="s">
        <v>1415</v>
      </c>
      <c r="K181" s="27" t="s">
        <v>50</v>
      </c>
      <c r="L181" s="36" t="s">
        <v>1198</v>
      </c>
      <c r="M181" s="26" t="str">
        <f>VLOOKUP(E181,'MTS 2026 registrations'!B:B,1,false)</f>
        <v>#N/A</v>
      </c>
      <c r="N181" s="26" t="str">
        <f>VLOOKUP(B181,'MTS 2026 registrations'!A:A,1,false)</f>
        <v>#N/A</v>
      </c>
      <c r="O181" s="38" t="str">
        <f t="shared" si="2"/>
        <v>Marked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</row>
    <row r="182" ht="12.75" customHeight="1">
      <c r="A182" s="19" t="str">
        <f t="shared" si="1"/>
        <v>Wouter Foulon Comate</v>
      </c>
      <c r="B182" s="19" t="s">
        <v>1416</v>
      </c>
      <c r="C182" s="20" t="s">
        <v>1165</v>
      </c>
      <c r="D182" s="20" t="s">
        <v>1417</v>
      </c>
      <c r="E182" s="112" t="s">
        <v>1418</v>
      </c>
      <c r="F182" s="127" t="s">
        <v>1419</v>
      </c>
      <c r="G182" s="42" t="s">
        <v>163</v>
      </c>
      <c r="H182" s="25" t="s">
        <v>164</v>
      </c>
      <c r="I182" s="26"/>
      <c r="J182" s="35" t="s">
        <v>1420</v>
      </c>
      <c r="K182" s="27" t="s">
        <v>50</v>
      </c>
      <c r="L182" s="36" t="s">
        <v>1198</v>
      </c>
      <c r="M182" s="26" t="str">
        <f>VLOOKUP(E182,'MTS 2026 registrations'!B:B,1,false)</f>
        <v>#N/A</v>
      </c>
      <c r="N182" s="26" t="str">
        <f>VLOOKUP(B182,'MTS 2026 registrations'!A:A,1,false)</f>
        <v>#N/A</v>
      </c>
      <c r="O182" s="38" t="str">
        <f t="shared" si="2"/>
        <v>Marked</v>
      </c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34"/>
      <c r="AE182" s="34"/>
    </row>
    <row r="183" ht="12.75" customHeight="1">
      <c r="A183" s="19" t="str">
        <f t="shared" si="1"/>
        <v>Wouter Bax uniiq</v>
      </c>
      <c r="B183" s="19" t="s">
        <v>1421</v>
      </c>
      <c r="C183" s="20" t="s">
        <v>1165</v>
      </c>
      <c r="D183" s="20" t="s">
        <v>1422</v>
      </c>
      <c r="E183" s="128" t="s">
        <v>1423</v>
      </c>
      <c r="F183" s="119" t="s">
        <v>1424</v>
      </c>
      <c r="G183" s="129" t="s">
        <v>163</v>
      </c>
      <c r="H183" s="25" t="s">
        <v>164</v>
      </c>
      <c r="I183" s="26"/>
      <c r="J183" s="35" t="s">
        <v>1425</v>
      </c>
      <c r="K183" s="27" t="s">
        <v>50</v>
      </c>
      <c r="L183" s="36" t="s">
        <v>1198</v>
      </c>
      <c r="M183" s="26" t="str">
        <f>VLOOKUP(E183,'MTS 2026 registrations'!B:B,1,false)</f>
        <v>#N/A</v>
      </c>
      <c r="N183" s="26" t="str">
        <f>VLOOKUP(B183,'MTS 2026 registrations'!A:A,1,false)</f>
        <v>#N/A</v>
      </c>
      <c r="O183" s="38" t="str">
        <f t="shared" si="2"/>
        <v>Marked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</row>
    <row r="184" ht="12.75" customHeight="1">
      <c r="A184" s="19" t="str">
        <f t="shared" si="1"/>
        <v>Anthonie Zoomers Angel</v>
      </c>
      <c r="B184" s="19" t="s">
        <v>1426</v>
      </c>
      <c r="C184" s="20" t="s">
        <v>1427</v>
      </c>
      <c r="D184" s="20" t="s">
        <v>1428</v>
      </c>
      <c r="E184" s="21" t="s">
        <v>1429</v>
      </c>
      <c r="F184" s="49" t="s">
        <v>1430</v>
      </c>
      <c r="G184" s="24" t="s">
        <v>163</v>
      </c>
      <c r="H184" s="26" t="s">
        <v>164</v>
      </c>
      <c r="I184" s="13"/>
      <c r="J184" s="35" t="s">
        <v>1431</v>
      </c>
      <c r="K184" s="27" t="s">
        <v>50</v>
      </c>
      <c r="L184" s="130" t="s">
        <v>1432</v>
      </c>
      <c r="M184" s="26" t="str">
        <f>VLOOKUP(E184,'MTS 2026 registrations'!B:B,1,false)</f>
        <v>#N/A</v>
      </c>
      <c r="N184" s="26" t="str">
        <f>VLOOKUP(B184,'MTS 2026 registrations'!A:A,1,false)</f>
        <v>#N/A</v>
      </c>
      <c r="O184" s="38" t="str">
        <f t="shared" si="2"/>
        <v>Marked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</row>
    <row r="185" ht="12.75" customHeight="1">
      <c r="A185" s="19" t="str">
        <f t="shared" si="1"/>
        <v>Farshida Zafar ece</v>
      </c>
      <c r="B185" s="19" t="s">
        <v>1433</v>
      </c>
      <c r="C185" s="43" t="s">
        <v>1434</v>
      </c>
      <c r="D185" s="43" t="s">
        <v>1435</v>
      </c>
      <c r="E185" s="31" t="s">
        <v>1436</v>
      </c>
      <c r="F185" s="33" t="s">
        <v>1437</v>
      </c>
      <c r="G185" s="24" t="s">
        <v>29</v>
      </c>
      <c r="H185" s="25" t="s">
        <v>139</v>
      </c>
      <c r="I185" s="34"/>
      <c r="J185" s="35" t="s">
        <v>1438</v>
      </c>
      <c r="K185" s="27" t="s">
        <v>50</v>
      </c>
      <c r="L185" s="25" t="s">
        <v>1432</v>
      </c>
      <c r="M185" s="26" t="str">
        <f>VLOOKUP(E185,'MTS 2026 registrations'!B:B,1,false)</f>
        <v>#N/A</v>
      </c>
      <c r="N185" s="26" t="str">
        <f>VLOOKUP(B185,'MTS 2026 registrations'!A:A,1,false)</f>
        <v>#N/A</v>
      </c>
      <c r="O185" s="38" t="str">
        <f t="shared" si="2"/>
        <v>Marked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</row>
    <row r="186" ht="12.75" customHeight="1">
      <c r="A186" s="19" t="str">
        <f t="shared" si="1"/>
        <v>Frank Appeldoorn arches.capital</v>
      </c>
      <c r="B186" s="19" t="s">
        <v>1439</v>
      </c>
      <c r="C186" s="20" t="s">
        <v>646</v>
      </c>
      <c r="D186" s="20" t="s">
        <v>1440</v>
      </c>
      <c r="E186" s="21" t="s">
        <v>1441</v>
      </c>
      <c r="F186" s="23" t="s">
        <v>1442</v>
      </c>
      <c r="G186" s="24" t="s">
        <v>163</v>
      </c>
      <c r="H186" s="25" t="s">
        <v>164</v>
      </c>
      <c r="I186" s="26"/>
      <c r="J186" s="35" t="s">
        <v>1443</v>
      </c>
      <c r="K186" s="27" t="s">
        <v>50</v>
      </c>
      <c r="L186" s="13" t="s">
        <v>1432</v>
      </c>
      <c r="M186" s="26" t="str">
        <f>VLOOKUP(E186,'MTS 2026 registrations'!B:B,1,false)</f>
        <v>#N/A</v>
      </c>
      <c r="N186" s="26" t="str">
        <f>VLOOKUP(B186,'MTS 2026 registrations'!A:A,1,false)</f>
        <v>#N/A</v>
      </c>
      <c r="O186" s="38" t="str">
        <f t="shared" si="2"/>
        <v>Marked</v>
      </c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34"/>
      <c r="AE186" s="34"/>
    </row>
    <row r="187" ht="12.75" customHeight="1">
      <c r="A187" s="19" t="str">
        <f t="shared" si="1"/>
        <v>Michael Turley Shell</v>
      </c>
      <c r="B187" s="19" t="s">
        <v>1444</v>
      </c>
      <c r="C187" s="131" t="s">
        <v>569</v>
      </c>
      <c r="D187" s="131" t="s">
        <v>1445</v>
      </c>
      <c r="E187" s="123" t="s">
        <v>1446</v>
      </c>
      <c r="F187" s="132" t="s">
        <v>85</v>
      </c>
      <c r="G187" s="32" t="s">
        <v>1447</v>
      </c>
      <c r="H187" s="25" t="s">
        <v>57</v>
      </c>
      <c r="I187" s="23"/>
      <c r="J187" s="133" t="s">
        <v>1448</v>
      </c>
      <c r="K187" s="27" t="s">
        <v>50</v>
      </c>
      <c r="L187" s="13" t="s">
        <v>1449</v>
      </c>
      <c r="M187" s="26" t="str">
        <f>VLOOKUP(E187,'MTS 2026 registrations'!B:B,1,false)</f>
        <v>#N/A</v>
      </c>
      <c r="N187" s="26" t="str">
        <f>VLOOKUP(B187,'MTS 2026 registrations'!A:A,1,false)</f>
        <v>#N/A</v>
      </c>
      <c r="O187" s="38" t="str">
        <f t="shared" si="2"/>
        <v>Marked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2.75" customHeight="1">
      <c r="A188" s="19" t="str">
        <f t="shared" si="1"/>
        <v>Richard Kemkers asml</v>
      </c>
      <c r="B188" s="19" t="s">
        <v>1450</v>
      </c>
      <c r="C188" s="60" t="s">
        <v>1451</v>
      </c>
      <c r="D188" s="60" t="s">
        <v>1452</v>
      </c>
      <c r="E188" s="62" t="s">
        <v>1453</v>
      </c>
      <c r="F188" s="64" t="s">
        <v>1454</v>
      </c>
      <c r="G188" s="42" t="s">
        <v>56</v>
      </c>
      <c r="H188" s="25" t="s">
        <v>139</v>
      </c>
      <c r="I188" s="34"/>
      <c r="J188" s="114" t="s">
        <v>1072</v>
      </c>
      <c r="K188" s="27" t="s">
        <v>50</v>
      </c>
      <c r="L188" s="13" t="s">
        <v>1449</v>
      </c>
      <c r="M188" s="26" t="str">
        <f>VLOOKUP(E188,'MTS 2026 registrations'!B:B,1,false)</f>
        <v>#N/A</v>
      </c>
      <c r="N188" s="26" t="str">
        <f>VLOOKUP(B188,'MTS 2026 registrations'!A:A,1,false)</f>
        <v>#N/A</v>
      </c>
      <c r="O188" s="38" t="str">
        <f t="shared" si="2"/>
        <v>Marked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</row>
    <row r="189" ht="12.75" customHeight="1">
      <c r="A189" s="19" t="str">
        <f t="shared" si="1"/>
        <v>Roel van Diepen innoenergy</v>
      </c>
      <c r="B189" s="19" t="s">
        <v>1455</v>
      </c>
      <c r="C189" s="20" t="s">
        <v>1456</v>
      </c>
      <c r="D189" s="20" t="s">
        <v>1457</v>
      </c>
      <c r="E189" s="21" t="s">
        <v>1458</v>
      </c>
      <c r="F189" s="23" t="s">
        <v>1459</v>
      </c>
      <c r="G189" s="24" t="s">
        <v>163</v>
      </c>
      <c r="H189" s="25" t="s">
        <v>164</v>
      </c>
      <c r="I189" s="34"/>
      <c r="J189" s="114" t="s">
        <v>1072</v>
      </c>
      <c r="K189" s="27" t="s">
        <v>50</v>
      </c>
      <c r="L189" s="27" t="s">
        <v>1432</v>
      </c>
      <c r="M189" s="26" t="str">
        <f>VLOOKUP(E189,'MTS 2026 registrations'!B:B,1,false)</f>
        <v>#N/A</v>
      </c>
      <c r="N189" s="26" t="str">
        <f>VLOOKUP(B189,'MTS 2026 registrations'!A:A,1,false)</f>
        <v>#N/A</v>
      </c>
      <c r="O189" s="38" t="str">
        <f t="shared" si="2"/>
        <v>Marked</v>
      </c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</row>
    <row r="190" ht="12.75" customHeight="1">
      <c r="A190" s="19" t="str">
        <f t="shared" si="1"/>
        <v>Sabine Biesheuvel Gemeente Rotterdam</v>
      </c>
      <c r="B190" s="19" t="s">
        <v>1460</v>
      </c>
      <c r="C190" s="134" t="s">
        <v>1461</v>
      </c>
      <c r="D190" s="102" t="s">
        <v>311</v>
      </c>
      <c r="E190" s="123" t="s">
        <v>1462</v>
      </c>
      <c r="F190" s="135" t="s">
        <v>1464</v>
      </c>
      <c r="G190" s="24" t="s">
        <v>323</v>
      </c>
      <c r="H190" s="25" t="s">
        <v>139</v>
      </c>
      <c r="I190" s="34"/>
      <c r="J190" s="35" t="s">
        <v>1465</v>
      </c>
      <c r="K190" s="27" t="s">
        <v>50</v>
      </c>
      <c r="L190" s="13" t="s">
        <v>1432</v>
      </c>
      <c r="M190" s="26" t="str">
        <f>VLOOKUP(E190,'MTS 2026 registrations'!B:B,1,false)</f>
        <v>#N/A</v>
      </c>
      <c r="N190" s="26" t="str">
        <f>VLOOKUP(B190,'MTS 2026 registrations'!A:A,1,false)</f>
        <v>#N/A</v>
      </c>
      <c r="O190" s="38" t="str">
        <f t="shared" si="2"/>
        <v>Marked</v>
      </c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</row>
    <row r="191" ht="12.75" customHeight="1">
      <c r="A191" s="19" t="str">
        <f t="shared" si="1"/>
        <v>Adam Spunberg AB-inbev</v>
      </c>
      <c r="B191" s="19" t="s">
        <v>1466</v>
      </c>
      <c r="C191" s="20" t="s">
        <v>1467</v>
      </c>
      <c r="D191" s="20" t="s">
        <v>1468</v>
      </c>
      <c r="E191" s="21" t="s">
        <v>1469</v>
      </c>
      <c r="F191" s="49" t="s">
        <v>1470</v>
      </c>
      <c r="G191" s="24" t="s">
        <v>56</v>
      </c>
      <c r="H191" s="13" t="s">
        <v>213</v>
      </c>
      <c r="I191" s="26"/>
      <c r="J191" s="35"/>
      <c r="K191" s="27" t="s">
        <v>32</v>
      </c>
      <c r="L191" s="27" t="s">
        <v>550</v>
      </c>
      <c r="M191" s="26" t="str">
        <f>VLOOKUP(E191,'MTS 2026 registrations'!B:B,1,false)</f>
        <v>#N/A</v>
      </c>
      <c r="N191" s="26" t="str">
        <f>VLOOKUP(B191,'MTS 2026 registrations'!A:A,1,false)</f>
        <v>#N/A</v>
      </c>
      <c r="O191" s="38" t="str">
        <f t="shared" si="2"/>
        <v>Marked</v>
      </c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2.75" customHeight="1">
      <c r="A192" s="19" t="str">
        <f t="shared" si="1"/>
        <v>Adri Bom-Lemstra glastuinbouwnederland</v>
      </c>
      <c r="B192" s="19" t="s">
        <v>1471</v>
      </c>
      <c r="C192" s="60" t="s">
        <v>1472</v>
      </c>
      <c r="D192" s="136" t="s">
        <v>1473</v>
      </c>
      <c r="E192" s="62" t="s">
        <v>1474</v>
      </c>
      <c r="F192" s="64" t="s">
        <v>1475</v>
      </c>
      <c r="G192" s="42" t="s">
        <v>69</v>
      </c>
      <c r="H192" s="25" t="s">
        <v>139</v>
      </c>
      <c r="I192" s="23"/>
      <c r="J192" s="35"/>
      <c r="K192" s="27" t="s">
        <v>32</v>
      </c>
      <c r="L192" s="27" t="s">
        <v>550</v>
      </c>
      <c r="M192" s="26" t="str">
        <f>VLOOKUP(E192,'MTS 2026 registrations'!B:B,1,false)</f>
        <v>#N/A</v>
      </c>
      <c r="N192" s="26" t="str">
        <f>VLOOKUP(B192,'MTS 2026 registrations'!A:A,1,false)</f>
        <v>#N/A</v>
      </c>
      <c r="O192" s="38" t="str">
        <f t="shared" si="2"/>
        <v>Marked</v>
      </c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2.75" customHeight="1">
      <c r="A193" s="19" t="str">
        <f t="shared" si="1"/>
        <v>Ahmed El-Kadars quantumdelft</v>
      </c>
      <c r="B193" s="19" t="s">
        <v>1476</v>
      </c>
      <c r="C193" s="29" t="s">
        <v>80</v>
      </c>
      <c r="D193" s="29" t="s">
        <v>1478</v>
      </c>
      <c r="E193" s="30" t="s">
        <v>1479</v>
      </c>
      <c r="F193" s="29" t="s">
        <v>1480</v>
      </c>
      <c r="G193" s="24" t="s">
        <v>29</v>
      </c>
      <c r="H193" s="13" t="s">
        <v>213</v>
      </c>
      <c r="I193" s="23"/>
      <c r="J193" s="35"/>
      <c r="K193" s="27" t="s">
        <v>32</v>
      </c>
      <c r="L193" s="27" t="s">
        <v>550</v>
      </c>
      <c r="M193" s="26" t="str">
        <f>VLOOKUP(E193,'MTS 2026 registrations'!B:B,1,false)</f>
        <v>#N/A</v>
      </c>
      <c r="N193" s="26" t="str">
        <f>VLOOKUP(B193,'MTS 2026 registrations'!A:A,1,false)</f>
        <v>#N/A</v>
      </c>
      <c r="O193" s="38" t="str">
        <f t="shared" si="2"/>
        <v>Marked</v>
      </c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2.75" customHeight="1">
      <c r="A194" s="19" t="str">
        <f t="shared" si="1"/>
        <v>Aimée van Nunen postnl</v>
      </c>
      <c r="B194" s="19" t="s">
        <v>1482</v>
      </c>
      <c r="C194" s="20" t="s">
        <v>1483</v>
      </c>
      <c r="D194" s="20" t="s">
        <v>1484</v>
      </c>
      <c r="E194" s="21" t="s">
        <v>1485</v>
      </c>
      <c r="F194" s="23" t="s">
        <v>1486</v>
      </c>
      <c r="G194" s="24" t="s">
        <v>56</v>
      </c>
      <c r="H194" s="13" t="s">
        <v>213</v>
      </c>
      <c r="I194" s="23"/>
      <c r="J194" s="35"/>
      <c r="K194" s="27" t="s">
        <v>32</v>
      </c>
      <c r="L194" s="27" t="s">
        <v>550</v>
      </c>
      <c r="M194" s="26" t="str">
        <f>VLOOKUP(E194,'MTS 2026 registrations'!B:B,1,false)</f>
        <v>#N/A</v>
      </c>
      <c r="N194" s="26" t="str">
        <f>VLOOKUP(B194,'MTS 2026 registrations'!A:A,1,false)</f>
        <v>#N/A</v>
      </c>
      <c r="O194" s="38" t="str">
        <f t="shared" si="2"/>
        <v>Marked</v>
      </c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2.75" customHeight="1">
      <c r="A195" s="19" t="str">
        <f t="shared" si="1"/>
        <v>Albert Geertjes </v>
      </c>
      <c r="B195" s="19" t="s">
        <v>1487</v>
      </c>
      <c r="C195" s="20" t="s">
        <v>1488</v>
      </c>
      <c r="D195" s="20" t="s">
        <v>1489</v>
      </c>
      <c r="E195" s="21" t="s">
        <v>1490</v>
      </c>
      <c r="F195" s="52"/>
      <c r="G195" s="24" t="s">
        <v>29</v>
      </c>
      <c r="H195" s="25" t="s">
        <v>47</v>
      </c>
      <c r="I195" s="26"/>
      <c r="J195" s="35"/>
      <c r="K195" s="27" t="s">
        <v>32</v>
      </c>
      <c r="L195" s="27" t="s">
        <v>550</v>
      </c>
      <c r="M195" s="26" t="str">
        <f>VLOOKUP(E195,'MTS 2026 registrations'!B:B,1,false)</f>
        <v>#N/A</v>
      </c>
      <c r="N195" s="26" t="str">
        <f>VLOOKUP(B195,'MTS 2026 registrations'!A:A,1,false)</f>
        <v>#N/A</v>
      </c>
      <c r="O195" s="38" t="str">
        <f t="shared" si="2"/>
        <v>Marked</v>
      </c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2.75" customHeight="1">
      <c r="A196" s="19" t="str">
        <f t="shared" si="1"/>
        <v>Albert-Jan de Croes Novel-T</v>
      </c>
      <c r="B196" s="19" t="s">
        <v>1491</v>
      </c>
      <c r="C196" s="116" t="s">
        <v>1492</v>
      </c>
      <c r="D196" s="116" t="s">
        <v>1493</v>
      </c>
      <c r="E196" s="30" t="s">
        <v>1494</v>
      </c>
      <c r="F196" s="49" t="s">
        <v>1495</v>
      </c>
      <c r="G196" s="42" t="s">
        <v>69</v>
      </c>
      <c r="H196" s="13" t="s">
        <v>213</v>
      </c>
      <c r="I196" s="23"/>
      <c r="J196" s="35"/>
      <c r="K196" s="27" t="s">
        <v>32</v>
      </c>
      <c r="L196" s="27" t="s">
        <v>550</v>
      </c>
      <c r="M196" s="26" t="str">
        <f>VLOOKUP(E196,'MTS 2026 registrations'!B:B,1,false)</f>
        <v>#N/A</v>
      </c>
      <c r="N196" s="26" t="str">
        <f>VLOOKUP(B196,'MTS 2026 registrations'!A:A,1,false)</f>
        <v>#N/A</v>
      </c>
      <c r="O196" s="38" t="str">
        <f t="shared" si="2"/>
        <v>Marked</v>
      </c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2.75" customHeight="1">
      <c r="A197" s="19" t="str">
        <f t="shared" si="1"/>
        <v>Alexa montalvo ab-inbev</v>
      </c>
      <c r="B197" s="19" t="s">
        <v>1496</v>
      </c>
      <c r="C197" s="72" t="s">
        <v>1497</v>
      </c>
      <c r="D197" s="29" t="s">
        <v>1498</v>
      </c>
      <c r="E197" s="30" t="s">
        <v>1499</v>
      </c>
      <c r="F197" s="29" t="s">
        <v>1500</v>
      </c>
      <c r="G197" s="32" t="s">
        <v>56</v>
      </c>
      <c r="H197" s="13" t="s">
        <v>213</v>
      </c>
      <c r="I197" s="34"/>
      <c r="J197" s="35"/>
      <c r="K197" s="27" t="s">
        <v>32</v>
      </c>
      <c r="L197" s="27" t="s">
        <v>550</v>
      </c>
      <c r="M197" s="26" t="str">
        <f>VLOOKUP(E197,'MTS 2026 registrations'!B:B,1,false)</f>
        <v>#N/A</v>
      </c>
      <c r="N197" s="26" t="str">
        <f>VLOOKUP(B197,'MTS 2026 registrations'!A:A,1,false)</f>
        <v>#N/A</v>
      </c>
      <c r="O197" s="38" t="str">
        <f t="shared" si="2"/>
        <v>Marked</v>
      </c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2.75" customHeight="1">
      <c r="A198" s="19" t="str">
        <f t="shared" si="1"/>
        <v>Alexander Broekman superconnectors</v>
      </c>
      <c r="B198" s="19" t="s">
        <v>1501</v>
      </c>
      <c r="C198" s="60" t="s">
        <v>1502</v>
      </c>
      <c r="D198" s="60" t="s">
        <v>1503</v>
      </c>
      <c r="E198" s="31" t="s">
        <v>1504</v>
      </c>
      <c r="F198" s="64" t="s">
        <v>1505</v>
      </c>
      <c r="G198" s="42" t="s">
        <v>69</v>
      </c>
      <c r="H198" s="25" t="s">
        <v>139</v>
      </c>
      <c r="I198" s="23"/>
      <c r="J198" s="35"/>
      <c r="K198" s="27" t="s">
        <v>32</v>
      </c>
      <c r="L198" s="27" t="s">
        <v>550</v>
      </c>
      <c r="M198" s="26" t="str">
        <f>VLOOKUP(E198,'MTS 2026 registrations'!B:B,1,false)</f>
        <v>#N/A</v>
      </c>
      <c r="N198" s="26" t="str">
        <f>VLOOKUP(B198,'MTS 2026 registrations'!A:A,1,false)</f>
        <v>#N/A</v>
      </c>
      <c r="O198" s="38" t="str">
        <f t="shared" si="2"/>
        <v>Marked</v>
      </c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2.75" customHeight="1">
      <c r="A199" s="19" t="str">
        <f t="shared" si="1"/>
        <v>Alexandra Brillembourg AB-inbev</v>
      </c>
      <c r="B199" s="19" t="s">
        <v>1506</v>
      </c>
      <c r="C199" s="20" t="s">
        <v>1507</v>
      </c>
      <c r="D199" s="20" t="s">
        <v>1508</v>
      </c>
      <c r="E199" s="21" t="s">
        <v>1509</v>
      </c>
      <c r="F199" s="49" t="s">
        <v>1470</v>
      </c>
      <c r="G199" s="24" t="s">
        <v>56</v>
      </c>
      <c r="H199" s="13" t="s">
        <v>213</v>
      </c>
      <c r="I199" s="26"/>
      <c r="J199" s="35"/>
      <c r="K199" s="27" t="s">
        <v>32</v>
      </c>
      <c r="L199" s="27" t="s">
        <v>550</v>
      </c>
      <c r="M199" s="26" t="str">
        <f>VLOOKUP(E199,'MTS 2026 registrations'!B:B,1,false)</f>
        <v>#N/A</v>
      </c>
      <c r="N199" s="26" t="str">
        <f>VLOOKUP(B199,'MTS 2026 registrations'!A:A,1,false)</f>
        <v>#N/A</v>
      </c>
      <c r="O199" s="38" t="str">
        <f t="shared" si="2"/>
        <v>Marked</v>
      </c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2.75" customHeight="1">
      <c r="A200" s="19" t="str">
        <f t="shared" si="1"/>
        <v>Alissa van der Voort tudelft</v>
      </c>
      <c r="B200" s="19" t="s">
        <v>1510</v>
      </c>
      <c r="C200" s="20" t="s">
        <v>1511</v>
      </c>
      <c r="D200" s="20" t="s">
        <v>1512</v>
      </c>
      <c r="E200" s="21" t="s">
        <v>1513</v>
      </c>
      <c r="F200" s="26" t="s">
        <v>184</v>
      </c>
      <c r="G200" s="44" t="s">
        <v>43</v>
      </c>
      <c r="H200" s="13" t="s">
        <v>213</v>
      </c>
      <c r="I200" s="26"/>
      <c r="J200" s="35"/>
      <c r="K200" s="27" t="s">
        <v>32</v>
      </c>
      <c r="L200" s="27" t="s">
        <v>550</v>
      </c>
      <c r="M200" s="26" t="str">
        <f>VLOOKUP(E200,'MTS 2026 registrations'!B:B,1,false)</f>
        <v>#N/A</v>
      </c>
      <c r="N200" s="26" t="str">
        <f>VLOOKUP(B200,'MTS 2026 registrations'!A:A,1,false)</f>
        <v>#N/A</v>
      </c>
      <c r="O200" s="38" t="str">
        <f t="shared" si="2"/>
        <v>Marked</v>
      </c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34"/>
      <c r="AE200" s="34"/>
    </row>
    <row r="201" ht="12.75" customHeight="1">
      <c r="A201" s="19" t="str">
        <f t="shared" si="1"/>
        <v>Alwin Bakker codingthecurbs</v>
      </c>
      <c r="B201" s="19" t="s">
        <v>1514</v>
      </c>
      <c r="C201" s="20" t="s">
        <v>1515</v>
      </c>
      <c r="D201" s="20" t="s">
        <v>1516</v>
      </c>
      <c r="E201" s="21" t="s">
        <v>1517</v>
      </c>
      <c r="F201" s="23" t="s">
        <v>1518</v>
      </c>
      <c r="G201" s="32" t="s">
        <v>46</v>
      </c>
      <c r="H201" s="25" t="s">
        <v>47</v>
      </c>
      <c r="I201" s="26"/>
      <c r="J201" s="35"/>
      <c r="K201" s="27" t="s">
        <v>32</v>
      </c>
      <c r="L201" s="27" t="s">
        <v>550</v>
      </c>
      <c r="M201" s="26" t="str">
        <f>VLOOKUP(E201,'MTS 2026 registrations'!B:B,1,false)</f>
        <v>#N/A</v>
      </c>
      <c r="N201" s="26" t="str">
        <f>VLOOKUP(B201,'MTS 2026 registrations'!A:A,1,false)</f>
        <v>#N/A</v>
      </c>
      <c r="O201" s="38" t="str">
        <f t="shared" si="2"/>
        <v>Marked</v>
      </c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2.75" customHeight="1">
      <c r="A202" s="19" t="str">
        <f t="shared" si="1"/>
        <v>Alwin Veldboom Tekkoo</v>
      </c>
      <c r="B202" s="19" t="s">
        <v>1519</v>
      </c>
      <c r="C202" s="116" t="s">
        <v>1515</v>
      </c>
      <c r="D202" s="137" t="s">
        <v>1520</v>
      </c>
      <c r="E202" s="30" t="s">
        <v>1521</v>
      </c>
      <c r="F202" s="49" t="s">
        <v>862</v>
      </c>
      <c r="G202" s="24" t="s">
        <v>29</v>
      </c>
      <c r="H202" s="25" t="s">
        <v>139</v>
      </c>
      <c r="I202" s="23"/>
      <c r="J202" s="35"/>
      <c r="K202" s="27" t="s">
        <v>32</v>
      </c>
      <c r="L202" s="27" t="s">
        <v>550</v>
      </c>
      <c r="M202" s="26" t="str">
        <f>VLOOKUP(E202,'MTS 2026 registrations'!B:B,1,false)</f>
        <v>#N/A</v>
      </c>
      <c r="N202" s="26" t="str">
        <f>VLOOKUP(B202,'MTS 2026 registrations'!A:A,1,false)</f>
        <v>#N/A</v>
      </c>
      <c r="O202" s="38" t="str">
        <f t="shared" si="2"/>
        <v>Marked</v>
      </c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2.75" customHeight="1">
      <c r="A203" s="19" t="str">
        <f t="shared" si="1"/>
        <v>André Wijnveld mindef</v>
      </c>
      <c r="B203" s="19" t="s">
        <v>1523</v>
      </c>
      <c r="C203" s="20" t="s">
        <v>1524</v>
      </c>
      <c r="D203" s="20" t="s">
        <v>1525</v>
      </c>
      <c r="E203" s="21" t="s">
        <v>1526</v>
      </c>
      <c r="F203" s="23" t="s">
        <v>1527</v>
      </c>
      <c r="G203" s="42" t="s">
        <v>69</v>
      </c>
      <c r="H203" s="25" t="s">
        <v>139</v>
      </c>
      <c r="I203" s="23"/>
      <c r="J203" s="35"/>
      <c r="K203" s="27" t="s">
        <v>32</v>
      </c>
      <c r="L203" s="27" t="s">
        <v>550</v>
      </c>
      <c r="M203" s="26" t="str">
        <f>VLOOKUP(E203,'MTS 2026 registrations'!B:B,1,false)</f>
        <v>#N/A</v>
      </c>
      <c r="N203" s="26" t="str">
        <f>VLOOKUP(B203,'MTS 2026 registrations'!A:A,1,false)</f>
        <v>#N/A</v>
      </c>
      <c r="O203" s="38" t="str">
        <f t="shared" si="2"/>
        <v>Marked</v>
      </c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2.75" customHeight="1">
      <c r="A204" s="19" t="str">
        <f t="shared" si="1"/>
        <v>Anne-Lokke van der Zalm pzh</v>
      </c>
      <c r="B204" s="19" t="s">
        <v>1528</v>
      </c>
      <c r="C204" s="60" t="s">
        <v>1529</v>
      </c>
      <c r="D204" s="60" t="s">
        <v>1530</v>
      </c>
      <c r="E204" s="31" t="s">
        <v>1531</v>
      </c>
      <c r="F204" s="64" t="s">
        <v>1532</v>
      </c>
      <c r="G204" s="24" t="s">
        <v>323</v>
      </c>
      <c r="H204" s="25" t="s">
        <v>139</v>
      </c>
      <c r="I204" s="23"/>
      <c r="J204" s="35"/>
      <c r="K204" s="27" t="s">
        <v>32</v>
      </c>
      <c r="L204" s="27" t="s">
        <v>550</v>
      </c>
      <c r="M204" s="26" t="str">
        <f>VLOOKUP(E204,'MTS 2026 registrations'!B:B,1,false)</f>
        <v>#N/A</v>
      </c>
      <c r="N204" s="26" t="str">
        <f>VLOOKUP(B204,'MTS 2026 registrations'!A:A,1,false)</f>
        <v>#N/A</v>
      </c>
      <c r="O204" s="38" t="str">
        <f t="shared" si="2"/>
        <v>Marked</v>
      </c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4.25" customHeight="1">
      <c r="A205" s="19" t="str">
        <f t="shared" si="1"/>
        <v>Annemarie van Vilsteren Oost NL oostnl</v>
      </c>
      <c r="B205" s="19" t="s">
        <v>1533</v>
      </c>
      <c r="C205" s="20" t="s">
        <v>1534</v>
      </c>
      <c r="D205" s="20" t="s">
        <v>1535</v>
      </c>
      <c r="E205" s="21" t="s">
        <v>1536</v>
      </c>
      <c r="F205" s="23" t="s">
        <v>1537</v>
      </c>
      <c r="G205" s="24" t="s">
        <v>163</v>
      </c>
      <c r="H205" s="25" t="s">
        <v>164</v>
      </c>
      <c r="I205" s="23"/>
      <c r="J205" s="35"/>
      <c r="K205" s="27" t="s">
        <v>32</v>
      </c>
      <c r="L205" s="27" t="s">
        <v>550</v>
      </c>
      <c r="M205" s="26" t="str">
        <f>VLOOKUP(E205,'MTS 2026 registrations'!B:B,1,false)</f>
        <v>#N/A</v>
      </c>
      <c r="N205" s="26" t="str">
        <f>VLOOKUP(B205,'MTS 2026 registrations'!A:A,1,false)</f>
        <v>#N/A</v>
      </c>
      <c r="O205" s="38" t="str">
        <f t="shared" si="2"/>
        <v>Marked</v>
      </c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>
      <c r="A206" s="19" t="str">
        <f t="shared" si="1"/>
        <v>Anouk Nuijs Drechtsteden</v>
      </c>
      <c r="B206" s="19" t="s">
        <v>1538</v>
      </c>
      <c r="C206" s="116" t="s">
        <v>1539</v>
      </c>
      <c r="D206" s="116" t="s">
        <v>1540</v>
      </c>
      <c r="E206" s="30" t="s">
        <v>1541</v>
      </c>
      <c r="F206" s="49" t="s">
        <v>1542</v>
      </c>
      <c r="G206" s="24" t="s">
        <v>323</v>
      </c>
      <c r="H206" s="25" t="s">
        <v>139</v>
      </c>
      <c r="I206" s="23"/>
      <c r="J206" s="35"/>
      <c r="K206" s="27" t="s">
        <v>32</v>
      </c>
      <c r="L206" s="27" t="s">
        <v>550</v>
      </c>
      <c r="M206" s="26" t="str">
        <f>VLOOKUP(E206,'MTS 2026 registrations'!B:B,1,false)</f>
        <v>#N/A</v>
      </c>
      <c r="N206" s="26" t="str">
        <f>VLOOKUP(B206,'MTS 2026 registrations'!A:A,1,false)</f>
        <v>#N/A</v>
      </c>
      <c r="O206" s="38" t="str">
        <f t="shared" si="2"/>
        <v>Marked</v>
      </c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>
      <c r="A207" s="19" t="str">
        <f t="shared" si="1"/>
        <v>Arjan don boemcybersecurity</v>
      </c>
      <c r="B207" s="19" t="s">
        <v>1543</v>
      </c>
      <c r="C207" s="72" t="s">
        <v>280</v>
      </c>
      <c r="D207" s="29" t="s">
        <v>1544</v>
      </c>
      <c r="E207" s="30" t="s">
        <v>1545</v>
      </c>
      <c r="F207" s="29" t="s">
        <v>1546</v>
      </c>
      <c r="G207" s="32" t="s">
        <v>69</v>
      </c>
      <c r="H207" s="13" t="s">
        <v>45</v>
      </c>
      <c r="I207" s="34"/>
      <c r="J207" s="35"/>
      <c r="K207" s="27" t="s">
        <v>32</v>
      </c>
      <c r="L207" s="27" t="s">
        <v>550</v>
      </c>
      <c r="M207" s="26" t="str">
        <f>VLOOKUP(E207,'MTS 2026 registrations'!B:B,1,false)</f>
        <v>#N/A</v>
      </c>
      <c r="N207" s="26" t="str">
        <f>VLOOKUP(B207,'MTS 2026 registrations'!A:A,1,false)</f>
        <v>#N/A</v>
      </c>
      <c r="O207" s="38" t="str">
        <f t="shared" si="2"/>
        <v>Marked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23"/>
      <c r="AE207" s="23"/>
    </row>
    <row r="208" ht="12.75" customHeight="1">
      <c r="A208" s="19" t="str">
        <f t="shared" si="1"/>
        <v>Arnoud Jullens docklab</v>
      </c>
      <c r="B208" s="19" t="s">
        <v>1547</v>
      </c>
      <c r="C208" s="20" t="s">
        <v>299</v>
      </c>
      <c r="D208" s="20" t="s">
        <v>1548</v>
      </c>
      <c r="E208" s="21" t="s">
        <v>1549</v>
      </c>
      <c r="F208" s="23" t="s">
        <v>1550</v>
      </c>
      <c r="G208" s="24" t="s">
        <v>69</v>
      </c>
      <c r="H208" s="13" t="s">
        <v>213</v>
      </c>
      <c r="I208" s="23"/>
      <c r="J208" s="35"/>
      <c r="K208" s="27" t="s">
        <v>32</v>
      </c>
      <c r="L208" s="27" t="s">
        <v>550</v>
      </c>
      <c r="M208" s="26" t="str">
        <f>VLOOKUP(E208,'MTS 2026 registrations'!B:B,1,false)</f>
        <v>#N/A</v>
      </c>
      <c r="N208" s="26" t="str">
        <f>VLOOKUP(B208,'MTS 2026 registrations'!A:A,1,false)</f>
        <v>#N/A</v>
      </c>
      <c r="O208" s="38" t="str">
        <f t="shared" si="2"/>
        <v>Marked</v>
      </c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>
      <c r="A209" s="19" t="str">
        <f t="shared" si="1"/>
        <v>Art de Boo </v>
      </c>
      <c r="B209" s="19" t="s">
        <v>1551</v>
      </c>
      <c r="C209" s="20" t="s">
        <v>1552</v>
      </c>
      <c r="D209" s="20" t="s">
        <v>1553</v>
      </c>
      <c r="E209" s="21" t="s">
        <v>1554</v>
      </c>
      <c r="F209" s="52"/>
      <c r="G209" s="24" t="s">
        <v>225</v>
      </c>
      <c r="H209" s="25" t="s">
        <v>47</v>
      </c>
      <c r="I209" s="26"/>
      <c r="J209" s="35"/>
      <c r="K209" s="27" t="s">
        <v>32</v>
      </c>
      <c r="L209" s="27" t="s">
        <v>550</v>
      </c>
      <c r="M209" s="26" t="str">
        <f>VLOOKUP(E209,'MTS 2026 registrations'!B:B,1,false)</f>
        <v>#N/A</v>
      </c>
      <c r="N209" s="26" t="str">
        <f>VLOOKUP(B209,'MTS 2026 registrations'!A:A,1,false)</f>
        <v>#N/A</v>
      </c>
      <c r="O209" s="38" t="str">
        <f t="shared" si="2"/>
        <v>Marked</v>
      </c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34"/>
      <c r="AE209" s="34"/>
    </row>
    <row r="210">
      <c r="A210" s="19" t="str">
        <f t="shared" si="1"/>
        <v>August Papadopoulos rsm</v>
      </c>
      <c r="B210" s="19" t="s">
        <v>1555</v>
      </c>
      <c r="C210" s="29" t="s">
        <v>1556</v>
      </c>
      <c r="D210" s="29" t="s">
        <v>1557</v>
      </c>
      <c r="E210" s="31" t="s">
        <v>1558</v>
      </c>
      <c r="F210" s="29" t="s">
        <v>931</v>
      </c>
      <c r="G210" s="32" t="s">
        <v>43</v>
      </c>
      <c r="H210" s="13" t="s">
        <v>45</v>
      </c>
      <c r="I210" s="34"/>
      <c r="J210" s="35"/>
      <c r="K210" s="27" t="s">
        <v>32</v>
      </c>
      <c r="L210" s="27" t="s">
        <v>550</v>
      </c>
      <c r="M210" s="26" t="str">
        <f>VLOOKUP(E210,'MTS 2026 registrations'!B:B,1,false)</f>
        <v>#N/A</v>
      </c>
      <c r="N210" s="26" t="str">
        <f>VLOOKUP(B210,'MTS 2026 registrations'!A:A,1,false)</f>
        <v>#N/A</v>
      </c>
      <c r="O210" s="38" t="str">
        <f t="shared" si="2"/>
        <v>Marked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23"/>
      <c r="AE210" s="23"/>
    </row>
    <row r="211" ht="12.75" customHeight="1">
      <c r="A211" s="19" t="str">
        <f t="shared" si="1"/>
        <v>Bastiaan Visser icpcf</v>
      </c>
      <c r="B211" s="19" t="s">
        <v>1559</v>
      </c>
      <c r="C211" s="20" t="s">
        <v>1560</v>
      </c>
      <c r="D211" s="20" t="s">
        <v>1561</v>
      </c>
      <c r="E211" s="21" t="s">
        <v>1562</v>
      </c>
      <c r="F211" s="23" t="s">
        <v>1563</v>
      </c>
      <c r="G211" s="24" t="s">
        <v>225</v>
      </c>
      <c r="H211" s="25" t="s">
        <v>47</v>
      </c>
      <c r="I211" s="34"/>
      <c r="J211" s="35"/>
      <c r="K211" s="27" t="s">
        <v>32</v>
      </c>
      <c r="L211" s="27" t="s">
        <v>550</v>
      </c>
      <c r="M211" s="26" t="str">
        <f>VLOOKUP(E211,'MTS 2026 registrations'!B:B,1,false)</f>
        <v>#N/A</v>
      </c>
      <c r="N211" s="26" t="str">
        <f>VLOOKUP(B211,'MTS 2026 registrations'!A:A,1,false)</f>
        <v>#N/A</v>
      </c>
      <c r="O211" s="38" t="str">
        <f t="shared" si="2"/>
        <v>Marked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23"/>
      <c r="AE211" s="23"/>
    </row>
    <row r="212">
      <c r="A212" s="19" t="str">
        <f t="shared" si="1"/>
        <v>Brechtje Vreenegoor WUR</v>
      </c>
      <c r="B212" s="19" t="s">
        <v>1564</v>
      </c>
      <c r="C212" s="116" t="s">
        <v>1565</v>
      </c>
      <c r="D212" s="116" t="s">
        <v>1566</v>
      </c>
      <c r="E212" s="30" t="s">
        <v>1567</v>
      </c>
      <c r="F212" s="49" t="s">
        <v>1568</v>
      </c>
      <c r="G212" s="24" t="s">
        <v>43</v>
      </c>
      <c r="H212" s="13" t="s">
        <v>57</v>
      </c>
      <c r="I212" s="26"/>
      <c r="J212" s="35"/>
      <c r="K212" s="27" t="s">
        <v>32</v>
      </c>
      <c r="L212" s="27" t="s">
        <v>550</v>
      </c>
      <c r="M212" s="26" t="str">
        <f>VLOOKUP(E212,'MTS 2026 registrations'!B:B,1,false)</f>
        <v>#N/A</v>
      </c>
      <c r="N212" s="26" t="str">
        <f>VLOOKUP(B212,'MTS 2026 registrations'!A:A,1,false)</f>
        <v>#N/A</v>
      </c>
      <c r="O212" s="38" t="str">
        <f t="shared" si="2"/>
        <v>Marked</v>
      </c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>
      <c r="A213" s="19" t="str">
        <f t="shared" si="1"/>
        <v>Bruno Giebels </v>
      </c>
      <c r="B213" s="19" t="s">
        <v>1569</v>
      </c>
      <c r="C213" s="20" t="s">
        <v>1570</v>
      </c>
      <c r="D213" s="20" t="s">
        <v>1571</v>
      </c>
      <c r="E213" s="21" t="s">
        <v>1572</v>
      </c>
      <c r="F213" s="52"/>
      <c r="G213" s="42" t="s">
        <v>1306</v>
      </c>
      <c r="H213" s="13" t="s">
        <v>213</v>
      </c>
      <c r="I213" s="26"/>
      <c r="J213" s="35"/>
      <c r="K213" s="27" t="s">
        <v>32</v>
      </c>
      <c r="L213" s="27" t="s">
        <v>550</v>
      </c>
      <c r="M213" s="26" t="str">
        <f>VLOOKUP(E213,'MTS 2026 registrations'!B:B,1,false)</f>
        <v>#N/A</v>
      </c>
      <c r="N213" s="26" t="str">
        <f>VLOOKUP(B213,'MTS 2026 registrations'!A:A,1,false)</f>
        <v>#N/A</v>
      </c>
      <c r="O213" s="38" t="str">
        <f t="shared" si="2"/>
        <v>Marked</v>
      </c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>
      <c r="A214" s="19" t="str">
        <f t="shared" si="1"/>
        <v>Ceciel Kempers alliander</v>
      </c>
      <c r="B214" s="19" t="s">
        <v>1573</v>
      </c>
      <c r="C214" s="138" t="s">
        <v>1574</v>
      </c>
      <c r="D214" s="138" t="s">
        <v>1575</v>
      </c>
      <c r="E214" s="139" t="s">
        <v>1576</v>
      </c>
      <c r="F214" s="75" t="s">
        <v>1577</v>
      </c>
      <c r="G214" s="24" t="s">
        <v>56</v>
      </c>
      <c r="H214" s="25" t="s">
        <v>139</v>
      </c>
      <c r="I214" s="26"/>
      <c r="J214" s="35"/>
      <c r="K214" s="27" t="s">
        <v>32</v>
      </c>
      <c r="L214" s="27" t="s">
        <v>550</v>
      </c>
      <c r="M214" s="26" t="str">
        <f>VLOOKUP(E214,'MTS 2026 registrations'!B:B,1,false)</f>
        <v>#N/A</v>
      </c>
      <c r="N214" s="26" t="str">
        <f>VLOOKUP(B214,'MTS 2026 registrations'!A:A,1,false)</f>
        <v>#N/A</v>
      </c>
      <c r="O214" s="38" t="str">
        <f t="shared" si="2"/>
        <v>Marked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2.75" customHeight="1">
      <c r="A215" s="19" t="str">
        <f t="shared" si="1"/>
        <v>Charlotte Krom Den Haag</v>
      </c>
      <c r="B215" s="19" t="s">
        <v>1578</v>
      </c>
      <c r="C215" s="116" t="s">
        <v>1579</v>
      </c>
      <c r="D215" s="116" t="s">
        <v>1580</v>
      </c>
      <c r="E215" s="30" t="s">
        <v>1581</v>
      </c>
      <c r="F215" s="135" t="s">
        <v>1582</v>
      </c>
      <c r="G215" s="24" t="s">
        <v>323</v>
      </c>
      <c r="H215" s="25" t="s">
        <v>139</v>
      </c>
      <c r="I215" s="23"/>
      <c r="J215" s="35"/>
      <c r="K215" s="27" t="s">
        <v>32</v>
      </c>
      <c r="L215" s="27" t="s">
        <v>550</v>
      </c>
      <c r="M215" s="26" t="str">
        <f>VLOOKUP(E215,'MTS 2026 registrations'!B:B,1,false)</f>
        <v>#N/A</v>
      </c>
      <c r="N215" s="26" t="str">
        <f>VLOOKUP(B215,'MTS 2026 registrations'!A:A,1,false)</f>
        <v>#N/A</v>
      </c>
      <c r="O215" s="38" t="str">
        <f t="shared" si="2"/>
        <v>Marked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>
      <c r="A216" s="19" t="str">
        <f t="shared" si="1"/>
        <v>Christel Pullens portxl</v>
      </c>
      <c r="B216" s="19" t="s">
        <v>1583</v>
      </c>
      <c r="C216" s="60" t="s">
        <v>1584</v>
      </c>
      <c r="D216" s="60" t="s">
        <v>1585</v>
      </c>
      <c r="E216" s="62" t="s">
        <v>1586</v>
      </c>
      <c r="F216" s="64" t="s">
        <v>1587</v>
      </c>
      <c r="G216" s="24" t="s">
        <v>69</v>
      </c>
      <c r="H216" s="25" t="s">
        <v>139</v>
      </c>
      <c r="I216" s="23"/>
      <c r="J216" s="35"/>
      <c r="K216" s="27" t="s">
        <v>32</v>
      </c>
      <c r="L216" s="27" t="s">
        <v>550</v>
      </c>
      <c r="M216" s="26" t="str">
        <f>VLOOKUP(E216,'MTS 2026 registrations'!B:B,1,false)</f>
        <v>#N/A</v>
      </c>
      <c r="N216" s="26" t="str">
        <f>VLOOKUP(B216,'MTS 2026 registrations'!A:A,1,false)</f>
        <v>#N/A</v>
      </c>
      <c r="O216" s="38" t="str">
        <f t="shared" si="2"/>
        <v>Marked</v>
      </c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>
      <c r="A217" s="19" t="str">
        <f t="shared" si="1"/>
        <v>Collin Arocho techwatch</v>
      </c>
      <c r="B217" s="19" t="s">
        <v>1588</v>
      </c>
      <c r="C217" s="20" t="s">
        <v>1589</v>
      </c>
      <c r="D217" s="20" t="s">
        <v>1590</v>
      </c>
      <c r="E217" s="21" t="s">
        <v>1591</v>
      </c>
      <c r="F217" s="23" t="s">
        <v>1592</v>
      </c>
      <c r="G217" s="24" t="s">
        <v>1593</v>
      </c>
      <c r="H217" s="13" t="s">
        <v>57</v>
      </c>
      <c r="I217" s="23"/>
      <c r="J217" s="35"/>
      <c r="K217" s="27" t="s">
        <v>32</v>
      </c>
      <c r="L217" s="27" t="s">
        <v>550</v>
      </c>
      <c r="M217" s="26" t="str">
        <f>VLOOKUP(E217,'MTS 2026 registrations'!B:B,1,false)</f>
        <v>#N/A</v>
      </c>
      <c r="N217" s="26" t="str">
        <f>VLOOKUP(B217,'MTS 2026 registrations'!A:A,1,false)</f>
        <v>#N/A</v>
      </c>
      <c r="O217" s="38" t="str">
        <f t="shared" si="2"/>
        <v>Marked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34"/>
      <c r="AE217" s="34"/>
    </row>
    <row r="218" ht="12.75" customHeight="1">
      <c r="A218" s="19" t="str">
        <f t="shared" si="1"/>
        <v>Daisy Visser rotterdam</v>
      </c>
      <c r="B218" s="19" t="s">
        <v>1594</v>
      </c>
      <c r="C218" s="72" t="s">
        <v>1595</v>
      </c>
      <c r="D218" s="72" t="s">
        <v>1561</v>
      </c>
      <c r="E218" s="30" t="s">
        <v>1596</v>
      </c>
      <c r="F218" s="29" t="s">
        <v>1597</v>
      </c>
      <c r="G218" s="32" t="s">
        <v>323</v>
      </c>
      <c r="H218" s="13" t="s">
        <v>45</v>
      </c>
      <c r="I218" s="34"/>
      <c r="J218" s="35"/>
      <c r="K218" s="27" t="s">
        <v>32</v>
      </c>
      <c r="L218" s="27" t="s">
        <v>550</v>
      </c>
      <c r="M218" s="26" t="str">
        <f>VLOOKUP(E218,'MTS 2026 registrations'!B:B,1,false)</f>
        <v>#N/A</v>
      </c>
      <c r="N218" s="26" t="str">
        <f>VLOOKUP(B218,'MTS 2026 registrations'!A:A,1,false)</f>
        <v>#N/A</v>
      </c>
      <c r="O218" s="38" t="str">
        <f t="shared" si="2"/>
        <v>Marked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23"/>
      <c r="AE218" s="23"/>
    </row>
    <row r="219" ht="12.75" customHeight="1">
      <c r="A219" s="19" t="str">
        <f t="shared" si="1"/>
        <v>Danique Roodnat stz</v>
      </c>
      <c r="B219" s="19" t="s">
        <v>1598</v>
      </c>
      <c r="C219" s="29" t="s">
        <v>1599</v>
      </c>
      <c r="D219" s="29" t="s">
        <v>1600</v>
      </c>
      <c r="E219" s="30" t="s">
        <v>1601</v>
      </c>
      <c r="F219" s="29" t="s">
        <v>1602</v>
      </c>
      <c r="G219" s="32" t="s">
        <v>323</v>
      </c>
      <c r="H219" s="13" t="s">
        <v>45</v>
      </c>
      <c r="I219" s="34"/>
      <c r="J219" s="35"/>
      <c r="K219" s="27" t="s">
        <v>32</v>
      </c>
      <c r="L219" s="27" t="s">
        <v>550</v>
      </c>
      <c r="M219" s="26" t="str">
        <f>VLOOKUP(E219,'MTS 2026 registrations'!B:B,1,false)</f>
        <v>#N/A</v>
      </c>
      <c r="N219" s="26" t="str">
        <f>VLOOKUP(B219,'MTS 2026 registrations'!A:A,1,false)</f>
        <v>#N/A</v>
      </c>
      <c r="O219" s="38" t="str">
        <f t="shared" si="2"/>
        <v>Marked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23"/>
      <c r="AE219" s="23"/>
    </row>
    <row r="220">
      <c r="A220" s="19" t="str">
        <f t="shared" si="1"/>
        <v>David Cohen-Tanugi mit</v>
      </c>
      <c r="B220" s="19" t="s">
        <v>1603</v>
      </c>
      <c r="C220" s="29" t="s">
        <v>1604</v>
      </c>
      <c r="D220" s="29" t="s">
        <v>1605</v>
      </c>
      <c r="E220" s="140" t="s">
        <v>1606</v>
      </c>
      <c r="F220" s="29" t="s">
        <v>1607</v>
      </c>
      <c r="G220" s="32" t="s">
        <v>69</v>
      </c>
      <c r="H220" s="13" t="s">
        <v>213</v>
      </c>
      <c r="I220" s="23"/>
      <c r="J220" s="35"/>
      <c r="K220" s="27" t="s">
        <v>32</v>
      </c>
      <c r="L220" s="27" t="s">
        <v>550</v>
      </c>
      <c r="M220" s="26" t="str">
        <f>VLOOKUP(E220,'MTS 2026 registrations'!B:B,1,false)</f>
        <v>#N/A</v>
      </c>
      <c r="N220" s="26" t="str">
        <f>VLOOKUP(B220,'MTS 2026 registrations'!A:A,1,false)</f>
        <v>#N/A</v>
      </c>
      <c r="O220" s="38" t="str">
        <f t="shared" si="2"/>
        <v>Marked</v>
      </c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>
      <c r="A221" s="19" t="str">
        <f t="shared" si="1"/>
        <v>Diederik Tjeenk Willink </v>
      </c>
      <c r="B221" s="19" t="s">
        <v>1609</v>
      </c>
      <c r="C221" s="20" t="s">
        <v>1610</v>
      </c>
      <c r="D221" s="20" t="s">
        <v>1611</v>
      </c>
      <c r="E221" s="112" t="s">
        <v>1612</v>
      </c>
      <c r="F221" s="23"/>
      <c r="G221" s="24" t="s">
        <v>29</v>
      </c>
      <c r="H221" s="25" t="s">
        <v>47</v>
      </c>
      <c r="I221" s="26"/>
      <c r="J221" s="35"/>
      <c r="K221" s="27" t="s">
        <v>32</v>
      </c>
      <c r="L221" s="27" t="s">
        <v>550</v>
      </c>
      <c r="M221" s="26" t="str">
        <f>VLOOKUP(E221,'MTS 2026 registrations'!B:B,1,false)</f>
        <v>#N/A</v>
      </c>
      <c r="N221" s="26" t="str">
        <f>VLOOKUP(B221,'MTS 2026 registrations'!A:A,1,false)</f>
        <v>#N/A</v>
      </c>
      <c r="O221" s="38" t="str">
        <f t="shared" si="2"/>
        <v>Marked</v>
      </c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2.75" customHeight="1">
      <c r="A222" s="19" t="str">
        <f t="shared" si="1"/>
        <v>Dimer Schaefer twtg</v>
      </c>
      <c r="B222" s="19" t="s">
        <v>1613</v>
      </c>
      <c r="C222" s="20" t="s">
        <v>1614</v>
      </c>
      <c r="D222" s="20" t="s">
        <v>1615</v>
      </c>
      <c r="E222" s="21" t="s">
        <v>1616</v>
      </c>
      <c r="F222" s="23" t="s">
        <v>1617</v>
      </c>
      <c r="G222" s="24" t="s">
        <v>1306</v>
      </c>
      <c r="H222" s="13" t="s">
        <v>213</v>
      </c>
      <c r="I222" s="26"/>
      <c r="J222" s="35"/>
      <c r="K222" s="27" t="s">
        <v>32</v>
      </c>
      <c r="L222" s="27" t="s">
        <v>550</v>
      </c>
      <c r="M222" s="26" t="str">
        <f>VLOOKUP(E222,'MTS 2026 registrations'!B:B,1,false)</f>
        <v>#N/A</v>
      </c>
      <c r="N222" s="26" t="str">
        <f>VLOOKUP(B222,'MTS 2026 registrations'!A:A,1,false)</f>
        <v>#N/A</v>
      </c>
      <c r="O222" s="38" t="str">
        <f t="shared" si="2"/>
        <v>Marked</v>
      </c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2.75" customHeight="1">
      <c r="A223" s="19" t="str">
        <f t="shared" si="1"/>
        <v>Dougal Featherstone dougal</v>
      </c>
      <c r="B223" s="19" t="s">
        <v>1619</v>
      </c>
      <c r="C223" s="20" t="s">
        <v>1620</v>
      </c>
      <c r="D223" s="20" t="s">
        <v>1621</v>
      </c>
      <c r="E223" s="21" t="s">
        <v>1622</v>
      </c>
      <c r="F223" s="23" t="s">
        <v>1623</v>
      </c>
      <c r="G223" s="24" t="s">
        <v>225</v>
      </c>
      <c r="H223" s="25" t="s">
        <v>47</v>
      </c>
      <c r="I223" s="23"/>
      <c r="J223" s="35"/>
      <c r="K223" s="27" t="s">
        <v>32</v>
      </c>
      <c r="L223" s="27" t="s">
        <v>550</v>
      </c>
      <c r="M223" s="26" t="str">
        <f>VLOOKUP(E223,'MTS 2026 registrations'!B:B,1,false)</f>
        <v>#N/A</v>
      </c>
      <c r="N223" s="26" t="str">
        <f>VLOOKUP(B223,'MTS 2026 registrations'!A:A,1,false)</f>
        <v>#N/A</v>
      </c>
      <c r="O223" s="38" t="str">
        <f t="shared" si="2"/>
        <v>Marked</v>
      </c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2.75" customHeight="1">
      <c r="A224" s="19" t="str">
        <f t="shared" si="1"/>
        <v>Duncan Waardenburg PZH</v>
      </c>
      <c r="B224" s="19" t="s">
        <v>1624</v>
      </c>
      <c r="C224" s="141" t="s">
        <v>1625</v>
      </c>
      <c r="D224" s="102" t="s">
        <v>1626</v>
      </c>
      <c r="E224" s="48" t="s">
        <v>1627</v>
      </c>
      <c r="F224" s="135" t="s">
        <v>1628</v>
      </c>
      <c r="G224" s="42" t="s">
        <v>323</v>
      </c>
      <c r="H224" s="25" t="s">
        <v>139</v>
      </c>
      <c r="I224" s="23"/>
      <c r="J224" s="35"/>
      <c r="K224" s="27" t="s">
        <v>32</v>
      </c>
      <c r="L224" s="27" t="s">
        <v>550</v>
      </c>
      <c r="M224" s="26" t="str">
        <f>VLOOKUP(E224,'MTS 2026 registrations'!B:B,1,false)</f>
        <v>#N/A</v>
      </c>
      <c r="N224" s="26" t="str">
        <f>VLOOKUP(B224,'MTS 2026 registrations'!A:A,1,false)</f>
        <v>#N/A</v>
      </c>
      <c r="O224" s="38" t="str">
        <f t="shared" si="2"/>
        <v>Marked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2.75" customHeight="1">
      <c r="A225" s="19" t="str">
        <f t="shared" si="1"/>
        <v>Eddy Thans primevision</v>
      </c>
      <c r="B225" s="19" t="s">
        <v>1629</v>
      </c>
      <c r="C225" s="20" t="s">
        <v>1630</v>
      </c>
      <c r="D225" s="20" t="s">
        <v>1631</v>
      </c>
      <c r="E225" s="21" t="s">
        <v>1632</v>
      </c>
      <c r="F225" s="23" t="s">
        <v>565</v>
      </c>
      <c r="G225" s="24" t="s">
        <v>1306</v>
      </c>
      <c r="H225" s="13" t="s">
        <v>213</v>
      </c>
      <c r="I225" s="23"/>
      <c r="J225" s="35"/>
      <c r="K225" s="27" t="s">
        <v>32</v>
      </c>
      <c r="L225" s="27" t="s">
        <v>550</v>
      </c>
      <c r="M225" s="26" t="str">
        <f>VLOOKUP(E225,'MTS 2026 registrations'!B:B,1,false)</f>
        <v>#N/A</v>
      </c>
      <c r="N225" s="26" t="str">
        <f>VLOOKUP(B225,'MTS 2026 registrations'!A:A,1,false)</f>
        <v>#N/A</v>
      </c>
      <c r="O225" s="38" t="str">
        <f t="shared" si="2"/>
        <v>Marked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2.75" customHeight="1">
      <c r="A226" s="19" t="str">
        <f t="shared" si="1"/>
        <v>Eelco Simon valcon</v>
      </c>
      <c r="B226" s="19" t="s">
        <v>1634</v>
      </c>
      <c r="C226" s="20" t="s">
        <v>1635</v>
      </c>
      <c r="D226" s="20" t="s">
        <v>1636</v>
      </c>
      <c r="E226" s="21" t="s">
        <v>1637</v>
      </c>
      <c r="F226" s="23" t="s">
        <v>1638</v>
      </c>
      <c r="G226" s="24" t="s">
        <v>56</v>
      </c>
      <c r="H226" s="13" t="s">
        <v>213</v>
      </c>
      <c r="I226" s="26"/>
      <c r="J226" s="35"/>
      <c r="K226" s="27" t="s">
        <v>32</v>
      </c>
      <c r="L226" s="27" t="s">
        <v>550</v>
      </c>
      <c r="M226" s="26" t="str">
        <f>VLOOKUP(E226,'MTS 2026 registrations'!B:B,1,false)</f>
        <v>#N/A</v>
      </c>
      <c r="N226" s="26" t="str">
        <f>VLOOKUP(B226,'MTS 2026 registrations'!A:A,1,false)</f>
        <v>#N/A</v>
      </c>
      <c r="O226" s="38" t="str">
        <f t="shared" si="2"/>
        <v>Marked</v>
      </c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2.75" customHeight="1">
      <c r="A227" s="19" t="str">
        <f t="shared" si="1"/>
        <v>Egehan Yildirim MIN EZK</v>
      </c>
      <c r="B227" s="19" t="s">
        <v>1640</v>
      </c>
      <c r="C227" s="116" t="s">
        <v>1641</v>
      </c>
      <c r="D227" s="117" t="s">
        <v>1642</v>
      </c>
      <c r="E227" s="112" t="s">
        <v>1643</v>
      </c>
      <c r="F227" s="135" t="s">
        <v>1644</v>
      </c>
      <c r="G227" s="32" t="s">
        <v>323</v>
      </c>
      <c r="H227" s="49" t="s">
        <v>139</v>
      </c>
      <c r="I227" s="34"/>
      <c r="J227" s="35"/>
      <c r="K227" s="27" t="s">
        <v>32</v>
      </c>
      <c r="L227" s="27" t="s">
        <v>550</v>
      </c>
      <c r="M227" s="26" t="str">
        <f>VLOOKUP(E227,'MTS 2026 registrations'!B:B,1,false)</f>
        <v>#N/A</v>
      </c>
      <c r="N227" s="26" t="str">
        <f>VLOOKUP(B227,'MTS 2026 registrations'!A:A,1,false)</f>
        <v>#N/A</v>
      </c>
      <c r="O227" s="38" t="str">
        <f t="shared" si="2"/>
        <v>Marked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23"/>
      <c r="AE227" s="23"/>
    </row>
    <row r="228" ht="12.75" customHeight="1">
      <c r="A228" s="19" t="str">
        <f t="shared" si="1"/>
        <v>Elisabeth Storm de Grave invest-nl</v>
      </c>
      <c r="B228" s="19" t="s">
        <v>1645</v>
      </c>
      <c r="C228" s="20" t="s">
        <v>1223</v>
      </c>
      <c r="D228" s="20" t="s">
        <v>1646</v>
      </c>
      <c r="E228" s="21" t="s">
        <v>1647</v>
      </c>
      <c r="F228" s="75" t="s">
        <v>1648</v>
      </c>
      <c r="G228" s="24" t="s">
        <v>163</v>
      </c>
      <c r="H228" s="25" t="s">
        <v>164</v>
      </c>
      <c r="I228" s="23"/>
      <c r="J228" s="35"/>
      <c r="K228" s="27" t="s">
        <v>32</v>
      </c>
      <c r="L228" s="27" t="s">
        <v>550</v>
      </c>
      <c r="M228" s="26" t="str">
        <f>VLOOKUP(E228,'MTS 2026 registrations'!B:B,1,false)</f>
        <v>#N/A</v>
      </c>
      <c r="N228" s="26" t="str">
        <f>VLOOKUP(B228,'MTS 2026 registrations'!A:A,1,false)</f>
        <v>#N/A</v>
      </c>
      <c r="O228" s="38" t="str">
        <f t="shared" si="2"/>
        <v>Marked</v>
      </c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34"/>
      <c r="AE228" s="34"/>
    </row>
    <row r="229" ht="12.75" customHeight="1">
      <c r="A229" s="19" t="str">
        <f t="shared" si="1"/>
        <v>Emile Baak </v>
      </c>
      <c r="B229" s="19" t="s">
        <v>1649</v>
      </c>
      <c r="C229" s="20" t="s">
        <v>1650</v>
      </c>
      <c r="D229" s="20" t="s">
        <v>1651</v>
      </c>
      <c r="E229" s="21" t="s">
        <v>1652</v>
      </c>
      <c r="F229" s="52"/>
      <c r="G229" s="24" t="s">
        <v>225</v>
      </c>
      <c r="H229" s="25" t="s">
        <v>47</v>
      </c>
      <c r="I229" s="26"/>
      <c r="J229" s="35"/>
      <c r="K229" s="27" t="s">
        <v>32</v>
      </c>
      <c r="L229" s="27" t="s">
        <v>550</v>
      </c>
      <c r="M229" s="26" t="str">
        <f>VLOOKUP(E229,'MTS 2026 registrations'!B:B,1,false)</f>
        <v>#N/A</v>
      </c>
      <c r="N229" s="26" t="str">
        <f>VLOOKUP(B229,'MTS 2026 registrations'!A:A,1,false)</f>
        <v>#N/A</v>
      </c>
      <c r="O229" s="38" t="str">
        <f t="shared" si="2"/>
        <v>Marked</v>
      </c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34"/>
      <c r="AE229" s="34"/>
    </row>
    <row r="230" ht="12.75" customHeight="1">
      <c r="A230" s="19" t="str">
        <f t="shared" si="1"/>
        <v>Esmee Ficheroux CSU</v>
      </c>
      <c r="B230" s="19" t="s">
        <v>1653</v>
      </c>
      <c r="C230" s="134" t="s">
        <v>1654</v>
      </c>
      <c r="D230" s="102" t="s">
        <v>1655</v>
      </c>
      <c r="E230" s="48" t="s">
        <v>1656</v>
      </c>
      <c r="F230" s="135" t="s">
        <v>1657</v>
      </c>
      <c r="G230" s="42" t="s">
        <v>56</v>
      </c>
      <c r="H230" s="25" t="s">
        <v>139</v>
      </c>
      <c r="I230" s="34"/>
      <c r="J230" s="35"/>
      <c r="K230" s="27" t="s">
        <v>32</v>
      </c>
      <c r="L230" s="27" t="s">
        <v>550</v>
      </c>
      <c r="M230" s="26" t="str">
        <f>VLOOKUP(E230,'MTS 2026 registrations'!B:B,1,false)</f>
        <v>#N/A</v>
      </c>
      <c r="N230" s="26" t="str">
        <f>VLOOKUP(B230,'MTS 2026 registrations'!A:A,1,false)</f>
        <v>#N/A</v>
      </c>
      <c r="O230" s="38" t="str">
        <f t="shared" si="2"/>
        <v>Marked</v>
      </c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2.75" customHeight="1">
      <c r="A231" s="19" t="str">
        <f t="shared" si="1"/>
        <v>Evert Jaap Lugt HIC</v>
      </c>
      <c r="B231" s="19" t="s">
        <v>1658</v>
      </c>
      <c r="C231" s="116" t="s">
        <v>1659</v>
      </c>
      <c r="D231" s="116" t="s">
        <v>1660</v>
      </c>
      <c r="E231" s="142" t="s">
        <v>1661</v>
      </c>
      <c r="F231" s="49" t="s">
        <v>1662</v>
      </c>
      <c r="G231" s="24" t="s">
        <v>29</v>
      </c>
      <c r="H231" s="25" t="s">
        <v>139</v>
      </c>
      <c r="I231" s="34"/>
      <c r="J231" s="35"/>
      <c r="K231" s="27" t="s">
        <v>32</v>
      </c>
      <c r="L231" s="27" t="s">
        <v>550</v>
      </c>
      <c r="M231" s="26" t="str">
        <f>VLOOKUP(E231,'MTS 2026 registrations'!B:B,1,false)</f>
        <v>#N/A</v>
      </c>
      <c r="N231" s="26" t="str">
        <f>VLOOKUP(B231,'MTS 2026 registrations'!A:A,1,false)</f>
        <v>#N/A</v>
      </c>
      <c r="O231" s="38" t="str">
        <f t="shared" si="2"/>
        <v>Marked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23"/>
      <c r="AE231" s="23"/>
    </row>
    <row r="232" ht="12.75" customHeight="1">
      <c r="A232" s="19" t="str">
        <f t="shared" si="1"/>
        <v>Fedde Sonnema dsm</v>
      </c>
      <c r="B232" s="19" t="s">
        <v>1663</v>
      </c>
      <c r="C232" s="20" t="s">
        <v>1664</v>
      </c>
      <c r="D232" s="20" t="s">
        <v>1665</v>
      </c>
      <c r="E232" s="21" t="s">
        <v>1666</v>
      </c>
      <c r="F232" s="23" t="s">
        <v>1667</v>
      </c>
      <c r="G232" s="42" t="s">
        <v>69</v>
      </c>
      <c r="H232" s="143" t="s">
        <v>139</v>
      </c>
      <c r="I232" s="49" t="s">
        <v>1668</v>
      </c>
      <c r="J232" s="35"/>
      <c r="K232" s="27" t="s">
        <v>32</v>
      </c>
      <c r="L232" s="27" t="s">
        <v>550</v>
      </c>
      <c r="M232" s="26" t="str">
        <f>VLOOKUP(E232,'MTS 2026 registrations'!B:B,1,false)</f>
        <v>#N/A</v>
      </c>
      <c r="N232" s="26" t="str">
        <f>VLOOKUP(B232,'MTS 2026 registrations'!A:A,1,false)</f>
        <v>#N/A</v>
      </c>
      <c r="O232" s="38" t="str">
        <f t="shared" si="2"/>
        <v>Marked</v>
      </c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2.75" customHeight="1">
      <c r="A233" s="19" t="str">
        <f t="shared" si="1"/>
        <v>Fiona E Murray mit</v>
      </c>
      <c r="B233" s="19" t="s">
        <v>1669</v>
      </c>
      <c r="C233" s="29" t="s">
        <v>1670</v>
      </c>
      <c r="D233" s="29" t="s">
        <v>1671</v>
      </c>
      <c r="E233" s="30" t="s">
        <v>1672</v>
      </c>
      <c r="F233" s="29" t="s">
        <v>1607</v>
      </c>
      <c r="G233" s="32" t="s">
        <v>43</v>
      </c>
      <c r="H233" s="13" t="s">
        <v>213</v>
      </c>
      <c r="I233" s="23"/>
      <c r="J233" s="35"/>
      <c r="K233" s="27" t="s">
        <v>32</v>
      </c>
      <c r="L233" s="27" t="s">
        <v>550</v>
      </c>
      <c r="M233" s="26" t="str">
        <f>VLOOKUP(E233,'MTS 2026 registrations'!B:B,1,false)</f>
        <v>#N/A</v>
      </c>
      <c r="N233" s="26" t="str">
        <f>VLOOKUP(B233,'MTS 2026 registrations'!A:A,1,false)</f>
        <v>#N/A</v>
      </c>
      <c r="O233" s="38" t="str">
        <f t="shared" si="2"/>
        <v>Marked</v>
      </c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2.75" customHeight="1">
      <c r="A234" s="19" t="str">
        <f t="shared" si="1"/>
        <v>Fleur Dassen tudelft</v>
      </c>
      <c r="B234" s="19" t="s">
        <v>1673</v>
      </c>
      <c r="C234" s="72" t="s">
        <v>1674</v>
      </c>
      <c r="D234" s="72" t="s">
        <v>1675</v>
      </c>
      <c r="E234" s="30" t="s">
        <v>1676</v>
      </c>
      <c r="F234" s="29" t="s">
        <v>184</v>
      </c>
      <c r="G234" s="32" t="s">
        <v>43</v>
      </c>
      <c r="H234" s="13" t="s">
        <v>213</v>
      </c>
      <c r="I234" s="34"/>
      <c r="J234" s="35"/>
      <c r="K234" s="27" t="s">
        <v>32</v>
      </c>
      <c r="L234" s="27" t="s">
        <v>550</v>
      </c>
      <c r="M234" s="26" t="str">
        <f>VLOOKUP(E234,'MTS 2026 registrations'!B:B,1,false)</f>
        <v>#N/A</v>
      </c>
      <c r="N234" s="26" t="str">
        <f>VLOOKUP(B234,'MTS 2026 registrations'!A:A,1,false)</f>
        <v>#N/A</v>
      </c>
      <c r="O234" s="38" t="str">
        <f t="shared" si="2"/>
        <v>Marked</v>
      </c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2.75" customHeight="1">
      <c r="A235" s="19" t="str">
        <f t="shared" si="1"/>
        <v>Fons de Ree zoetermeer</v>
      </c>
      <c r="B235" s="19" t="s">
        <v>1677</v>
      </c>
      <c r="C235" s="60" t="s">
        <v>1678</v>
      </c>
      <c r="D235" s="60" t="s">
        <v>1679</v>
      </c>
      <c r="E235" s="62" t="s">
        <v>1680</v>
      </c>
      <c r="F235" s="64" t="s">
        <v>1681</v>
      </c>
      <c r="G235" s="24" t="s">
        <v>323</v>
      </c>
      <c r="H235" s="25" t="s">
        <v>139</v>
      </c>
      <c r="I235" s="34"/>
      <c r="J235" s="35"/>
      <c r="K235" s="27" t="s">
        <v>32</v>
      </c>
      <c r="L235" s="27" t="s">
        <v>550</v>
      </c>
      <c r="M235" s="26" t="str">
        <f>VLOOKUP(E235,'MTS 2026 registrations'!B:B,1,false)</f>
        <v>#N/A</v>
      </c>
      <c r="N235" s="26" t="str">
        <f>VLOOKUP(B235,'MTS 2026 registrations'!A:A,1,false)</f>
        <v>#N/A</v>
      </c>
      <c r="O235" s="38" t="str">
        <f t="shared" si="2"/>
        <v>Marked</v>
      </c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2.75" customHeight="1">
      <c r="A236" s="19" t="str">
        <f t="shared" si="1"/>
        <v>Frank Gerritsma ideasforinnovation</v>
      </c>
      <c r="B236" s="19" t="s">
        <v>1682</v>
      </c>
      <c r="C236" s="20" t="s">
        <v>646</v>
      </c>
      <c r="D236" s="20" t="s">
        <v>1683</v>
      </c>
      <c r="E236" s="21" t="s">
        <v>1684</v>
      </c>
      <c r="F236" s="23" t="s">
        <v>1685</v>
      </c>
      <c r="G236" s="42" t="s">
        <v>1306</v>
      </c>
      <c r="H236" s="13" t="s">
        <v>213</v>
      </c>
      <c r="I236" s="23"/>
      <c r="J236" s="35"/>
      <c r="K236" s="27" t="s">
        <v>32</v>
      </c>
      <c r="L236" s="27" t="s">
        <v>550</v>
      </c>
      <c r="M236" s="26" t="str">
        <f>VLOOKUP(E236,'MTS 2026 registrations'!B:B,1,false)</f>
        <v>#N/A</v>
      </c>
      <c r="N236" s="26" t="str">
        <f>VLOOKUP(B236,'MTS 2026 registrations'!A:A,1,false)</f>
        <v>#N/A</v>
      </c>
      <c r="O236" s="38" t="str">
        <f t="shared" si="2"/>
        <v>Marked</v>
      </c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2.75" customHeight="1">
      <c r="A237" s="19" t="str">
        <f t="shared" si="1"/>
        <v>Frank Lemmink Independent</v>
      </c>
      <c r="B237" s="19" t="s">
        <v>1686</v>
      </c>
      <c r="C237" s="13" t="s">
        <v>646</v>
      </c>
      <c r="D237" s="13" t="s">
        <v>1687</v>
      </c>
      <c r="E237" s="13" t="s">
        <v>1688</v>
      </c>
      <c r="F237" s="66" t="s">
        <v>1209</v>
      </c>
      <c r="G237" s="24" t="s">
        <v>225</v>
      </c>
      <c r="H237" s="25" t="s">
        <v>47</v>
      </c>
      <c r="I237" s="34"/>
      <c r="J237" s="35"/>
      <c r="K237" s="27" t="s">
        <v>32</v>
      </c>
      <c r="L237" s="27" t="s">
        <v>550</v>
      </c>
      <c r="M237" s="26" t="str">
        <f>VLOOKUP(E237,'MTS 2026 registrations'!B:B,1,false)</f>
        <v>#N/A</v>
      </c>
      <c r="N237" s="26" t="str">
        <f>VLOOKUP(B237,'MTS 2026 registrations'!A:A,1,false)</f>
        <v>#N/A</v>
      </c>
      <c r="O237" s="38" t="str">
        <f t="shared" si="2"/>
        <v>Marked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</row>
    <row r="238" ht="12.75" customHeight="1">
      <c r="A238" s="19" t="str">
        <f t="shared" si="1"/>
        <v>Frans Nauta facultyofimpact</v>
      </c>
      <c r="B238" s="19" t="s">
        <v>1689</v>
      </c>
      <c r="C238" s="29" t="s">
        <v>1690</v>
      </c>
      <c r="D238" s="29" t="s">
        <v>1691</v>
      </c>
      <c r="E238" s="30" t="s">
        <v>1692</v>
      </c>
      <c r="F238" s="29" t="s">
        <v>1693</v>
      </c>
      <c r="G238" s="32" t="s">
        <v>43</v>
      </c>
      <c r="H238" s="13" t="s">
        <v>213</v>
      </c>
      <c r="I238" s="23"/>
      <c r="J238" s="35"/>
      <c r="K238" s="27" t="s">
        <v>32</v>
      </c>
      <c r="L238" s="27" t="s">
        <v>550</v>
      </c>
      <c r="M238" s="26" t="str">
        <f>VLOOKUP(E238,'MTS 2026 registrations'!B:B,1,false)</f>
        <v>#N/A</v>
      </c>
      <c r="N238" s="26" t="str">
        <f>VLOOKUP(B238,'MTS 2026 registrations'!A:A,1,false)</f>
        <v>#N/A</v>
      </c>
      <c r="O238" s="38" t="str">
        <f t="shared" si="2"/>
        <v>Marked</v>
      </c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2.75" customHeight="1">
      <c r="A239" s="19" t="str">
        <f t="shared" si="1"/>
        <v>Frans van Helden ortec</v>
      </c>
      <c r="B239" s="19" t="s">
        <v>1694</v>
      </c>
      <c r="C239" s="20" t="s">
        <v>1690</v>
      </c>
      <c r="D239" s="20" t="s">
        <v>1695</v>
      </c>
      <c r="E239" s="21" t="s">
        <v>1696</v>
      </c>
      <c r="F239" s="23" t="s">
        <v>1697</v>
      </c>
      <c r="G239" s="42" t="s">
        <v>1306</v>
      </c>
      <c r="H239" s="13" t="s">
        <v>213</v>
      </c>
      <c r="I239" s="23"/>
      <c r="J239" s="35"/>
      <c r="K239" s="27" t="s">
        <v>32</v>
      </c>
      <c r="L239" s="27" t="s">
        <v>550</v>
      </c>
      <c r="M239" s="26" t="str">
        <f>VLOOKUP(E239,'MTS 2026 registrations'!B:B,1,false)</f>
        <v>#N/A</v>
      </c>
      <c r="N239" s="26" t="str">
        <f>VLOOKUP(B239,'MTS 2026 registrations'!A:A,1,false)</f>
        <v>#N/A</v>
      </c>
      <c r="O239" s="38" t="str">
        <f t="shared" si="2"/>
        <v>Marked</v>
      </c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34"/>
      <c r="AE239" s="34"/>
    </row>
    <row r="240" ht="12.75" customHeight="1">
      <c r="A240" s="19" t="str">
        <f t="shared" si="1"/>
        <v>Frederick Stokkelaar airbridge</v>
      </c>
      <c r="B240" s="19" t="s">
        <v>1698</v>
      </c>
      <c r="C240" s="20" t="s">
        <v>1699</v>
      </c>
      <c r="D240" s="20" t="s">
        <v>1700</v>
      </c>
      <c r="E240" s="21" t="s">
        <v>1701</v>
      </c>
      <c r="F240" s="23" t="s">
        <v>1702</v>
      </c>
      <c r="G240" s="24" t="s">
        <v>163</v>
      </c>
      <c r="H240" s="25" t="s">
        <v>164</v>
      </c>
      <c r="I240" s="26"/>
      <c r="J240" s="35"/>
      <c r="K240" s="27" t="s">
        <v>32</v>
      </c>
      <c r="L240" s="27" t="s">
        <v>550</v>
      </c>
      <c r="M240" s="26" t="str">
        <f>VLOOKUP(E240,'MTS 2026 registrations'!B:B,1,false)</f>
        <v>#N/A</v>
      </c>
      <c r="N240" s="26" t="str">
        <f>VLOOKUP(B240,'MTS 2026 registrations'!A:A,1,false)</f>
        <v>#N/A</v>
      </c>
      <c r="O240" s="38" t="str">
        <f t="shared" si="2"/>
        <v>Marked</v>
      </c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2.75" customHeight="1">
      <c r="A241" s="19" t="str">
        <f t="shared" si="1"/>
        <v>Gabi Ouwerkerk telegraaf</v>
      </c>
      <c r="B241" s="19" t="s">
        <v>1703</v>
      </c>
      <c r="C241" s="43" t="s">
        <v>1704</v>
      </c>
      <c r="D241" s="43" t="s">
        <v>1705</v>
      </c>
      <c r="E241" s="31" t="s">
        <v>1706</v>
      </c>
      <c r="F241" s="33" t="s">
        <v>1707</v>
      </c>
      <c r="G241" s="51" t="s">
        <v>1708</v>
      </c>
      <c r="H241" s="25" t="s">
        <v>139</v>
      </c>
      <c r="I241" s="34"/>
      <c r="J241" s="114" t="s">
        <v>1072</v>
      </c>
      <c r="K241" s="27" t="s">
        <v>1709</v>
      </c>
      <c r="L241" s="27" t="s">
        <v>550</v>
      </c>
      <c r="M241" s="26" t="str">
        <f>VLOOKUP(E241,'MTS 2026 registrations'!B:B,1,false)</f>
        <v>#N/A</v>
      </c>
      <c r="N241" s="26" t="str">
        <f>VLOOKUP(B241,'MTS 2026 registrations'!A:A,1,false)</f>
        <v>#N/A</v>
      </c>
      <c r="O241" s="38" t="str">
        <f t="shared" si="2"/>
        <v>Marked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</row>
    <row r="242" ht="12.75" customHeight="1">
      <c r="A242" s="19" t="str">
        <f t="shared" si="1"/>
        <v>Gaby Ouwerkerk Telegraaf</v>
      </c>
      <c r="B242" s="19" t="s">
        <v>1710</v>
      </c>
      <c r="C242" s="116" t="s">
        <v>1711</v>
      </c>
      <c r="D242" s="116" t="s">
        <v>1705</v>
      </c>
      <c r="E242" s="30" t="s">
        <v>1712</v>
      </c>
      <c r="F242" s="49" t="s">
        <v>1713</v>
      </c>
      <c r="G242" s="24" t="s">
        <v>1593</v>
      </c>
      <c r="H242" s="13" t="s">
        <v>57</v>
      </c>
      <c r="I242" s="23"/>
      <c r="J242" s="114" t="s">
        <v>1072</v>
      </c>
      <c r="K242" s="27" t="s">
        <v>1709</v>
      </c>
      <c r="L242" s="27" t="s">
        <v>550</v>
      </c>
      <c r="M242" s="26" t="str">
        <f>VLOOKUP(E242,'MTS 2026 registrations'!B:B,1,false)</f>
        <v>#N/A</v>
      </c>
      <c r="N242" s="26" t="str">
        <f>VLOOKUP(B242,'MTS 2026 registrations'!A:A,1,false)</f>
        <v>#N/A</v>
      </c>
      <c r="O242" s="38" t="str">
        <f t="shared" si="2"/>
        <v>Marked</v>
      </c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2.75" customHeight="1">
      <c r="A243" s="19" t="str">
        <f t="shared" si="1"/>
        <v>Gerrie van der Beek fotoniq</v>
      </c>
      <c r="B243" s="19" t="s">
        <v>1714</v>
      </c>
      <c r="C243" s="20" t="s">
        <v>1715</v>
      </c>
      <c r="D243" s="20" t="s">
        <v>1716</v>
      </c>
      <c r="E243" s="21" t="s">
        <v>1717</v>
      </c>
      <c r="F243" s="23" t="s">
        <v>1718</v>
      </c>
      <c r="G243" s="24" t="s">
        <v>1306</v>
      </c>
      <c r="H243" s="25" t="s">
        <v>139</v>
      </c>
      <c r="I243" s="23"/>
      <c r="J243" s="35"/>
      <c r="K243" s="27" t="s">
        <v>32</v>
      </c>
      <c r="L243" s="27" t="s">
        <v>550</v>
      </c>
      <c r="M243" s="26" t="str">
        <f>VLOOKUP(E243,'MTS 2026 registrations'!B:B,1,false)</f>
        <v>#N/A</v>
      </c>
      <c r="N243" s="26" t="str">
        <f>VLOOKUP(B243,'MTS 2026 registrations'!A:A,1,false)</f>
        <v>#N/A</v>
      </c>
      <c r="O243" s="38" t="str">
        <f t="shared" si="2"/>
        <v>Marked</v>
      </c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2.75" customHeight="1">
      <c r="A244" s="19" t="str">
        <f t="shared" si="1"/>
        <v>Gijs van de Molengraft gritd</v>
      </c>
      <c r="B244" s="19" t="s">
        <v>1719</v>
      </c>
      <c r="C244" s="29" t="s">
        <v>1720</v>
      </c>
      <c r="D244" s="29" t="s">
        <v>1721</v>
      </c>
      <c r="E244" s="30" t="s">
        <v>1722</v>
      </c>
      <c r="F244" s="29" t="s">
        <v>1723</v>
      </c>
      <c r="G244" s="32" t="s">
        <v>1306</v>
      </c>
      <c r="H244" s="13" t="s">
        <v>213</v>
      </c>
      <c r="I244" s="23"/>
      <c r="J244" s="35"/>
      <c r="K244" s="27" t="s">
        <v>32</v>
      </c>
      <c r="L244" s="27" t="s">
        <v>550</v>
      </c>
      <c r="M244" s="26" t="str">
        <f>VLOOKUP(E244,'MTS 2026 registrations'!B:B,1,false)</f>
        <v>#N/A</v>
      </c>
      <c r="N244" s="26" t="str">
        <f>VLOOKUP(B244,'MTS 2026 registrations'!A:A,1,false)</f>
        <v>#N/A</v>
      </c>
      <c r="O244" s="38" t="str">
        <f t="shared" si="2"/>
        <v>Marked</v>
      </c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2.75" customHeight="1">
      <c r="A245" s="19" t="str">
        <f t="shared" si="1"/>
        <v>Girts Kagis beesage.co</v>
      </c>
      <c r="B245" s="19" t="s">
        <v>1724</v>
      </c>
      <c r="C245" s="20" t="s">
        <v>1725</v>
      </c>
      <c r="D245" s="20" t="s">
        <v>1726</v>
      </c>
      <c r="E245" s="21" t="s">
        <v>1727</v>
      </c>
      <c r="F245" s="23" t="s">
        <v>1728</v>
      </c>
      <c r="G245" s="32" t="s">
        <v>46</v>
      </c>
      <c r="H245" s="25" t="s">
        <v>47</v>
      </c>
      <c r="I245" s="26"/>
      <c r="J245" s="35"/>
      <c r="K245" s="27" t="s">
        <v>32</v>
      </c>
      <c r="L245" s="27" t="s">
        <v>550</v>
      </c>
      <c r="M245" s="26" t="str">
        <f>VLOOKUP(E245,'MTS 2026 registrations'!B:B,1,false)</f>
        <v>#N/A</v>
      </c>
      <c r="N245" s="26" t="str">
        <f>VLOOKUP(B245,'MTS 2026 registrations'!A:A,1,false)</f>
        <v>#N/A</v>
      </c>
      <c r="O245" s="38" t="str">
        <f t="shared" si="2"/>
        <v>Marked</v>
      </c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2.75" customHeight="1">
      <c r="A246" s="19" t="str">
        <f t="shared" si="1"/>
        <v>Guus Meijer bluecity</v>
      </c>
      <c r="B246" s="19" t="s">
        <v>1729</v>
      </c>
      <c r="C246" s="60" t="s">
        <v>1730</v>
      </c>
      <c r="D246" s="60" t="s">
        <v>1731</v>
      </c>
      <c r="E246" s="31" t="s">
        <v>1732</v>
      </c>
      <c r="F246" s="64" t="s">
        <v>1733</v>
      </c>
      <c r="G246" s="24" t="s">
        <v>29</v>
      </c>
      <c r="H246" s="25" t="s">
        <v>139</v>
      </c>
      <c r="I246" s="34"/>
      <c r="J246" s="35"/>
      <c r="K246" s="27" t="s">
        <v>32</v>
      </c>
      <c r="L246" s="27" t="s">
        <v>550</v>
      </c>
      <c r="M246" s="26" t="str">
        <f>VLOOKUP(E246,'MTS 2026 registrations'!B:B,1,false)</f>
        <v>#N/A</v>
      </c>
      <c r="N246" s="26" t="str">
        <f>VLOOKUP(B246,'MTS 2026 registrations'!A:A,1,false)</f>
        <v>#N/A</v>
      </c>
      <c r="O246" s="38" t="str">
        <f t="shared" si="2"/>
        <v>Marked</v>
      </c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34"/>
      <c r="AE246" s="34"/>
    </row>
    <row r="247" ht="12.75" customHeight="1">
      <c r="A247" s="19" t="str">
        <f t="shared" si="1"/>
        <v>Hans Kamperman primevision</v>
      </c>
      <c r="B247" s="19" t="s">
        <v>1734</v>
      </c>
      <c r="C247" s="20" t="s">
        <v>664</v>
      </c>
      <c r="D247" s="20" t="s">
        <v>1735</v>
      </c>
      <c r="E247" s="21" t="s">
        <v>1736</v>
      </c>
      <c r="F247" s="23" t="s">
        <v>565</v>
      </c>
      <c r="G247" s="24" t="s">
        <v>56</v>
      </c>
      <c r="H247" s="13" t="s">
        <v>213</v>
      </c>
      <c r="I247" s="23"/>
      <c r="J247" s="35"/>
      <c r="K247" s="27" t="s">
        <v>32</v>
      </c>
      <c r="L247" s="27" t="s">
        <v>550</v>
      </c>
      <c r="M247" s="26" t="str">
        <f>VLOOKUP(E247,'MTS 2026 registrations'!B:B,1,false)</f>
        <v>#N/A</v>
      </c>
      <c r="N247" s="26" t="str">
        <f>VLOOKUP(B247,'MTS 2026 registrations'!A:A,1,false)</f>
        <v>#N/A</v>
      </c>
      <c r="O247" s="38" t="str">
        <f t="shared" si="2"/>
        <v>Marked</v>
      </c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34"/>
      <c r="AE247" s="34"/>
    </row>
    <row r="248" ht="12.75" customHeight="1">
      <c r="A248" s="19" t="str">
        <f t="shared" si="1"/>
        <v>Hans Drenth vu</v>
      </c>
      <c r="B248" s="19" t="s">
        <v>1737</v>
      </c>
      <c r="C248" s="29" t="s">
        <v>664</v>
      </c>
      <c r="D248" s="29" t="s">
        <v>1738</v>
      </c>
      <c r="E248" s="30" t="s">
        <v>1739</v>
      </c>
      <c r="F248" s="29" t="s">
        <v>1740</v>
      </c>
      <c r="G248" s="32" t="s">
        <v>43</v>
      </c>
      <c r="H248" s="13" t="s">
        <v>213</v>
      </c>
      <c r="I248" s="34"/>
      <c r="J248" s="35"/>
      <c r="K248" s="27" t="s">
        <v>32</v>
      </c>
      <c r="L248" s="27" t="s">
        <v>550</v>
      </c>
      <c r="M248" s="26" t="str">
        <f>VLOOKUP(E248,'MTS 2026 registrations'!B:B,1,false)</f>
        <v>#N/A</v>
      </c>
      <c r="N248" s="26" t="str">
        <f>VLOOKUP(B248,'MTS 2026 registrations'!A:A,1,false)</f>
        <v>#N/A</v>
      </c>
      <c r="O248" s="38" t="str">
        <f t="shared" si="2"/>
        <v>Marked</v>
      </c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34"/>
      <c r="AE248" s="34"/>
    </row>
    <row r="249" ht="12.75" customHeight="1">
      <c r="A249" s="19" t="str">
        <f t="shared" si="1"/>
        <v>Harrij Schmeitz </v>
      </c>
      <c r="B249" s="19" t="s">
        <v>1741</v>
      </c>
      <c r="C249" s="29" t="s">
        <v>1742</v>
      </c>
      <c r="D249" s="29" t="s">
        <v>1743</v>
      </c>
      <c r="E249" s="30" t="s">
        <v>1744</v>
      </c>
      <c r="F249" s="29"/>
      <c r="G249" s="144"/>
      <c r="H249" s="13" t="s">
        <v>213</v>
      </c>
      <c r="I249" s="34"/>
      <c r="J249" s="35"/>
      <c r="K249" s="27" t="s">
        <v>32</v>
      </c>
      <c r="L249" s="27" t="s">
        <v>550</v>
      </c>
      <c r="M249" s="26" t="str">
        <f>VLOOKUP(E249,'MTS 2026 registrations'!B:B,1,false)</f>
        <v>#N/A</v>
      </c>
      <c r="N249" s="26" t="str">
        <f>VLOOKUP(B249,'MTS 2026 registrations'!A:A,1,false)</f>
        <v>#N/A</v>
      </c>
      <c r="O249" s="38" t="str">
        <f t="shared" si="2"/>
        <v>Marked</v>
      </c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</row>
    <row r="250" ht="12.75" customHeight="1">
      <c r="A250" s="19" t="str">
        <f t="shared" si="1"/>
        <v>Harry de Grijs </v>
      </c>
      <c r="B250" s="19" t="s">
        <v>1745</v>
      </c>
      <c r="C250" s="20" t="s">
        <v>1746</v>
      </c>
      <c r="D250" s="20" t="s">
        <v>1747</v>
      </c>
      <c r="E250" s="21" t="s">
        <v>1748</v>
      </c>
      <c r="F250" s="52"/>
      <c r="G250" s="24" t="s">
        <v>225</v>
      </c>
      <c r="H250" s="25" t="s">
        <v>47</v>
      </c>
      <c r="I250" s="26"/>
      <c r="J250" s="35"/>
      <c r="K250" s="27" t="s">
        <v>32</v>
      </c>
      <c r="L250" s="27" t="s">
        <v>550</v>
      </c>
      <c r="M250" s="26" t="str">
        <f>VLOOKUP(E250,'MTS 2026 registrations'!B:B,1,false)</f>
        <v>#N/A</v>
      </c>
      <c r="N250" s="26" t="str">
        <f>VLOOKUP(B250,'MTS 2026 registrations'!A:A,1,false)</f>
        <v>#N/A</v>
      </c>
      <c r="O250" s="38" t="str">
        <f t="shared" si="2"/>
        <v>Marked</v>
      </c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34"/>
      <c r="AE250" s="34"/>
    </row>
    <row r="251" ht="12.75" customHeight="1">
      <c r="A251" s="19" t="str">
        <f t="shared" si="1"/>
        <v>Helmut Schönenberger unternehmertum</v>
      </c>
      <c r="B251" s="19" t="s">
        <v>1749</v>
      </c>
      <c r="C251" s="60" t="s">
        <v>1750</v>
      </c>
      <c r="D251" s="60" t="s">
        <v>1751</v>
      </c>
      <c r="E251" s="62" t="s">
        <v>1752</v>
      </c>
      <c r="F251" s="64" t="s">
        <v>1753</v>
      </c>
      <c r="G251" s="24" t="s">
        <v>29</v>
      </c>
      <c r="H251" s="25" t="s">
        <v>139</v>
      </c>
      <c r="I251" s="34"/>
      <c r="J251" s="35"/>
      <c r="K251" s="27" t="s">
        <v>32</v>
      </c>
      <c r="L251" s="27" t="s">
        <v>550</v>
      </c>
      <c r="M251" s="26" t="str">
        <f>VLOOKUP(E251,'MTS 2026 registrations'!B:B,1,false)</f>
        <v>#N/A</v>
      </c>
      <c r="N251" s="26" t="str">
        <f>VLOOKUP(B251,'MTS 2026 registrations'!A:A,1,false)</f>
        <v>#N/A</v>
      </c>
      <c r="O251" s="38" t="str">
        <f t="shared" si="2"/>
        <v>Marked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</row>
    <row r="252" ht="12.75" customHeight="1">
      <c r="A252" s="19" t="str">
        <f t="shared" si="1"/>
        <v>Hendrik unknowngroup</v>
      </c>
      <c r="B252" s="19" t="s">
        <v>1754</v>
      </c>
      <c r="C252" s="72" t="s">
        <v>1754</v>
      </c>
      <c r="D252" s="145"/>
      <c r="E252" s="30" t="s">
        <v>1755</v>
      </c>
      <c r="F252" s="29" t="s">
        <v>1756</v>
      </c>
      <c r="G252" s="24" t="s">
        <v>29</v>
      </c>
      <c r="H252" s="13" t="s">
        <v>45</v>
      </c>
      <c r="I252" s="34"/>
      <c r="J252" s="35"/>
      <c r="K252" s="27" t="s">
        <v>32</v>
      </c>
      <c r="L252" s="27" t="s">
        <v>550</v>
      </c>
      <c r="M252" s="26" t="str">
        <f>VLOOKUP(E252,'MTS 2026 registrations'!B:B,1,false)</f>
        <v>#N/A</v>
      </c>
      <c r="N252" s="26" t="str">
        <f>VLOOKUP(B252,'MTS 2026 registrations'!A:A,1,false)</f>
        <v>#N/A</v>
      </c>
      <c r="O252" s="38" t="str">
        <f t="shared" si="2"/>
        <v>Marked</v>
      </c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23"/>
      <c r="AE252" s="23"/>
    </row>
    <row r="253" ht="12.75" customHeight="1">
      <c r="A253" s="19" t="str">
        <f t="shared" si="1"/>
        <v>Hessel van Oorschot pzh</v>
      </c>
      <c r="B253" s="19" t="s">
        <v>1757</v>
      </c>
      <c r="C253" s="60" t="s">
        <v>1758</v>
      </c>
      <c r="D253" s="60" t="s">
        <v>789</v>
      </c>
      <c r="E253" s="62" t="s">
        <v>1759</v>
      </c>
      <c r="F253" s="64" t="s">
        <v>1532</v>
      </c>
      <c r="G253" s="42" t="s">
        <v>323</v>
      </c>
      <c r="H253" s="25" t="s">
        <v>139</v>
      </c>
      <c r="I253" s="23"/>
      <c r="J253" s="35"/>
      <c r="K253" s="27" t="s">
        <v>32</v>
      </c>
      <c r="L253" s="27" t="s">
        <v>550</v>
      </c>
      <c r="M253" s="26" t="str">
        <f>VLOOKUP(E253,'MTS 2026 registrations'!B:B,1,false)</f>
        <v>#N/A</v>
      </c>
      <c r="N253" s="26" t="str">
        <f>VLOOKUP(B253,'MTS 2026 registrations'!A:A,1,false)</f>
        <v>#N/A</v>
      </c>
      <c r="O253" s="38" t="str">
        <f t="shared" si="2"/>
        <v>Marked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34"/>
      <c r="AE253" s="34"/>
    </row>
    <row r="254" ht="12.75" customHeight="1">
      <c r="A254" s="19" t="str">
        <f t="shared" si="1"/>
        <v>Ilse Gottlieb swapfiets</v>
      </c>
      <c r="B254" s="19" t="s">
        <v>1760</v>
      </c>
      <c r="C254" s="29" t="s">
        <v>1242</v>
      </c>
      <c r="D254" s="29" t="s">
        <v>1761</v>
      </c>
      <c r="E254" s="30" t="s">
        <v>1762</v>
      </c>
      <c r="F254" s="29" t="s">
        <v>1763</v>
      </c>
      <c r="G254" s="32" t="s">
        <v>46</v>
      </c>
      <c r="H254" s="13" t="s">
        <v>213</v>
      </c>
      <c r="I254" s="23"/>
      <c r="J254" s="35"/>
      <c r="K254" s="27" t="s">
        <v>32</v>
      </c>
      <c r="L254" s="27" t="s">
        <v>550</v>
      </c>
      <c r="M254" s="26" t="str">
        <f>VLOOKUP(E254,'MTS 2026 registrations'!B:B,1,false)</f>
        <v>#N/A</v>
      </c>
      <c r="N254" s="26" t="str">
        <f>VLOOKUP(B254,'MTS 2026 registrations'!A:A,1,false)</f>
        <v>#N/A</v>
      </c>
      <c r="O254" s="38" t="str">
        <f t="shared" si="2"/>
        <v>Marked</v>
      </c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34"/>
      <c r="AE254" s="34"/>
    </row>
    <row r="255" ht="12.75" customHeight="1">
      <c r="A255" s="19" t="str">
        <f t="shared" si="1"/>
        <v>Impact EUR eur</v>
      </c>
      <c r="B255" s="19" t="s">
        <v>1764</v>
      </c>
      <c r="C255" s="29" t="s">
        <v>1765</v>
      </c>
      <c r="D255" s="29" t="s">
        <v>1766</v>
      </c>
      <c r="E255" s="30" t="s">
        <v>1767</v>
      </c>
      <c r="F255" s="29" t="s">
        <v>41</v>
      </c>
      <c r="G255" s="32" t="s">
        <v>43</v>
      </c>
      <c r="H255" s="13" t="s">
        <v>45</v>
      </c>
      <c r="I255" s="34"/>
      <c r="J255" s="35"/>
      <c r="K255" s="27" t="s">
        <v>32</v>
      </c>
      <c r="L255" s="27" t="s">
        <v>550</v>
      </c>
      <c r="M255" s="26" t="str">
        <f>VLOOKUP(E255,'MTS 2026 registrations'!B:B,1,false)</f>
        <v>#N/A</v>
      </c>
      <c r="N255" s="26" t="str">
        <f>VLOOKUP(B255,'MTS 2026 registrations'!A:A,1,false)</f>
        <v>#N/A</v>
      </c>
      <c r="O255" s="38" t="str">
        <f t="shared" si="2"/>
        <v>Marked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</row>
    <row r="256" ht="12.75" customHeight="1">
      <c r="A256" s="19" t="str">
        <f t="shared" si="1"/>
        <v>Isabel Salomons quooker</v>
      </c>
      <c r="B256" s="19" t="s">
        <v>1768</v>
      </c>
      <c r="C256" s="20" t="s">
        <v>1769</v>
      </c>
      <c r="D256" s="20" t="s">
        <v>1770</v>
      </c>
      <c r="E256" s="21" t="s">
        <v>1771</v>
      </c>
      <c r="F256" s="23" t="s">
        <v>1772</v>
      </c>
      <c r="G256" s="24" t="s">
        <v>56</v>
      </c>
      <c r="H256" s="25" t="s">
        <v>139</v>
      </c>
      <c r="I256" s="23"/>
      <c r="J256" s="35"/>
      <c r="K256" s="27" t="s">
        <v>32</v>
      </c>
      <c r="L256" s="27" t="s">
        <v>550</v>
      </c>
      <c r="M256" s="26" t="str">
        <f>VLOOKUP(E256,'MTS 2026 registrations'!B:B,1,false)</f>
        <v>#N/A</v>
      </c>
      <c r="N256" s="26" t="str">
        <f>VLOOKUP(B256,'MTS 2026 registrations'!A:A,1,false)</f>
        <v>#N/A</v>
      </c>
      <c r="O256" s="38" t="str">
        <f t="shared" si="2"/>
        <v>Marked</v>
      </c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34"/>
      <c r="AE256" s="34"/>
    </row>
    <row r="257" ht="12.75" customHeight="1">
      <c r="A257" s="19" t="str">
        <f t="shared" si="1"/>
        <v>Iskandar Tange codingthecurbs</v>
      </c>
      <c r="B257" s="19" t="s">
        <v>1773</v>
      </c>
      <c r="C257" s="20" t="s">
        <v>1774</v>
      </c>
      <c r="D257" s="20" t="s">
        <v>1775</v>
      </c>
      <c r="E257" s="21" t="s">
        <v>1776</v>
      </c>
      <c r="F257" s="23" t="s">
        <v>1518</v>
      </c>
      <c r="G257" s="32" t="s">
        <v>46</v>
      </c>
      <c r="H257" s="25" t="s">
        <v>47</v>
      </c>
      <c r="I257" s="26"/>
      <c r="J257" s="35"/>
      <c r="K257" s="27" t="s">
        <v>32</v>
      </c>
      <c r="L257" s="27" t="s">
        <v>550</v>
      </c>
      <c r="M257" s="26" t="str">
        <f>VLOOKUP(E257,'MTS 2026 registrations'!B:B,1,false)</f>
        <v>#N/A</v>
      </c>
      <c r="N257" s="26" t="str">
        <f>VLOOKUP(B257,'MTS 2026 registrations'!A:A,1,false)</f>
        <v>#N/A</v>
      </c>
      <c r="O257" s="38" t="str">
        <f t="shared" si="2"/>
        <v>Marked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34"/>
      <c r="AE257" s="34"/>
    </row>
    <row r="258" ht="12.75" customHeight="1">
      <c r="A258" s="19" t="str">
        <f t="shared" si="1"/>
        <v>Jan van der Velde eneco</v>
      </c>
      <c r="B258" s="19" t="s">
        <v>1777</v>
      </c>
      <c r="C258" s="72" t="s">
        <v>709</v>
      </c>
      <c r="D258" s="72" t="s">
        <v>1778</v>
      </c>
      <c r="E258" s="30" t="s">
        <v>1779</v>
      </c>
      <c r="F258" s="29" t="s">
        <v>1780</v>
      </c>
      <c r="G258" s="32" t="s">
        <v>56</v>
      </c>
      <c r="H258" s="13" t="s">
        <v>213</v>
      </c>
      <c r="I258" s="23"/>
      <c r="J258" s="35"/>
      <c r="K258" s="27" t="s">
        <v>32</v>
      </c>
      <c r="L258" s="146" t="s">
        <v>550</v>
      </c>
      <c r="M258" s="26" t="str">
        <f>VLOOKUP(E258,'MTS 2026 registrations'!B:B,1,false)</f>
        <v>#N/A</v>
      </c>
      <c r="N258" s="26" t="str">
        <f>VLOOKUP(B258,'MTS 2026 registrations'!A:A,1,false)</f>
        <v>#N/A</v>
      </c>
      <c r="O258" s="38" t="str">
        <f t="shared" si="2"/>
        <v>Marked</v>
      </c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34"/>
      <c r="AE258" s="34"/>
    </row>
    <row r="259" ht="12.75" customHeight="1">
      <c r="A259" s="19" t="str">
        <f t="shared" si="1"/>
        <v>Jan de Ruiter volkerwessels</v>
      </c>
      <c r="B259" s="19" t="s">
        <v>1781</v>
      </c>
      <c r="C259" s="20" t="s">
        <v>709</v>
      </c>
      <c r="D259" s="20" t="s">
        <v>1782</v>
      </c>
      <c r="E259" s="21" t="s">
        <v>1783</v>
      </c>
      <c r="F259" s="23" t="s">
        <v>1784</v>
      </c>
      <c r="G259" s="24" t="s">
        <v>56</v>
      </c>
      <c r="H259" s="25" t="s">
        <v>139</v>
      </c>
      <c r="I259" s="26"/>
      <c r="J259" s="35"/>
      <c r="K259" s="27" t="s">
        <v>32</v>
      </c>
      <c r="L259" s="27" t="s">
        <v>550</v>
      </c>
      <c r="M259" s="26" t="str">
        <f>VLOOKUP(E259,'MTS 2026 registrations'!B:B,1,false)</f>
        <v>#N/A</v>
      </c>
      <c r="N259" s="26" t="str">
        <f>VLOOKUP(B259,'MTS 2026 registrations'!A:A,1,false)</f>
        <v>#N/A</v>
      </c>
      <c r="O259" s="38" t="str">
        <f t="shared" si="2"/>
        <v>Marked</v>
      </c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34"/>
      <c r="AE259" s="34"/>
    </row>
    <row r="260" ht="12.75" customHeight="1">
      <c r="A260" s="19" t="str">
        <f t="shared" si="1"/>
        <v>Jasper Houtman FD</v>
      </c>
      <c r="B260" s="19" t="s">
        <v>1785</v>
      </c>
      <c r="C260" s="116" t="s">
        <v>715</v>
      </c>
      <c r="D260" s="117" t="s">
        <v>1786</v>
      </c>
      <c r="E260" s="147" t="s">
        <v>1787</v>
      </c>
      <c r="F260" s="49" t="s">
        <v>1788</v>
      </c>
      <c r="G260" s="24" t="s">
        <v>1593</v>
      </c>
      <c r="H260" s="13" t="s">
        <v>57</v>
      </c>
      <c r="I260" s="23"/>
      <c r="J260" s="114" t="s">
        <v>1072</v>
      </c>
      <c r="K260" s="27" t="s">
        <v>1709</v>
      </c>
      <c r="L260" s="27" t="s">
        <v>550</v>
      </c>
      <c r="M260" s="26" t="str">
        <f>VLOOKUP(E260,'MTS 2026 registrations'!B:B,1,false)</f>
        <v>#N/A</v>
      </c>
      <c r="N260" s="26" t="str">
        <f>VLOOKUP(B260,'MTS 2026 registrations'!A:A,1,false)</f>
        <v>#N/A</v>
      </c>
      <c r="O260" s="38" t="str">
        <f t="shared" si="2"/>
        <v>Marked</v>
      </c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34"/>
      <c r="AE260" s="34"/>
    </row>
    <row r="261" ht="12.75" customHeight="1">
      <c r="A261" s="19" t="str">
        <f t="shared" si="1"/>
        <v>Jasper Baggerman </v>
      </c>
      <c r="B261" s="19" t="s">
        <v>1789</v>
      </c>
      <c r="C261" s="20" t="s">
        <v>715</v>
      </c>
      <c r="D261" s="20" t="s">
        <v>1790</v>
      </c>
      <c r="E261" s="21" t="s">
        <v>1791</v>
      </c>
      <c r="F261" s="52"/>
      <c r="G261" s="24" t="s">
        <v>225</v>
      </c>
      <c r="H261" s="25" t="s">
        <v>47</v>
      </c>
      <c r="I261" s="26"/>
      <c r="J261" s="35"/>
      <c r="K261" s="27" t="s">
        <v>32</v>
      </c>
      <c r="L261" s="27" t="s">
        <v>550</v>
      </c>
      <c r="M261" s="26" t="str">
        <f>VLOOKUP(E261,'MTS 2026 registrations'!B:B,1,false)</f>
        <v>#N/A</v>
      </c>
      <c r="N261" s="26" t="str">
        <f>VLOOKUP(B261,'MTS 2026 registrations'!A:A,1,false)</f>
        <v>#N/A</v>
      </c>
      <c r="O261" s="38" t="str">
        <f t="shared" si="2"/>
        <v>Marked</v>
      </c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34"/>
      <c r="AE261" s="34"/>
    </row>
    <row r="262" ht="12.75" customHeight="1">
      <c r="A262" s="19" t="str">
        <f t="shared" si="1"/>
        <v>Jens Kemna </v>
      </c>
      <c r="B262" s="19" t="s">
        <v>1792</v>
      </c>
      <c r="C262" s="20" t="s">
        <v>419</v>
      </c>
      <c r="D262" s="20" t="s">
        <v>1793</v>
      </c>
      <c r="E262" s="21" t="s">
        <v>1794</v>
      </c>
      <c r="F262" s="52"/>
      <c r="G262" s="24" t="s">
        <v>225</v>
      </c>
      <c r="H262" s="25" t="s">
        <v>47</v>
      </c>
      <c r="I262" s="26"/>
      <c r="J262" s="35"/>
      <c r="K262" s="27" t="s">
        <v>32</v>
      </c>
      <c r="L262" s="27" t="s">
        <v>550</v>
      </c>
      <c r="M262" s="26" t="str">
        <f>VLOOKUP(E262,'MTS 2026 registrations'!B:B,1,false)</f>
        <v>#N/A</v>
      </c>
      <c r="N262" s="26" t="str">
        <f>VLOOKUP(B262,'MTS 2026 registrations'!A:A,1,false)</f>
        <v>#N/A</v>
      </c>
      <c r="O262" s="38" t="str">
        <f t="shared" si="2"/>
        <v>Marked</v>
      </c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34"/>
      <c r="AE262" s="34"/>
    </row>
    <row r="263" ht="12.75" customHeight="1">
      <c r="A263" s="19" t="str">
        <f t="shared" si="1"/>
        <v>Jeroen Schouten grasp</v>
      </c>
      <c r="B263" s="19" t="s">
        <v>1795</v>
      </c>
      <c r="C263" s="20" t="s">
        <v>731</v>
      </c>
      <c r="D263" s="20" t="s">
        <v>1796</v>
      </c>
      <c r="E263" s="21" t="s">
        <v>1797</v>
      </c>
      <c r="F263" s="23" t="s">
        <v>1798</v>
      </c>
      <c r="G263" s="24" t="s">
        <v>225</v>
      </c>
      <c r="H263" s="25" t="s">
        <v>47</v>
      </c>
      <c r="I263" s="23"/>
      <c r="J263" s="35"/>
      <c r="K263" s="27" t="s">
        <v>32</v>
      </c>
      <c r="L263" s="27" t="s">
        <v>550</v>
      </c>
      <c r="M263" s="26" t="str">
        <f>VLOOKUP(E263,'MTS 2026 registrations'!B:B,1,false)</f>
        <v>#N/A</v>
      </c>
      <c r="N263" s="26" t="str">
        <f>VLOOKUP(B263,'MTS 2026 registrations'!A:A,1,false)</f>
        <v>#N/A</v>
      </c>
      <c r="O263" s="38" t="str">
        <f t="shared" si="2"/>
        <v>Marked</v>
      </c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2.75" customHeight="1">
      <c r="A264" s="19" t="str">
        <f t="shared" si="1"/>
        <v>Jeroen van Woerden TU Eindhoven</v>
      </c>
      <c r="B264" s="19" t="s">
        <v>1799</v>
      </c>
      <c r="C264" s="148" t="s">
        <v>731</v>
      </c>
      <c r="D264" s="149" t="s">
        <v>1800</v>
      </c>
      <c r="E264" s="48" t="s">
        <v>1801</v>
      </c>
      <c r="F264" s="135" t="s">
        <v>1802</v>
      </c>
      <c r="G264" s="44" t="s">
        <v>43</v>
      </c>
      <c r="H264" s="143" t="s">
        <v>139</v>
      </c>
      <c r="I264" s="34"/>
      <c r="J264" s="35"/>
      <c r="K264" s="27" t="s">
        <v>32</v>
      </c>
      <c r="L264" s="27" t="s">
        <v>550</v>
      </c>
      <c r="M264" s="26" t="str">
        <f>VLOOKUP(E264,'MTS 2026 registrations'!B:B,1,false)</f>
        <v>#N/A</v>
      </c>
      <c r="N264" s="26" t="str">
        <f>VLOOKUP(B264,'MTS 2026 registrations'!A:A,1,false)</f>
        <v>#N/A</v>
      </c>
      <c r="O264" s="38" t="str">
        <f t="shared" si="2"/>
        <v>Marked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34"/>
      <c r="AE264" s="34"/>
    </row>
    <row r="265" ht="12.75" customHeight="1">
      <c r="A265" s="19" t="str">
        <f t="shared" si="1"/>
        <v>Jeroen Lee twobirds</v>
      </c>
      <c r="B265" s="19" t="s">
        <v>1803</v>
      </c>
      <c r="C265" s="20" t="s">
        <v>1804</v>
      </c>
      <c r="D265" s="20" t="s">
        <v>1805</v>
      </c>
      <c r="E265" s="21" t="s">
        <v>1806</v>
      </c>
      <c r="F265" s="23" t="s">
        <v>1807</v>
      </c>
      <c r="G265" s="24" t="s">
        <v>1808</v>
      </c>
      <c r="H265" s="25" t="s">
        <v>31</v>
      </c>
      <c r="I265" s="26"/>
      <c r="J265" s="35"/>
      <c r="K265" s="27" t="s">
        <v>32</v>
      </c>
      <c r="L265" s="27" t="s">
        <v>550</v>
      </c>
      <c r="M265" s="26" t="str">
        <f>VLOOKUP(E265,'MTS 2026 registrations'!B:B,1,false)</f>
        <v>#N/A</v>
      </c>
      <c r="N265" s="26" t="str">
        <f>VLOOKUP(B265,'MTS 2026 registrations'!A:A,1,false)</f>
        <v>#N/A</v>
      </c>
      <c r="O265" s="38" t="str">
        <f t="shared" si="2"/>
        <v>Marked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34"/>
      <c r="AE265" s="34"/>
    </row>
    <row r="266" ht="15.0" customHeight="1">
      <c r="A266" s="19" t="str">
        <f t="shared" si="1"/>
        <v>Johanna Raats eur</v>
      </c>
      <c r="B266" s="19" t="s">
        <v>1809</v>
      </c>
      <c r="C266" s="20" t="s">
        <v>1810</v>
      </c>
      <c r="D266" s="20" t="s">
        <v>1811</v>
      </c>
      <c r="E266" s="21" t="s">
        <v>1812</v>
      </c>
      <c r="F266" s="23" t="s">
        <v>41</v>
      </c>
      <c r="G266" s="51" t="s">
        <v>43</v>
      </c>
      <c r="H266" s="25" t="s">
        <v>139</v>
      </c>
      <c r="I266" s="13"/>
      <c r="J266" s="35"/>
      <c r="K266" s="27" t="s">
        <v>32</v>
      </c>
      <c r="L266" s="27" t="s">
        <v>550</v>
      </c>
      <c r="M266" s="26" t="str">
        <f>VLOOKUP(E266,'MTS 2026 registrations'!B:B,1,false)</f>
        <v>#N/A</v>
      </c>
      <c r="N266" s="26" t="str">
        <f>VLOOKUP(B266,'MTS 2026 registrations'!A:A,1,false)</f>
        <v>#N/A</v>
      </c>
      <c r="O266" s="38" t="str">
        <f t="shared" si="2"/>
        <v>Marked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</row>
    <row r="267" ht="12.75" customHeight="1">
      <c r="A267" s="19" t="str">
        <f t="shared" si="1"/>
        <v>Jon Leijh mindef</v>
      </c>
      <c r="B267" s="19" t="s">
        <v>1813</v>
      </c>
      <c r="C267" s="138" t="s">
        <v>1814</v>
      </c>
      <c r="D267" s="138" t="s">
        <v>1815</v>
      </c>
      <c r="E267" s="139" t="s">
        <v>1816</v>
      </c>
      <c r="F267" s="75" t="s">
        <v>1527</v>
      </c>
      <c r="G267" s="24" t="s">
        <v>323</v>
      </c>
      <c r="H267" s="25" t="s">
        <v>139</v>
      </c>
      <c r="I267" s="23"/>
      <c r="J267" s="35"/>
      <c r="K267" s="27" t="s">
        <v>32</v>
      </c>
      <c r="L267" s="27" t="s">
        <v>550</v>
      </c>
      <c r="M267" s="26" t="str">
        <f>VLOOKUP(E267,'MTS 2026 registrations'!B:B,1,false)</f>
        <v>#N/A</v>
      </c>
      <c r="N267" s="26" t="str">
        <f>VLOOKUP(B267,'MTS 2026 registrations'!A:A,1,false)</f>
        <v>#N/A</v>
      </c>
      <c r="O267" s="38" t="str">
        <f t="shared" si="2"/>
        <v>Marked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34"/>
      <c r="AE267" s="34"/>
    </row>
    <row r="268" ht="12.75" customHeight="1">
      <c r="A268" s="19" t="str">
        <f t="shared" si="1"/>
        <v>Jordy Klaassen eneco</v>
      </c>
      <c r="B268" s="19" t="s">
        <v>1817</v>
      </c>
      <c r="C268" s="72" t="s">
        <v>1818</v>
      </c>
      <c r="D268" s="72" t="s">
        <v>1819</v>
      </c>
      <c r="E268" s="30" t="s">
        <v>1820</v>
      </c>
      <c r="F268" s="29" t="s">
        <v>1780</v>
      </c>
      <c r="G268" s="32" t="s">
        <v>56</v>
      </c>
      <c r="H268" s="13" t="s">
        <v>213</v>
      </c>
      <c r="I268" s="34"/>
      <c r="J268" s="35"/>
      <c r="K268" s="27" t="s">
        <v>32</v>
      </c>
      <c r="L268" s="27" t="s">
        <v>550</v>
      </c>
      <c r="M268" s="26" t="str">
        <f>VLOOKUP(E268,'MTS 2026 registrations'!B:B,1,false)</f>
        <v>#N/A</v>
      </c>
      <c r="N268" s="26" t="str">
        <f>VLOOKUP(B268,'MTS 2026 registrations'!A:A,1,false)</f>
        <v>#N/A</v>
      </c>
      <c r="O268" s="38" t="str">
        <f t="shared" si="2"/>
        <v>Marked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</row>
    <row r="269" ht="12.75" customHeight="1">
      <c r="A269" s="19" t="str">
        <f t="shared" si="1"/>
        <v>Joris Mollinga duckduckgoose</v>
      </c>
      <c r="B269" s="19" t="s">
        <v>1821</v>
      </c>
      <c r="C269" s="20" t="s">
        <v>1822</v>
      </c>
      <c r="D269" s="20" t="s">
        <v>1823</v>
      </c>
      <c r="E269" s="21" t="s">
        <v>1824</v>
      </c>
      <c r="F269" s="23" t="s">
        <v>1825</v>
      </c>
      <c r="G269" s="32" t="s">
        <v>46</v>
      </c>
      <c r="H269" s="25" t="s">
        <v>47</v>
      </c>
      <c r="I269" s="34"/>
      <c r="J269" s="35"/>
      <c r="K269" s="27" t="s">
        <v>32</v>
      </c>
      <c r="L269" s="27" t="s">
        <v>550</v>
      </c>
      <c r="M269" s="26" t="str">
        <f>VLOOKUP(E269,'MTS 2026 registrations'!B:B,1,false)</f>
        <v>#N/A</v>
      </c>
      <c r="N269" s="26" t="str">
        <f>VLOOKUP(B269,'MTS 2026 registrations'!A:A,1,false)</f>
        <v>#N/A</v>
      </c>
      <c r="O269" s="38" t="str">
        <f t="shared" si="2"/>
        <v>Marked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</row>
    <row r="270" ht="12.75" customHeight="1">
      <c r="A270" s="19" t="str">
        <f t="shared" si="1"/>
        <v>Jorn Eiting van Liempt rominwest</v>
      </c>
      <c r="B270" s="19" t="s">
        <v>1826</v>
      </c>
      <c r="C270" s="29" t="s">
        <v>1827</v>
      </c>
      <c r="D270" s="29" t="s">
        <v>1828</v>
      </c>
      <c r="E270" s="30" t="s">
        <v>1829</v>
      </c>
      <c r="F270" s="29" t="s">
        <v>1830</v>
      </c>
      <c r="G270" s="32" t="s">
        <v>323</v>
      </c>
      <c r="H270" s="13" t="s">
        <v>213</v>
      </c>
      <c r="I270" s="34"/>
      <c r="J270" s="35"/>
      <c r="K270" s="27" t="s">
        <v>32</v>
      </c>
      <c r="L270" s="27" t="s">
        <v>550</v>
      </c>
      <c r="M270" s="26" t="str">
        <f>VLOOKUP(E270,'MTS 2026 registrations'!B:B,1,false)</f>
        <v>#N/A</v>
      </c>
      <c r="N270" s="26" t="str">
        <f>VLOOKUP(B270,'MTS 2026 registrations'!A:A,1,false)</f>
        <v>#N/A</v>
      </c>
      <c r="O270" s="38" t="str">
        <f t="shared" si="2"/>
        <v>Marked</v>
      </c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23"/>
      <c r="AE270" s="23"/>
    </row>
    <row r="271" ht="12.75" customHeight="1">
      <c r="A271" s="19" t="str">
        <f t="shared" si="1"/>
        <v>Joshua Foong nus</v>
      </c>
      <c r="B271" s="19" t="s">
        <v>1831</v>
      </c>
      <c r="C271" s="29" t="s">
        <v>1832</v>
      </c>
      <c r="D271" s="29" t="s">
        <v>1833</v>
      </c>
      <c r="E271" s="30" t="s">
        <v>1834</v>
      </c>
      <c r="F271" s="29" t="s">
        <v>1835</v>
      </c>
      <c r="G271" s="32" t="s">
        <v>1306</v>
      </c>
      <c r="H271" s="13" t="s">
        <v>45</v>
      </c>
      <c r="I271" s="34"/>
      <c r="J271" s="35"/>
      <c r="K271" s="27" t="s">
        <v>32</v>
      </c>
      <c r="L271" s="27" t="s">
        <v>550</v>
      </c>
      <c r="M271" s="26" t="str">
        <f>VLOOKUP(E271,'MTS 2026 registrations'!B:B,1,false)</f>
        <v>#N/A</v>
      </c>
      <c r="N271" s="26" t="str">
        <f>VLOOKUP(B271,'MTS 2026 registrations'!A:A,1,false)</f>
        <v>#N/A</v>
      </c>
      <c r="O271" s="38" t="str">
        <f t="shared" si="2"/>
        <v>Marked</v>
      </c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</row>
    <row r="272" ht="12.75" customHeight="1">
      <c r="A272" s="19" t="str">
        <f t="shared" si="1"/>
        <v>Karsten Bakker kpn</v>
      </c>
      <c r="B272" s="19" t="s">
        <v>1836</v>
      </c>
      <c r="C272" s="72" t="s">
        <v>1837</v>
      </c>
      <c r="D272" s="72" t="s">
        <v>1516</v>
      </c>
      <c r="E272" s="30" t="s">
        <v>1838</v>
      </c>
      <c r="F272" s="29" t="s">
        <v>1839</v>
      </c>
      <c r="G272" s="32" t="s">
        <v>56</v>
      </c>
      <c r="H272" s="13" t="s">
        <v>45</v>
      </c>
      <c r="I272" s="34"/>
      <c r="J272" s="35"/>
      <c r="K272" s="27" t="s">
        <v>32</v>
      </c>
      <c r="L272" s="27" t="s">
        <v>550</v>
      </c>
      <c r="M272" s="26" t="str">
        <f>VLOOKUP(E272,'MTS 2026 registrations'!B:B,1,false)</f>
        <v>#N/A</v>
      </c>
      <c r="N272" s="26" t="str">
        <f>VLOOKUP(B272,'MTS 2026 registrations'!A:A,1,false)</f>
        <v>#N/A</v>
      </c>
      <c r="O272" s="38" t="str">
        <f t="shared" si="2"/>
        <v>Marked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</row>
    <row r="273" ht="12.75" customHeight="1">
      <c r="A273" s="19" t="str">
        <f t="shared" si="1"/>
        <v>Koen Bavinck </v>
      </c>
      <c r="B273" s="19" t="s">
        <v>1840</v>
      </c>
      <c r="C273" s="20" t="s">
        <v>804</v>
      </c>
      <c r="D273" s="20" t="s">
        <v>1841</v>
      </c>
      <c r="E273" s="21" t="s">
        <v>1842</v>
      </c>
      <c r="F273" s="52"/>
      <c r="G273" s="24" t="s">
        <v>225</v>
      </c>
      <c r="H273" s="25" t="s">
        <v>47</v>
      </c>
      <c r="I273" s="26"/>
      <c r="J273" s="35"/>
      <c r="K273" s="27" t="s">
        <v>32</v>
      </c>
      <c r="L273" s="27" t="s">
        <v>550</v>
      </c>
      <c r="M273" s="26" t="str">
        <f>VLOOKUP(E273,'MTS 2026 registrations'!B:B,1,false)</f>
        <v>#N/A</v>
      </c>
      <c r="N273" s="26" t="str">
        <f>VLOOKUP(B273,'MTS 2026 registrations'!A:A,1,false)</f>
        <v>#N/A</v>
      </c>
      <c r="O273" s="38" t="str">
        <f t="shared" si="2"/>
        <v>Marked</v>
      </c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</row>
    <row r="274" ht="12.75" customHeight="1">
      <c r="A274" s="19" t="str">
        <f t="shared" si="1"/>
        <v>Koen den ouden </v>
      </c>
      <c r="B274" s="19" t="s">
        <v>1843</v>
      </c>
      <c r="C274" s="72" t="s">
        <v>804</v>
      </c>
      <c r="D274" s="72" t="s">
        <v>1844</v>
      </c>
      <c r="E274" s="30" t="s">
        <v>1845</v>
      </c>
      <c r="F274" s="29"/>
      <c r="G274" s="32" t="s">
        <v>43</v>
      </c>
      <c r="H274" s="13" t="s">
        <v>45</v>
      </c>
      <c r="I274" s="34"/>
      <c r="J274" s="35"/>
      <c r="K274" s="27" t="s">
        <v>32</v>
      </c>
      <c r="L274" s="27" t="s">
        <v>550</v>
      </c>
      <c r="M274" s="26" t="str">
        <f>VLOOKUP(E274,'MTS 2026 registrations'!B:B,1,false)</f>
        <v>#N/A</v>
      </c>
      <c r="N274" s="26" t="str">
        <f>VLOOKUP(B274,'MTS 2026 registrations'!A:A,1,false)</f>
        <v>#N/A</v>
      </c>
      <c r="O274" s="38" t="str">
        <f t="shared" si="2"/>
        <v>Marked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</row>
    <row r="275" ht="12.75" customHeight="1">
      <c r="A275" s="19" t="str">
        <f t="shared" si="1"/>
        <v>Kos Fourkiotis csu</v>
      </c>
      <c r="B275" s="19" t="s">
        <v>1846</v>
      </c>
      <c r="C275" s="20" t="s">
        <v>1847</v>
      </c>
      <c r="D275" s="20" t="s">
        <v>1848</v>
      </c>
      <c r="E275" s="21" t="s">
        <v>1849</v>
      </c>
      <c r="F275" s="75" t="s">
        <v>1850</v>
      </c>
      <c r="G275" s="24" t="s">
        <v>56</v>
      </c>
      <c r="H275" s="25" t="s">
        <v>139</v>
      </c>
      <c r="I275" s="26"/>
      <c r="J275" s="35"/>
      <c r="K275" s="27" t="s">
        <v>32</v>
      </c>
      <c r="L275" s="27" t="s">
        <v>550</v>
      </c>
      <c r="M275" s="26" t="str">
        <f>VLOOKUP(E275,'MTS 2026 registrations'!B:B,1,false)</f>
        <v>#N/A</v>
      </c>
      <c r="N275" s="26" t="str">
        <f>VLOOKUP(B275,'MTS 2026 registrations'!A:A,1,false)</f>
        <v>#N/A</v>
      </c>
      <c r="O275" s="38" t="str">
        <f t="shared" si="2"/>
        <v>Marked</v>
      </c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23"/>
      <c r="AE275" s="23"/>
    </row>
    <row r="276" ht="12.75" customHeight="1">
      <c r="A276" s="19" t="str">
        <f t="shared" si="1"/>
        <v>Lennart Zielstra zealmobility</v>
      </c>
      <c r="B276" s="19" t="s">
        <v>1851</v>
      </c>
      <c r="C276" s="29" t="s">
        <v>1852</v>
      </c>
      <c r="D276" s="29" t="s">
        <v>1853</v>
      </c>
      <c r="E276" s="150" t="s">
        <v>1854</v>
      </c>
      <c r="F276" s="29" t="s">
        <v>1855</v>
      </c>
      <c r="G276" s="32" t="s">
        <v>46</v>
      </c>
      <c r="H276" s="13" t="s">
        <v>213</v>
      </c>
      <c r="I276" s="34"/>
      <c r="J276" s="35"/>
      <c r="K276" s="27" t="s">
        <v>32</v>
      </c>
      <c r="L276" s="27" t="s">
        <v>550</v>
      </c>
      <c r="M276" s="26" t="str">
        <f>VLOOKUP(E276,'MTS 2026 registrations'!B:B,1,false)</f>
        <v>#N/A</v>
      </c>
      <c r="N276" s="26" t="str">
        <f>VLOOKUP(B276,'MTS 2026 registrations'!A:A,1,false)</f>
        <v>#N/A</v>
      </c>
      <c r="O276" s="38" t="str">
        <f t="shared" si="2"/>
        <v>Marked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</row>
    <row r="277" ht="12.75" customHeight="1">
      <c r="A277" s="19" t="str">
        <f t="shared" si="1"/>
        <v>Luke van der Wardt mypup</v>
      </c>
      <c r="B277" s="19" t="s">
        <v>1856</v>
      </c>
      <c r="C277" s="20" t="s">
        <v>1857</v>
      </c>
      <c r="D277" s="20" t="s">
        <v>1858</v>
      </c>
      <c r="E277" s="21" t="s">
        <v>1859</v>
      </c>
      <c r="F277" s="23" t="s">
        <v>1860</v>
      </c>
      <c r="G277" s="42" t="s">
        <v>1306</v>
      </c>
      <c r="H277" s="13" t="s">
        <v>213</v>
      </c>
      <c r="I277" s="34"/>
      <c r="J277" s="35"/>
      <c r="K277" s="27" t="s">
        <v>32</v>
      </c>
      <c r="L277" s="27" t="s">
        <v>550</v>
      </c>
      <c r="M277" s="26" t="str">
        <f>VLOOKUP(E277,'MTS 2026 registrations'!B:B,1,false)</f>
        <v>#N/A</v>
      </c>
      <c r="N277" s="26" t="str">
        <f>VLOOKUP(B277,'MTS 2026 registrations'!A:A,1,false)</f>
        <v>#N/A</v>
      </c>
      <c r="O277" s="38" t="str">
        <f t="shared" si="2"/>
        <v>Marked</v>
      </c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</row>
    <row r="278" ht="12.75" customHeight="1">
      <c r="A278" s="19" t="str">
        <f t="shared" si="1"/>
        <v>Maarten Keswiel sprout</v>
      </c>
      <c r="B278" s="19" t="s">
        <v>1861</v>
      </c>
      <c r="C278" s="20" t="s">
        <v>261</v>
      </c>
      <c r="D278" s="20" t="s">
        <v>1862</v>
      </c>
      <c r="E278" s="21" t="s">
        <v>1863</v>
      </c>
      <c r="F278" s="23" t="s">
        <v>1864</v>
      </c>
      <c r="G278" s="51" t="s">
        <v>1593</v>
      </c>
      <c r="H278" s="13" t="s">
        <v>57</v>
      </c>
      <c r="I278" s="34"/>
      <c r="J278" s="114" t="s">
        <v>1072</v>
      </c>
      <c r="K278" s="27" t="s">
        <v>1709</v>
      </c>
      <c r="L278" s="27" t="s">
        <v>550</v>
      </c>
      <c r="M278" s="26" t="str">
        <f>VLOOKUP(E278,'MTS 2026 registrations'!B:B,1,false)</f>
        <v>#N/A</v>
      </c>
      <c r="N278" s="26" t="str">
        <f>VLOOKUP(B278,'MTS 2026 registrations'!A:A,1,false)</f>
        <v>#N/A</v>
      </c>
      <c r="O278" s="38" t="str">
        <f t="shared" si="2"/>
        <v>Marked</v>
      </c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</row>
    <row r="279" ht="12.75" customHeight="1">
      <c r="A279" s="19" t="str">
        <f t="shared" si="1"/>
        <v>Maisie Devine AB-inbev</v>
      </c>
      <c r="B279" s="19" t="s">
        <v>1865</v>
      </c>
      <c r="C279" s="20" t="s">
        <v>1866</v>
      </c>
      <c r="D279" s="20" t="s">
        <v>1867</v>
      </c>
      <c r="E279" s="21" t="s">
        <v>1868</v>
      </c>
      <c r="F279" s="49" t="s">
        <v>1470</v>
      </c>
      <c r="G279" s="24" t="s">
        <v>56</v>
      </c>
      <c r="H279" s="13" t="s">
        <v>213</v>
      </c>
      <c r="I279" s="26"/>
      <c r="J279" s="35"/>
      <c r="K279" s="27" t="s">
        <v>32</v>
      </c>
      <c r="L279" s="27" t="s">
        <v>550</v>
      </c>
      <c r="M279" s="26" t="str">
        <f>VLOOKUP(E279,'MTS 2026 registrations'!B:B,1,false)</f>
        <v>#N/A</v>
      </c>
      <c r="N279" s="26" t="str">
        <f>VLOOKUP(B279,'MTS 2026 registrations'!A:A,1,false)</f>
        <v>#N/A</v>
      </c>
      <c r="O279" s="38" t="str">
        <f t="shared" si="2"/>
        <v>Marked</v>
      </c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</row>
    <row r="280" ht="12.75" customHeight="1">
      <c r="A280" s="19" t="str">
        <f t="shared" si="1"/>
        <v>Manon Huysmans RTL</v>
      </c>
      <c r="B280" s="19" t="s">
        <v>1869</v>
      </c>
      <c r="C280" s="116" t="s">
        <v>1870</v>
      </c>
      <c r="D280" s="116" t="s">
        <v>1871</v>
      </c>
      <c r="E280" s="30" t="s">
        <v>1872</v>
      </c>
      <c r="F280" s="49" t="s">
        <v>1873</v>
      </c>
      <c r="G280" s="24" t="s">
        <v>1593</v>
      </c>
      <c r="H280" s="13" t="s">
        <v>57</v>
      </c>
      <c r="I280" s="34"/>
      <c r="J280" s="35"/>
      <c r="K280" s="27" t="s">
        <v>32</v>
      </c>
      <c r="L280" s="27" t="s">
        <v>550</v>
      </c>
      <c r="M280" s="26" t="str">
        <f>VLOOKUP(E280,'MTS 2026 registrations'!B:B,1,false)</f>
        <v>#N/A</v>
      </c>
      <c r="N280" s="26" t="str">
        <f>VLOOKUP(B280,'MTS 2026 registrations'!A:A,1,false)</f>
        <v>#N/A</v>
      </c>
      <c r="O280" s="38" t="str">
        <f t="shared" si="2"/>
        <v>Marked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</row>
    <row r="281" ht="12.75" customHeight="1">
      <c r="A281" s="19" t="str">
        <f t="shared" si="1"/>
        <v>Manuela Cox twobirds</v>
      </c>
      <c r="B281" s="19" t="s">
        <v>1874</v>
      </c>
      <c r="C281" s="20" t="s">
        <v>1875</v>
      </c>
      <c r="D281" s="20" t="s">
        <v>1876</v>
      </c>
      <c r="E281" s="151" t="s">
        <v>1877</v>
      </c>
      <c r="F281" s="23" t="s">
        <v>1807</v>
      </c>
      <c r="G281" s="24" t="s">
        <v>1808</v>
      </c>
      <c r="H281" s="25" t="s">
        <v>31</v>
      </c>
      <c r="I281" s="26"/>
      <c r="J281" s="35"/>
      <c r="K281" s="27" t="s">
        <v>32</v>
      </c>
      <c r="L281" s="27" t="s">
        <v>550</v>
      </c>
      <c r="M281" s="26" t="str">
        <f>VLOOKUP(E281,'MTS 2026 registrations'!B:B,1,false)</f>
        <v>#N/A</v>
      </c>
      <c r="N281" s="26" t="str">
        <f>VLOOKUP(B281,'MTS 2026 registrations'!A:A,1,false)</f>
        <v>#N/A</v>
      </c>
      <c r="O281" s="38" t="str">
        <f t="shared" si="2"/>
        <v>Marked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</row>
    <row r="282" ht="12.75" customHeight="1">
      <c r="A282" s="19" t="str">
        <f t="shared" si="1"/>
        <v>Marc Kalf romutrechtregion</v>
      </c>
      <c r="B282" s="19" t="s">
        <v>1878</v>
      </c>
      <c r="C282" s="29" t="s">
        <v>1879</v>
      </c>
      <c r="D282" s="29" t="s">
        <v>1880</v>
      </c>
      <c r="E282" s="30" t="s">
        <v>1881</v>
      </c>
      <c r="F282" s="29" t="s">
        <v>1882</v>
      </c>
      <c r="G282" s="24" t="s">
        <v>29</v>
      </c>
      <c r="H282" s="13" t="s">
        <v>213</v>
      </c>
      <c r="I282" s="34"/>
      <c r="J282" s="35"/>
      <c r="K282" s="27" t="s">
        <v>32</v>
      </c>
      <c r="L282" s="27" t="s">
        <v>550</v>
      </c>
      <c r="M282" s="26" t="str">
        <f>VLOOKUP(E282,'MTS 2026 registrations'!B:B,1,false)</f>
        <v>#N/A</v>
      </c>
      <c r="N282" s="26" t="str">
        <f>VLOOKUP(B282,'MTS 2026 registrations'!A:A,1,false)</f>
        <v>#N/A</v>
      </c>
      <c r="O282" s="38" t="str">
        <f t="shared" si="2"/>
        <v>Marked</v>
      </c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23"/>
      <c r="AE282" s="23"/>
    </row>
    <row r="283" ht="12.75" customHeight="1">
      <c r="A283" s="19" t="str">
        <f t="shared" si="1"/>
        <v>Marc Wullings skipred</v>
      </c>
      <c r="B283" s="19" t="s">
        <v>1883</v>
      </c>
      <c r="C283" s="20" t="s">
        <v>1879</v>
      </c>
      <c r="D283" s="20" t="s">
        <v>1884</v>
      </c>
      <c r="E283" s="21" t="s">
        <v>1885</v>
      </c>
      <c r="F283" s="23" t="s">
        <v>1886</v>
      </c>
      <c r="G283" s="42" t="s">
        <v>1306</v>
      </c>
      <c r="H283" s="13" t="s">
        <v>213</v>
      </c>
      <c r="I283" s="34"/>
      <c r="J283" s="35"/>
      <c r="K283" s="27" t="s">
        <v>32</v>
      </c>
      <c r="L283" s="27" t="s">
        <v>550</v>
      </c>
      <c r="M283" s="26" t="str">
        <f>VLOOKUP(E283,'MTS 2026 registrations'!B:B,1,false)</f>
        <v>#N/A</v>
      </c>
      <c r="N283" s="26" t="str">
        <f>VLOOKUP(B283,'MTS 2026 registrations'!A:A,1,false)</f>
        <v>#N/A</v>
      </c>
      <c r="O283" s="38" t="str">
        <f t="shared" si="2"/>
        <v>Marked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</row>
    <row r="284" ht="12.75" customHeight="1">
      <c r="A284" s="19" t="str">
        <f t="shared" si="1"/>
        <v>Marc Wesselink venturerock</v>
      </c>
      <c r="B284" s="19" t="s">
        <v>1887</v>
      </c>
      <c r="C284" s="20" t="s">
        <v>1879</v>
      </c>
      <c r="D284" s="20" t="s">
        <v>1888</v>
      </c>
      <c r="E284" s="21" t="s">
        <v>1889</v>
      </c>
      <c r="F284" s="23" t="s">
        <v>1890</v>
      </c>
      <c r="G284" s="42" t="s">
        <v>1306</v>
      </c>
      <c r="H284" s="13" t="s">
        <v>213</v>
      </c>
      <c r="I284" s="26"/>
      <c r="J284" s="35"/>
      <c r="K284" s="27" t="s">
        <v>32</v>
      </c>
      <c r="L284" s="27" t="s">
        <v>550</v>
      </c>
      <c r="M284" s="26" t="str">
        <f>VLOOKUP(E284,'MTS 2026 registrations'!B:B,1,false)</f>
        <v>#N/A</v>
      </c>
      <c r="N284" s="26" t="str">
        <f>VLOOKUP(B284,'MTS 2026 registrations'!A:A,1,false)</f>
        <v>#N/A</v>
      </c>
      <c r="O284" s="38" t="str">
        <f t="shared" si="2"/>
        <v>Marked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</row>
    <row r="285" ht="12.75" customHeight="1">
      <c r="A285" s="19" t="str">
        <f t="shared" si="1"/>
        <v>Marc van Wijngaarden twobirds</v>
      </c>
      <c r="B285" s="19" t="s">
        <v>1891</v>
      </c>
      <c r="C285" s="20" t="s">
        <v>1892</v>
      </c>
      <c r="D285" s="20" t="s">
        <v>1893</v>
      </c>
      <c r="E285" s="21" t="s">
        <v>1894</v>
      </c>
      <c r="F285" s="23" t="s">
        <v>1807</v>
      </c>
      <c r="G285" s="24" t="s">
        <v>1808</v>
      </c>
      <c r="H285" s="25" t="s">
        <v>31</v>
      </c>
      <c r="I285" s="26"/>
      <c r="J285" s="35"/>
      <c r="K285" s="27" t="s">
        <v>32</v>
      </c>
      <c r="L285" s="27" t="s">
        <v>550</v>
      </c>
      <c r="M285" s="26" t="str">
        <f>VLOOKUP(E285,'MTS 2026 registrations'!B:B,1,false)</f>
        <v>#N/A</v>
      </c>
      <c r="N285" s="26" t="str">
        <f>VLOOKUP(B285,'MTS 2026 registrations'!A:A,1,false)</f>
        <v>#N/A</v>
      </c>
      <c r="O285" s="38" t="str">
        <f t="shared" si="2"/>
        <v>Marked</v>
      </c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</row>
    <row r="286" ht="12.75" customHeight="1">
      <c r="A286" s="19" t="str">
        <f t="shared" si="1"/>
        <v>Margot McDonnell k-i</v>
      </c>
      <c r="B286" s="19" t="s">
        <v>1895</v>
      </c>
      <c r="C286" s="29" t="s">
        <v>1896</v>
      </c>
      <c r="D286" s="29" t="s">
        <v>1897</v>
      </c>
      <c r="E286" s="30" t="s">
        <v>1898</v>
      </c>
      <c r="F286" s="29" t="s">
        <v>1899</v>
      </c>
      <c r="G286" s="32" t="s">
        <v>1306</v>
      </c>
      <c r="H286" s="13" t="s">
        <v>213</v>
      </c>
      <c r="I286" s="34"/>
      <c r="J286" s="35"/>
      <c r="K286" s="27" t="s">
        <v>32</v>
      </c>
      <c r="L286" s="27" t="s">
        <v>550</v>
      </c>
      <c r="M286" s="26" t="str">
        <f>VLOOKUP(E286,'MTS 2026 registrations'!B:B,1,false)</f>
        <v>#N/A</v>
      </c>
      <c r="N286" s="26" t="str">
        <f>VLOOKUP(B286,'MTS 2026 registrations'!A:A,1,false)</f>
        <v>#N/A</v>
      </c>
      <c r="O286" s="38" t="str">
        <f t="shared" si="2"/>
        <v>Marked</v>
      </c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</row>
    <row r="287" ht="12.75" customHeight="1">
      <c r="A287" s="19" t="str">
        <f t="shared" si="1"/>
        <v>Marieke van Nieuwenhuizen Insight-projects</v>
      </c>
      <c r="B287" s="19" t="s">
        <v>1900</v>
      </c>
      <c r="C287" s="116" t="s">
        <v>1901</v>
      </c>
      <c r="D287" s="116" t="s">
        <v>1409</v>
      </c>
      <c r="E287" s="76" t="s">
        <v>1902</v>
      </c>
      <c r="F287" s="49" t="s">
        <v>1903</v>
      </c>
      <c r="G287" s="129" t="s">
        <v>1306</v>
      </c>
      <c r="H287" s="25" t="s">
        <v>139</v>
      </c>
      <c r="I287" s="34"/>
      <c r="J287" s="35"/>
      <c r="K287" s="27" t="s">
        <v>32</v>
      </c>
      <c r="L287" s="27" t="s">
        <v>550</v>
      </c>
      <c r="M287" s="26" t="str">
        <f>VLOOKUP(E287,'MTS 2026 registrations'!B:B,1,false)</f>
        <v>#N/A</v>
      </c>
      <c r="N287" s="26" t="str">
        <f>VLOOKUP(B287,'MTS 2026 registrations'!A:A,1,false)</f>
        <v>#N/A</v>
      </c>
      <c r="O287" s="38" t="str">
        <f t="shared" si="2"/>
        <v>Marked</v>
      </c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</row>
    <row r="288" ht="12.75" customHeight="1">
      <c r="A288" s="19" t="str">
        <f t="shared" si="1"/>
        <v>Martijn Pater codingthecurbs</v>
      </c>
      <c r="B288" s="19" t="s">
        <v>1904</v>
      </c>
      <c r="C288" s="20" t="s">
        <v>882</v>
      </c>
      <c r="D288" s="20" t="s">
        <v>1905</v>
      </c>
      <c r="E288" s="21" t="s">
        <v>1906</v>
      </c>
      <c r="F288" s="23" t="s">
        <v>1518</v>
      </c>
      <c r="G288" s="32" t="s">
        <v>46</v>
      </c>
      <c r="H288" s="25" t="s">
        <v>47</v>
      </c>
      <c r="I288" s="26"/>
      <c r="J288" s="35"/>
      <c r="K288" s="27" t="s">
        <v>32</v>
      </c>
      <c r="L288" s="27" t="s">
        <v>550</v>
      </c>
      <c r="M288" s="26" t="str">
        <f>VLOOKUP(E288,'MTS 2026 registrations'!B:B,1,false)</f>
        <v>#N/A</v>
      </c>
      <c r="N288" s="26" t="str">
        <f>VLOOKUP(B288,'MTS 2026 registrations'!A:A,1,false)</f>
        <v>#N/A</v>
      </c>
      <c r="O288" s="38" t="str">
        <f t="shared" si="2"/>
        <v>Marked</v>
      </c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</row>
    <row r="289" ht="12.75" customHeight="1">
      <c r="A289" s="19" t="str">
        <f t="shared" si="1"/>
        <v>Martin Gruber nxp</v>
      </c>
      <c r="B289" s="19" t="s">
        <v>1907</v>
      </c>
      <c r="C289" s="138" t="s">
        <v>888</v>
      </c>
      <c r="D289" s="138" t="s">
        <v>1908</v>
      </c>
      <c r="E289" s="139" t="s">
        <v>1909</v>
      </c>
      <c r="F289" s="75" t="s">
        <v>1910</v>
      </c>
      <c r="G289" s="24" t="s">
        <v>56</v>
      </c>
      <c r="H289" s="25" t="s">
        <v>139</v>
      </c>
      <c r="I289" s="34"/>
      <c r="J289" s="35"/>
      <c r="K289" s="27" t="s">
        <v>32</v>
      </c>
      <c r="L289" s="27" t="s">
        <v>550</v>
      </c>
      <c r="M289" s="26" t="str">
        <f>VLOOKUP(E289,'MTS 2026 registrations'!B:B,1,false)</f>
        <v>#N/A</v>
      </c>
      <c r="N289" s="26" t="str">
        <f>VLOOKUP(B289,'MTS 2026 registrations'!A:A,1,false)</f>
        <v>#N/A</v>
      </c>
      <c r="O289" s="38" t="str">
        <f t="shared" si="2"/>
        <v>Marked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</row>
    <row r="290" ht="12.75" customHeight="1">
      <c r="A290" s="19" t="str">
        <f t="shared" si="1"/>
        <v>Martine Melis </v>
      </c>
      <c r="B290" s="19" t="s">
        <v>1911</v>
      </c>
      <c r="C290" s="20" t="s">
        <v>1912</v>
      </c>
      <c r="D290" s="20" t="s">
        <v>1913</v>
      </c>
      <c r="E290" s="21" t="s">
        <v>1914</v>
      </c>
      <c r="F290" s="52"/>
      <c r="G290" s="24" t="s">
        <v>225</v>
      </c>
      <c r="H290" s="25" t="s">
        <v>47</v>
      </c>
      <c r="I290" s="26"/>
      <c r="J290" s="35"/>
      <c r="K290" s="27" t="s">
        <v>32</v>
      </c>
      <c r="L290" s="27" t="s">
        <v>550</v>
      </c>
      <c r="M290" s="26" t="str">
        <f>VLOOKUP(E290,'MTS 2026 registrations'!B:B,1,false)</f>
        <v>#N/A</v>
      </c>
      <c r="N290" s="26" t="str">
        <f>VLOOKUP(B290,'MTS 2026 registrations'!A:A,1,false)</f>
        <v>#N/A</v>
      </c>
      <c r="O290" s="38" t="str">
        <f t="shared" si="2"/>
        <v>Marked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</row>
    <row r="291" ht="12.75" customHeight="1">
      <c r="A291" s="19" t="str">
        <f t="shared" si="1"/>
        <v>Matthew Amer AB-inbev</v>
      </c>
      <c r="B291" s="19" t="s">
        <v>1915</v>
      </c>
      <c r="C291" s="20" t="s">
        <v>1916</v>
      </c>
      <c r="D291" s="20" t="s">
        <v>1917</v>
      </c>
      <c r="E291" s="21" t="s">
        <v>1918</v>
      </c>
      <c r="F291" s="49" t="s">
        <v>1470</v>
      </c>
      <c r="G291" s="24" t="s">
        <v>56</v>
      </c>
      <c r="H291" s="13" t="s">
        <v>213</v>
      </c>
      <c r="I291" s="26"/>
      <c r="J291" s="35"/>
      <c r="K291" s="27" t="s">
        <v>32</v>
      </c>
      <c r="L291" s="27" t="s">
        <v>550</v>
      </c>
      <c r="M291" s="26" t="str">
        <f>VLOOKUP(E291,'MTS 2026 registrations'!B:B,1,false)</f>
        <v>#N/A</v>
      </c>
      <c r="N291" s="26" t="str">
        <f>VLOOKUP(B291,'MTS 2026 registrations'!A:A,1,false)</f>
        <v>#N/A</v>
      </c>
      <c r="O291" s="38" t="str">
        <f t="shared" si="2"/>
        <v>Marked</v>
      </c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</row>
    <row r="292" ht="12.75" customHeight="1">
      <c r="A292" s="19" t="str">
        <f t="shared" si="1"/>
        <v>Matthew Fox RiskApp</v>
      </c>
      <c r="B292" s="19" t="s">
        <v>1919</v>
      </c>
      <c r="C292" s="29" t="s">
        <v>1916</v>
      </c>
      <c r="D292" s="29" t="s">
        <v>1920</v>
      </c>
      <c r="E292" s="152" t="s">
        <v>1921</v>
      </c>
      <c r="F292" s="113" t="s">
        <v>1000</v>
      </c>
      <c r="G292" s="32" t="s">
        <v>46</v>
      </c>
      <c r="H292" s="25" t="s">
        <v>47</v>
      </c>
      <c r="I292" s="23"/>
      <c r="J292" s="35" t="s">
        <v>1922</v>
      </c>
      <c r="K292" s="27" t="s">
        <v>50</v>
      </c>
      <c r="L292" s="49" t="s">
        <v>550</v>
      </c>
      <c r="M292" s="26" t="str">
        <f>VLOOKUP(E292,'MTS 2026 registrations'!B:B,1,false)</f>
        <v>#N/A</v>
      </c>
      <c r="N292" s="26" t="str">
        <f>VLOOKUP(B292,'MTS 2026 registrations'!A:A,1,false)</f>
        <v>#N/A</v>
      </c>
      <c r="O292" s="38" t="str">
        <f t="shared" si="2"/>
        <v>Marked</v>
      </c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34"/>
      <c r="AE292" s="34"/>
    </row>
    <row r="293" ht="12.75" customHeight="1">
      <c r="A293" s="19" t="str">
        <f t="shared" si="1"/>
        <v>Matthijs Bulsink braventure</v>
      </c>
      <c r="B293" s="19" t="s">
        <v>1923</v>
      </c>
      <c r="C293" s="29" t="s">
        <v>1924</v>
      </c>
      <c r="D293" s="29" t="s">
        <v>1925</v>
      </c>
      <c r="E293" s="30" t="s">
        <v>1926</v>
      </c>
      <c r="F293" s="29" t="s">
        <v>1927</v>
      </c>
      <c r="G293" s="32" t="s">
        <v>163</v>
      </c>
      <c r="H293" s="13" t="s">
        <v>213</v>
      </c>
      <c r="I293" s="34"/>
      <c r="J293" s="35"/>
      <c r="K293" s="27" t="s">
        <v>32</v>
      </c>
      <c r="L293" s="27" t="s">
        <v>550</v>
      </c>
      <c r="M293" s="26" t="str">
        <f>VLOOKUP(E293,'MTS 2026 registrations'!B:B,1,false)</f>
        <v>#N/A</v>
      </c>
      <c r="N293" s="26" t="str">
        <f>VLOOKUP(B293,'MTS 2026 registrations'!A:A,1,false)</f>
        <v>#N/A</v>
      </c>
      <c r="O293" s="38" t="str">
        <f t="shared" si="2"/>
        <v>Marked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</row>
    <row r="294" ht="12.75" customHeight="1">
      <c r="A294" s="19" t="str">
        <f t="shared" si="1"/>
        <v>Matthijs Malkus rsm</v>
      </c>
      <c r="B294" s="19" t="s">
        <v>1928</v>
      </c>
      <c r="C294" s="29" t="s">
        <v>1924</v>
      </c>
      <c r="D294" s="29" t="s">
        <v>1929</v>
      </c>
      <c r="E294" s="30" t="s">
        <v>1930</v>
      </c>
      <c r="F294" s="29" t="s">
        <v>931</v>
      </c>
      <c r="G294" s="32" t="s">
        <v>43</v>
      </c>
      <c r="H294" s="13" t="s">
        <v>45</v>
      </c>
      <c r="I294" s="34"/>
      <c r="J294" s="35"/>
      <c r="K294" s="27" t="s">
        <v>32</v>
      </c>
      <c r="L294" s="27" t="s">
        <v>550</v>
      </c>
      <c r="M294" s="26" t="str">
        <f>VLOOKUP(E294,'MTS 2026 registrations'!B:B,1,false)</f>
        <v>#N/A</v>
      </c>
      <c r="N294" s="26" t="str">
        <f>VLOOKUP(B294,'MTS 2026 registrations'!A:A,1,false)</f>
        <v>#N/A</v>
      </c>
      <c r="O294" s="38" t="str">
        <f t="shared" si="2"/>
        <v>Marked</v>
      </c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</row>
    <row r="295" ht="12.75" customHeight="1">
      <c r="A295" s="19" t="str">
        <f t="shared" si="1"/>
        <v>Mattijs Slee battolysersystems</v>
      </c>
      <c r="B295" s="19" t="s">
        <v>1931</v>
      </c>
      <c r="C295" s="29" t="s">
        <v>1932</v>
      </c>
      <c r="D295" s="29" t="s">
        <v>1933</v>
      </c>
      <c r="E295" s="30" t="s">
        <v>1934</v>
      </c>
      <c r="F295" s="29" t="s">
        <v>1935</v>
      </c>
      <c r="G295" s="32" t="s">
        <v>46</v>
      </c>
      <c r="H295" s="13" t="s">
        <v>213</v>
      </c>
      <c r="I295" s="34"/>
      <c r="J295" s="35"/>
      <c r="K295" s="27" t="s">
        <v>32</v>
      </c>
      <c r="L295" s="27" t="s">
        <v>550</v>
      </c>
      <c r="M295" s="26" t="str">
        <f>VLOOKUP(E295,'MTS 2026 registrations'!B:B,1,false)</f>
        <v>#N/A</v>
      </c>
      <c r="N295" s="26" t="str">
        <f>VLOOKUP(B295,'MTS 2026 registrations'!A:A,1,false)</f>
        <v>#N/A</v>
      </c>
      <c r="O295" s="38" t="str">
        <f t="shared" si="2"/>
        <v>Marked</v>
      </c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</row>
    <row r="296" ht="12.75" customHeight="1">
      <c r="A296" s="19" t="str">
        <f t="shared" si="1"/>
        <v>Max van Splunteren volkerwessels</v>
      </c>
      <c r="B296" s="19" t="s">
        <v>1936</v>
      </c>
      <c r="C296" s="138" t="s">
        <v>1937</v>
      </c>
      <c r="D296" s="138" t="s">
        <v>1938</v>
      </c>
      <c r="E296" s="139" t="s">
        <v>1939</v>
      </c>
      <c r="F296" s="23" t="s">
        <v>1784</v>
      </c>
      <c r="G296" s="24" t="s">
        <v>56</v>
      </c>
      <c r="H296" s="25" t="s">
        <v>139</v>
      </c>
      <c r="I296" s="26"/>
      <c r="J296" s="35"/>
      <c r="K296" s="27" t="s">
        <v>32</v>
      </c>
      <c r="L296" s="27" t="s">
        <v>550</v>
      </c>
      <c r="M296" s="26" t="str">
        <f>VLOOKUP(E296,'MTS 2026 registrations'!B:B,1,false)</f>
        <v>#N/A</v>
      </c>
      <c r="N296" s="26" t="str">
        <f>VLOOKUP(B296,'MTS 2026 registrations'!A:A,1,false)</f>
        <v>#N/A</v>
      </c>
      <c r="O296" s="38" t="str">
        <f t="shared" si="2"/>
        <v>Marked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</row>
    <row r="297" ht="12.75" customHeight="1">
      <c r="A297" s="19" t="str">
        <f t="shared" si="1"/>
        <v>Michael Stucky serpentine</v>
      </c>
      <c r="B297" s="19" t="s">
        <v>1940</v>
      </c>
      <c r="C297" s="29" t="s">
        <v>569</v>
      </c>
      <c r="D297" s="29" t="s">
        <v>1941</v>
      </c>
      <c r="E297" s="30" t="s">
        <v>1942</v>
      </c>
      <c r="F297" s="29" t="s">
        <v>1943</v>
      </c>
      <c r="G297" s="32" t="s">
        <v>1306</v>
      </c>
      <c r="H297" s="13" t="s">
        <v>213</v>
      </c>
      <c r="I297" s="34"/>
      <c r="J297" s="35"/>
      <c r="K297" s="27" t="s">
        <v>32</v>
      </c>
      <c r="L297" s="27" t="s">
        <v>550</v>
      </c>
      <c r="M297" s="26" t="str">
        <f>VLOOKUP(E297,'MTS 2026 registrations'!B:B,1,false)</f>
        <v>#N/A</v>
      </c>
      <c r="N297" s="26" t="str">
        <f>VLOOKUP(B297,'MTS 2026 registrations'!A:A,1,false)</f>
        <v>#N/A</v>
      </c>
      <c r="O297" s="38" t="str">
        <f t="shared" si="2"/>
        <v>Marked</v>
      </c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23"/>
      <c r="AE297" s="23"/>
    </row>
    <row r="298" ht="12.75" customHeight="1">
      <c r="A298" s="19" t="str">
        <f t="shared" si="1"/>
        <v>Nadine Herrwerth twtg</v>
      </c>
      <c r="B298" s="19" t="s">
        <v>1944</v>
      </c>
      <c r="C298" s="20" t="s">
        <v>1945</v>
      </c>
      <c r="D298" s="20" t="s">
        <v>1946</v>
      </c>
      <c r="E298" s="21" t="s">
        <v>1947</v>
      </c>
      <c r="F298" s="23" t="s">
        <v>1617</v>
      </c>
      <c r="G298" s="42" t="s">
        <v>69</v>
      </c>
      <c r="H298" s="13" t="s">
        <v>213</v>
      </c>
      <c r="I298" s="26"/>
      <c r="J298" s="35"/>
      <c r="K298" s="27" t="s">
        <v>32</v>
      </c>
      <c r="L298" s="27" t="s">
        <v>550</v>
      </c>
      <c r="M298" s="26" t="str">
        <f>VLOOKUP(E298,'MTS 2026 registrations'!B:B,1,false)</f>
        <v>#N/A</v>
      </c>
      <c r="N298" s="26" t="str">
        <f>VLOOKUP(B298,'MTS 2026 registrations'!A:A,1,false)</f>
        <v>#N/A</v>
      </c>
      <c r="O298" s="38" t="str">
        <f t="shared" si="2"/>
        <v>Marked</v>
      </c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</row>
    <row r="299" ht="12.75" customHeight="1">
      <c r="A299" s="19" t="str">
        <f t="shared" si="1"/>
        <v>Natasja Marchese techleap</v>
      </c>
      <c r="B299" s="19" t="s">
        <v>1948</v>
      </c>
      <c r="C299" s="29" t="s">
        <v>1949</v>
      </c>
      <c r="D299" s="29" t="s">
        <v>1950</v>
      </c>
      <c r="E299" s="30" t="s">
        <v>1951</v>
      </c>
      <c r="F299" s="29" t="s">
        <v>1952</v>
      </c>
      <c r="G299" s="24" t="s">
        <v>29</v>
      </c>
      <c r="H299" s="13" t="s">
        <v>213</v>
      </c>
      <c r="I299" s="34"/>
      <c r="J299" s="35"/>
      <c r="K299" s="27" t="s">
        <v>32</v>
      </c>
      <c r="L299" s="27" t="s">
        <v>550</v>
      </c>
      <c r="M299" s="26" t="str">
        <f>VLOOKUP(E299,'MTS 2026 registrations'!B:B,1,false)</f>
        <v>#N/A</v>
      </c>
      <c r="N299" s="26" t="str">
        <f>VLOOKUP(B299,'MTS 2026 registrations'!A:A,1,false)</f>
        <v>#N/A</v>
      </c>
      <c r="O299" s="38" t="str">
        <f t="shared" si="2"/>
        <v>Marked</v>
      </c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</row>
    <row r="300" ht="12.75" customHeight="1">
      <c r="A300" s="19" t="str">
        <f t="shared" si="1"/>
        <v>Nira de Waele </v>
      </c>
      <c r="B300" s="19" t="s">
        <v>1953</v>
      </c>
      <c r="C300" s="20" t="s">
        <v>1954</v>
      </c>
      <c r="D300" s="20" t="s">
        <v>1955</v>
      </c>
      <c r="E300" s="21" t="s">
        <v>1956</v>
      </c>
      <c r="F300" s="52"/>
      <c r="G300" s="24" t="s">
        <v>29</v>
      </c>
      <c r="H300" s="25" t="s">
        <v>47</v>
      </c>
      <c r="I300" s="26"/>
      <c r="J300" s="35"/>
      <c r="K300" s="27" t="s">
        <v>32</v>
      </c>
      <c r="L300" s="27" t="s">
        <v>550</v>
      </c>
      <c r="M300" s="26" t="str">
        <f>VLOOKUP(E300,'MTS 2026 registrations'!B:B,1,false)</f>
        <v>#N/A</v>
      </c>
      <c r="N300" s="26" t="str">
        <f>VLOOKUP(B300,'MTS 2026 registrations'!A:A,1,false)</f>
        <v>#N/A</v>
      </c>
      <c r="O300" s="38" t="str">
        <f t="shared" si="2"/>
        <v>Marked</v>
      </c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</row>
    <row r="301" ht="12.75" customHeight="1">
      <c r="A301" s="19" t="str">
        <f t="shared" si="1"/>
        <v>Noah Paul unknowngroup</v>
      </c>
      <c r="B301" s="19" t="s">
        <v>1957</v>
      </c>
      <c r="C301" s="20" t="s">
        <v>1958</v>
      </c>
      <c r="D301" s="20" t="s">
        <v>953</v>
      </c>
      <c r="E301" s="21" t="s">
        <v>1959</v>
      </c>
      <c r="F301" s="23" t="s">
        <v>1756</v>
      </c>
      <c r="G301" s="24" t="s">
        <v>163</v>
      </c>
      <c r="H301" s="110" t="s">
        <v>164</v>
      </c>
      <c r="I301" s="26"/>
      <c r="J301" s="35"/>
      <c r="K301" s="27" t="s">
        <v>32</v>
      </c>
      <c r="L301" s="27" t="s">
        <v>550</v>
      </c>
      <c r="M301" s="26" t="str">
        <f>VLOOKUP(E301,'MTS 2026 registrations'!B:B,1,false)</f>
        <v>#N/A</v>
      </c>
      <c r="N301" s="26" t="str">
        <f>VLOOKUP(B301,'MTS 2026 registrations'!A:A,1,false)</f>
        <v>#N/A</v>
      </c>
      <c r="O301" s="38" t="str">
        <f t="shared" si="2"/>
        <v>Marked</v>
      </c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</row>
    <row r="302" ht="12.75" customHeight="1">
      <c r="A302" s="19" t="str">
        <f t="shared" si="1"/>
        <v>Ole Dorhout Mees graduate</v>
      </c>
      <c r="B302" s="19" t="s">
        <v>1960</v>
      </c>
      <c r="C302" s="138" t="s">
        <v>1961</v>
      </c>
      <c r="D302" s="138" t="s">
        <v>1962</v>
      </c>
      <c r="E302" s="139" t="s">
        <v>1963</v>
      </c>
      <c r="F302" s="75" t="s">
        <v>1964</v>
      </c>
      <c r="G302" s="24" t="s">
        <v>163</v>
      </c>
      <c r="H302" s="25" t="s">
        <v>139</v>
      </c>
      <c r="I302" s="34"/>
      <c r="J302" s="35"/>
      <c r="K302" s="27" t="s">
        <v>32</v>
      </c>
      <c r="L302" s="27" t="s">
        <v>550</v>
      </c>
      <c r="M302" s="26" t="str">
        <f>VLOOKUP(E302,'MTS 2026 registrations'!B:B,1,false)</f>
        <v>#N/A</v>
      </c>
      <c r="N302" s="26" t="str">
        <f>VLOOKUP(B302,'MTS 2026 registrations'!A:A,1,false)</f>
        <v>#N/A</v>
      </c>
      <c r="O302" s="38" t="str">
        <f t="shared" si="2"/>
        <v>Marked</v>
      </c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</row>
    <row r="303" ht="12.75" customHeight="1">
      <c r="A303" s="19" t="str">
        <f t="shared" si="1"/>
        <v>Oscar van Dijk medicinemen</v>
      </c>
      <c r="B303" s="19" t="s">
        <v>1965</v>
      </c>
      <c r="C303" s="29" t="s">
        <v>1966</v>
      </c>
      <c r="D303" s="29" t="s">
        <v>830</v>
      </c>
      <c r="E303" s="30" t="s">
        <v>1967</v>
      </c>
      <c r="F303" s="29" t="s">
        <v>1968</v>
      </c>
      <c r="G303" s="32" t="s">
        <v>46</v>
      </c>
      <c r="H303" s="13" t="s">
        <v>213</v>
      </c>
      <c r="I303" s="34"/>
      <c r="J303" s="35"/>
      <c r="K303" s="27" t="s">
        <v>32</v>
      </c>
      <c r="L303" s="27" t="s">
        <v>550</v>
      </c>
      <c r="M303" s="26" t="str">
        <f>VLOOKUP(E303,'MTS 2026 registrations'!B:B,1,false)</f>
        <v>#N/A</v>
      </c>
      <c r="N303" s="26" t="str">
        <f>VLOOKUP(B303,'MTS 2026 registrations'!A:A,1,false)</f>
        <v>#N/A</v>
      </c>
      <c r="O303" s="38" t="str">
        <f t="shared" si="2"/>
        <v>Marked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</row>
    <row r="304" ht="12.75" customHeight="1">
      <c r="A304" s="19" t="str">
        <f t="shared" si="1"/>
        <v>Patricio microlab</v>
      </c>
      <c r="B304" s="19" t="s">
        <v>1969</v>
      </c>
      <c r="C304" s="72" t="s">
        <v>1969</v>
      </c>
      <c r="D304" s="153"/>
      <c r="E304" s="30" t="s">
        <v>1970</v>
      </c>
      <c r="F304" s="29" t="s">
        <v>1971</v>
      </c>
      <c r="G304" s="32" t="s">
        <v>69</v>
      </c>
      <c r="H304" s="13" t="s">
        <v>45</v>
      </c>
      <c r="I304" s="34"/>
      <c r="J304" s="35"/>
      <c r="K304" s="27" t="s">
        <v>32</v>
      </c>
      <c r="L304" s="27" t="s">
        <v>550</v>
      </c>
      <c r="M304" s="26" t="str">
        <f>VLOOKUP(E304,'MTS 2026 registrations'!B:B,1,false)</f>
        <v>#N/A</v>
      </c>
      <c r="N304" s="26" t="str">
        <f>VLOOKUP(B304,'MTS 2026 registrations'!A:A,1,false)</f>
        <v>#N/A</v>
      </c>
      <c r="O304" s="38" t="str">
        <f t="shared" si="2"/>
        <v>Marked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</row>
    <row r="305" ht="12.75" customHeight="1">
      <c r="A305" s="19" t="str">
        <f t="shared" si="1"/>
        <v>Paul Kengen </v>
      </c>
      <c r="B305" s="19" t="s">
        <v>1972</v>
      </c>
      <c r="C305" s="20" t="s">
        <v>953</v>
      </c>
      <c r="D305" s="20" t="s">
        <v>1973</v>
      </c>
      <c r="E305" s="21" t="s">
        <v>1974</v>
      </c>
      <c r="F305" s="52"/>
      <c r="G305" s="24" t="s">
        <v>29</v>
      </c>
      <c r="H305" s="25" t="s">
        <v>47</v>
      </c>
      <c r="I305" s="26"/>
      <c r="J305" s="35"/>
      <c r="K305" s="27" t="s">
        <v>32</v>
      </c>
      <c r="L305" s="27" t="s">
        <v>550</v>
      </c>
      <c r="M305" s="26" t="str">
        <f>VLOOKUP(E305,'MTS 2026 registrations'!B:B,1,false)</f>
        <v>#N/A</v>
      </c>
      <c r="N305" s="26" t="str">
        <f>VLOOKUP(B305,'MTS 2026 registrations'!A:A,1,false)</f>
        <v>#N/A</v>
      </c>
      <c r="O305" s="38" t="str">
        <f t="shared" si="2"/>
        <v>Marked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23"/>
      <c r="AE305" s="23"/>
    </row>
    <row r="306" ht="14.25" customHeight="1">
      <c r="A306" s="19" t="str">
        <f t="shared" si="1"/>
        <v>Pedro Costa beta-i</v>
      </c>
      <c r="B306" s="19" t="s">
        <v>1975</v>
      </c>
      <c r="C306" s="29" t="s">
        <v>1976</v>
      </c>
      <c r="D306" s="29" t="s">
        <v>1977</v>
      </c>
      <c r="E306" s="30" t="s">
        <v>1978</v>
      </c>
      <c r="F306" s="29" t="s">
        <v>1979</v>
      </c>
      <c r="G306" s="32" t="s">
        <v>1306</v>
      </c>
      <c r="H306" s="13" t="s">
        <v>213</v>
      </c>
      <c r="I306" s="34"/>
      <c r="J306" s="35"/>
      <c r="K306" s="27" t="s">
        <v>32</v>
      </c>
      <c r="L306" s="27" t="s">
        <v>550</v>
      </c>
      <c r="M306" s="26" t="str">
        <f>VLOOKUP(E306,'MTS 2026 registrations'!B:B,1,false)</f>
        <v>#N/A</v>
      </c>
      <c r="N306" s="26" t="str">
        <f>VLOOKUP(B306,'MTS 2026 registrations'!A:A,1,false)</f>
        <v>#N/A</v>
      </c>
      <c r="O306" s="38" t="str">
        <f t="shared" si="2"/>
        <v>Marked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</row>
    <row r="307" ht="12.75" customHeight="1">
      <c r="A307" s="19" t="str">
        <f t="shared" si="1"/>
        <v>Perry van Beek social.one</v>
      </c>
      <c r="B307" s="19" t="s">
        <v>1980</v>
      </c>
      <c r="C307" s="20" t="s">
        <v>1981</v>
      </c>
      <c r="D307" s="53" t="s">
        <v>1982</v>
      </c>
      <c r="E307" s="21" t="s">
        <v>1983</v>
      </c>
      <c r="F307" s="23" t="s">
        <v>1984</v>
      </c>
      <c r="G307" s="42" t="s">
        <v>1306</v>
      </c>
      <c r="H307" s="13" t="s">
        <v>213</v>
      </c>
      <c r="I307" s="34"/>
      <c r="J307" s="35"/>
      <c r="K307" s="27" t="s">
        <v>32</v>
      </c>
      <c r="L307" s="27" t="s">
        <v>550</v>
      </c>
      <c r="M307" s="26" t="str">
        <f>VLOOKUP(E307,'MTS 2026 registrations'!B:B,1,false)</f>
        <v>#N/A</v>
      </c>
      <c r="N307" s="26" t="str">
        <f>VLOOKUP(B307,'MTS 2026 registrations'!A:A,1,false)</f>
        <v>#N/A</v>
      </c>
      <c r="O307" s="38" t="str">
        <f t="shared" si="2"/>
        <v>Marked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</row>
    <row r="308" ht="12.75" customHeight="1">
      <c r="A308" s="19" t="str">
        <f t="shared" si="1"/>
        <v>Peter van der Wee vwinfra</v>
      </c>
      <c r="B308" s="19" t="s">
        <v>1985</v>
      </c>
      <c r="C308" s="20" t="s">
        <v>520</v>
      </c>
      <c r="D308" s="20" t="s">
        <v>1986</v>
      </c>
      <c r="E308" s="21" t="s">
        <v>1987</v>
      </c>
      <c r="F308" s="23" t="s">
        <v>1988</v>
      </c>
      <c r="G308" s="51" t="s">
        <v>56</v>
      </c>
      <c r="H308" s="25" t="s">
        <v>139</v>
      </c>
      <c r="I308" s="26"/>
      <c r="J308" s="35"/>
      <c r="K308" s="27" t="s">
        <v>32</v>
      </c>
      <c r="L308" s="27" t="s">
        <v>550</v>
      </c>
      <c r="M308" s="26" t="str">
        <f>VLOOKUP(E308,'MTS 2026 registrations'!B:B,1,false)</f>
        <v>#N/A</v>
      </c>
      <c r="N308" s="26" t="str">
        <f>VLOOKUP(B308,'MTS 2026 registrations'!A:A,1,false)</f>
        <v>#N/A</v>
      </c>
      <c r="O308" s="38" t="str">
        <f t="shared" si="2"/>
        <v>Marked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</row>
    <row r="309" ht="12.75" customHeight="1">
      <c r="A309" s="19" t="str">
        <f t="shared" si="1"/>
        <v>Peter Stas </v>
      </c>
      <c r="B309" s="19" t="s">
        <v>1989</v>
      </c>
      <c r="C309" s="20" t="s">
        <v>520</v>
      </c>
      <c r="D309" s="20" t="s">
        <v>1990</v>
      </c>
      <c r="E309" s="21" t="s">
        <v>1991</v>
      </c>
      <c r="F309" s="52"/>
      <c r="G309" s="24" t="s">
        <v>29</v>
      </c>
      <c r="H309" s="25" t="s">
        <v>139</v>
      </c>
      <c r="I309" s="26"/>
      <c r="J309" s="35"/>
      <c r="K309" s="27" t="s">
        <v>32</v>
      </c>
      <c r="L309" s="27" t="s">
        <v>550</v>
      </c>
      <c r="M309" s="26" t="str">
        <f>VLOOKUP(E309,'MTS 2026 registrations'!B:B,1,false)</f>
        <v>#N/A</v>
      </c>
      <c r="N309" s="26" t="str">
        <f>VLOOKUP(B309,'MTS 2026 registrations'!A:A,1,false)</f>
        <v>#N/A</v>
      </c>
      <c r="O309" s="38" t="str">
        <f t="shared" si="2"/>
        <v>Marked</v>
      </c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</row>
    <row r="310" ht="12.75" customHeight="1">
      <c r="A310" s="19" t="str">
        <f t="shared" si="1"/>
        <v>Peter Paul van Voorst skoon</v>
      </c>
      <c r="B310" s="19" t="s">
        <v>1992</v>
      </c>
      <c r="C310" s="134" t="s">
        <v>1993</v>
      </c>
      <c r="D310" s="60" t="s">
        <v>1994</v>
      </c>
      <c r="E310" s="62" t="s">
        <v>1995</v>
      </c>
      <c r="F310" s="64" t="s">
        <v>1996</v>
      </c>
      <c r="G310" s="42" t="s">
        <v>1306</v>
      </c>
      <c r="H310" s="25" t="s">
        <v>139</v>
      </c>
      <c r="I310" s="34"/>
      <c r="J310" s="35"/>
      <c r="K310" s="27" t="s">
        <v>32</v>
      </c>
      <c r="L310" s="27" t="s">
        <v>550</v>
      </c>
      <c r="M310" s="26" t="str">
        <f>VLOOKUP(E310,'MTS 2026 registrations'!B:B,1,false)</f>
        <v>#N/A</v>
      </c>
      <c r="N310" s="26" t="str">
        <f>VLOOKUP(B310,'MTS 2026 registrations'!A:A,1,false)</f>
        <v>#N/A</v>
      </c>
      <c r="O310" s="38" t="str">
        <f t="shared" si="2"/>
        <v>Marked</v>
      </c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</row>
    <row r="311" ht="12.75" customHeight="1">
      <c r="A311" s="19" t="str">
        <f t="shared" si="1"/>
        <v>Pim Bellinga grasple</v>
      </c>
      <c r="B311" s="19" t="s">
        <v>1997</v>
      </c>
      <c r="C311" s="20" t="s">
        <v>1998</v>
      </c>
      <c r="D311" s="20" t="s">
        <v>1999</v>
      </c>
      <c r="E311" s="21" t="s">
        <v>2000</v>
      </c>
      <c r="F311" s="23" t="s">
        <v>2001</v>
      </c>
      <c r="G311" s="24" t="s">
        <v>29</v>
      </c>
      <c r="H311" s="25" t="s">
        <v>47</v>
      </c>
      <c r="I311" s="34"/>
      <c r="J311" s="35"/>
      <c r="K311" s="27" t="s">
        <v>32</v>
      </c>
      <c r="L311" s="27" t="s">
        <v>550</v>
      </c>
      <c r="M311" s="26" t="str">
        <f>VLOOKUP(E311,'MTS 2026 registrations'!B:B,1,false)</f>
        <v>#N/A</v>
      </c>
      <c r="N311" s="26" t="str">
        <f>VLOOKUP(B311,'MTS 2026 registrations'!A:A,1,false)</f>
        <v>#N/A</v>
      </c>
      <c r="O311" s="38" t="str">
        <f t="shared" si="2"/>
        <v>Marked</v>
      </c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</row>
    <row r="312" ht="12.75" customHeight="1">
      <c r="A312" s="19" t="str">
        <f t="shared" si="1"/>
        <v>Rens Dommerholt novelt</v>
      </c>
      <c r="B312" s="19" t="s">
        <v>2002</v>
      </c>
      <c r="C312" s="29" t="s">
        <v>2003</v>
      </c>
      <c r="D312" s="29" t="s">
        <v>2004</v>
      </c>
      <c r="E312" s="31" t="s">
        <v>2005</v>
      </c>
      <c r="F312" s="29" t="s">
        <v>2006</v>
      </c>
      <c r="G312" s="32" t="s">
        <v>29</v>
      </c>
      <c r="H312" s="13" t="s">
        <v>213</v>
      </c>
      <c r="I312" s="36" t="s">
        <v>2007</v>
      </c>
      <c r="J312" s="35"/>
      <c r="K312" s="27" t="s">
        <v>32</v>
      </c>
      <c r="L312" s="27" t="s">
        <v>550</v>
      </c>
      <c r="M312" s="26" t="str">
        <f>VLOOKUP(E312,'MTS 2026 registrations'!B:B,1,false)</f>
        <v>#N/A</v>
      </c>
      <c r="N312" s="26" t="str">
        <f>VLOOKUP(B312,'MTS 2026 registrations'!A:A,1,false)</f>
        <v>#N/A</v>
      </c>
      <c r="O312" s="38" t="str">
        <f t="shared" si="2"/>
        <v>Marked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</row>
    <row r="313" ht="12.75" customHeight="1">
      <c r="A313" s="19" t="str">
        <f t="shared" si="1"/>
        <v>Rens de Jong rensdejong</v>
      </c>
      <c r="B313" s="19" t="s">
        <v>2008</v>
      </c>
      <c r="C313" s="60" t="s">
        <v>2003</v>
      </c>
      <c r="D313" s="60" t="s">
        <v>2009</v>
      </c>
      <c r="E313" s="62" t="s">
        <v>2010</v>
      </c>
      <c r="F313" s="64" t="s">
        <v>2011</v>
      </c>
      <c r="G313" s="42" t="s">
        <v>56</v>
      </c>
      <c r="H313" s="25" t="s">
        <v>139</v>
      </c>
      <c r="I313" s="34"/>
      <c r="J313" s="35"/>
      <c r="K313" s="27" t="s">
        <v>32</v>
      </c>
      <c r="L313" s="27" t="s">
        <v>550</v>
      </c>
      <c r="M313" s="26" t="str">
        <f>VLOOKUP(E313,'MTS 2026 registrations'!B:B,1,false)</f>
        <v>#N/A</v>
      </c>
      <c r="N313" s="26" t="str">
        <f>VLOOKUP(B313,'MTS 2026 registrations'!A:A,1,false)</f>
        <v>#N/A</v>
      </c>
      <c r="O313" s="38" t="str">
        <f t="shared" si="2"/>
        <v>Marked</v>
      </c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</row>
    <row r="314" ht="12.75" customHeight="1">
      <c r="A314" s="19" t="str">
        <f t="shared" si="1"/>
        <v>Rianne van der Poel sbicnoordwijk</v>
      </c>
      <c r="B314" s="19" t="s">
        <v>2012</v>
      </c>
      <c r="C314" s="29" t="s">
        <v>2013</v>
      </c>
      <c r="D314" s="29" t="s">
        <v>2014</v>
      </c>
      <c r="E314" s="31" t="s">
        <v>2015</v>
      </c>
      <c r="F314" s="29" t="s">
        <v>2016</v>
      </c>
      <c r="G314" s="32" t="s">
        <v>163</v>
      </c>
      <c r="H314" s="13" t="s">
        <v>213</v>
      </c>
      <c r="I314" s="34"/>
      <c r="J314" s="35"/>
      <c r="K314" s="27" t="s">
        <v>32</v>
      </c>
      <c r="L314" s="27" t="s">
        <v>550</v>
      </c>
      <c r="M314" s="26" t="str">
        <f>VLOOKUP(E314,'MTS 2026 registrations'!B:B,1,false)</f>
        <v>#N/A</v>
      </c>
      <c r="N314" s="26" t="str">
        <f>VLOOKUP(B314,'MTS 2026 registrations'!A:A,1,false)</f>
        <v>#N/A</v>
      </c>
      <c r="O314" s="38" t="str">
        <f t="shared" si="2"/>
        <v>Marked</v>
      </c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</row>
    <row r="315" ht="12.75" customHeight="1">
      <c r="A315" s="19" t="str">
        <f t="shared" si="1"/>
        <v>Ricardo Marvao Beta-i</v>
      </c>
      <c r="B315" s="19" t="s">
        <v>2017</v>
      </c>
      <c r="C315" s="134" t="s">
        <v>2018</v>
      </c>
      <c r="D315" s="102" t="s">
        <v>2019</v>
      </c>
      <c r="E315" s="48" t="s">
        <v>2020</v>
      </c>
      <c r="F315" s="135" t="s">
        <v>2021</v>
      </c>
      <c r="G315" s="42" t="s">
        <v>1306</v>
      </c>
      <c r="H315" s="25" t="s">
        <v>139</v>
      </c>
      <c r="I315" s="34"/>
      <c r="J315" s="35"/>
      <c r="K315" s="27" t="s">
        <v>32</v>
      </c>
      <c r="L315" s="27" t="s">
        <v>550</v>
      </c>
      <c r="M315" s="26" t="str">
        <f>VLOOKUP(E315,'MTS 2026 registrations'!B:B,1,false)</f>
        <v>#N/A</v>
      </c>
      <c r="N315" s="26" t="str">
        <f>VLOOKUP(B315,'MTS 2026 registrations'!A:A,1,false)</f>
        <v>#N/A</v>
      </c>
      <c r="O315" s="38" t="str">
        <f t="shared" si="2"/>
        <v>Marked</v>
      </c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</row>
    <row r="316" ht="12.75" customHeight="1">
      <c r="A316" s="19" t="str">
        <f t="shared" si="1"/>
        <v>Richard Borsboom sandd</v>
      </c>
      <c r="B316" s="19" t="s">
        <v>2022</v>
      </c>
      <c r="C316" s="20" t="s">
        <v>1451</v>
      </c>
      <c r="D316" s="20" t="s">
        <v>2023</v>
      </c>
      <c r="E316" s="21" t="s">
        <v>2024</v>
      </c>
      <c r="F316" s="23" t="s">
        <v>2025</v>
      </c>
      <c r="G316" s="24" t="s">
        <v>29</v>
      </c>
      <c r="H316" s="25" t="s">
        <v>47</v>
      </c>
      <c r="I316" s="13" t="s">
        <v>2026</v>
      </c>
      <c r="J316" s="35"/>
      <c r="K316" s="27" t="s">
        <v>32</v>
      </c>
      <c r="L316" s="27" t="s">
        <v>550</v>
      </c>
      <c r="M316" s="26" t="str">
        <f>VLOOKUP(E316,'MTS 2026 registrations'!B:B,1,false)</f>
        <v>#N/A</v>
      </c>
      <c r="N316" s="26" t="str">
        <f>VLOOKUP(B316,'MTS 2026 registrations'!A:A,1,false)</f>
        <v>#N/A</v>
      </c>
      <c r="O316" s="38" t="str">
        <f t="shared" si="2"/>
        <v>Marked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</row>
    <row r="317" ht="12.75" customHeight="1">
      <c r="A317" s="19" t="str">
        <f t="shared" si="1"/>
        <v>Rick Zagers </v>
      </c>
      <c r="B317" s="19" t="s">
        <v>2027</v>
      </c>
      <c r="C317" s="116" t="s">
        <v>2028</v>
      </c>
      <c r="D317" s="117" t="s">
        <v>2029</v>
      </c>
      <c r="E317" s="48" t="s">
        <v>2030</v>
      </c>
      <c r="F317" s="75"/>
      <c r="G317" s="32" t="s">
        <v>323</v>
      </c>
      <c r="H317" s="25" t="s">
        <v>139</v>
      </c>
      <c r="I317" s="34"/>
      <c r="J317" s="35"/>
      <c r="K317" s="27" t="s">
        <v>32</v>
      </c>
      <c r="L317" s="27" t="s">
        <v>550</v>
      </c>
      <c r="M317" s="26" t="str">
        <f>VLOOKUP(E317,'MTS 2026 registrations'!B:B,1,false)</f>
        <v>#N/A</v>
      </c>
      <c r="N317" s="26" t="str">
        <f>VLOOKUP(B317,'MTS 2026 registrations'!A:A,1,false)</f>
        <v>#N/A</v>
      </c>
      <c r="O317" s="38" t="str">
        <f t="shared" si="2"/>
        <v>Marked</v>
      </c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</row>
    <row r="318" ht="12.75" customHeight="1">
      <c r="A318" s="19" t="str">
        <f t="shared" si="1"/>
        <v>Roel Kamerling tudelft</v>
      </c>
      <c r="B318" s="19" t="s">
        <v>2031</v>
      </c>
      <c r="C318" s="20" t="s">
        <v>1456</v>
      </c>
      <c r="D318" s="20" t="s">
        <v>2032</v>
      </c>
      <c r="E318" s="31" t="s">
        <v>2033</v>
      </c>
      <c r="F318" s="52" t="s">
        <v>184</v>
      </c>
      <c r="G318" s="32" t="s">
        <v>43</v>
      </c>
      <c r="H318" s="25" t="s">
        <v>47</v>
      </c>
      <c r="I318" s="13"/>
      <c r="J318" s="35"/>
      <c r="K318" s="27" t="s">
        <v>32</v>
      </c>
      <c r="L318" s="27" t="s">
        <v>550</v>
      </c>
      <c r="M318" s="26" t="str">
        <f>VLOOKUP(E318,'MTS 2026 registrations'!B:B,1,false)</f>
        <v>#N/A</v>
      </c>
      <c r="N318" s="26" t="str">
        <f>VLOOKUP(B318,'MTS 2026 registrations'!A:A,1,false)</f>
        <v>#N/A</v>
      </c>
      <c r="O318" s="38" t="str">
        <f t="shared" si="2"/>
        <v>Marked</v>
      </c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</row>
    <row r="319" ht="12.75" customHeight="1">
      <c r="A319" s="19" t="str">
        <f t="shared" si="1"/>
        <v>Roksolana Hoogstede tudelft</v>
      </c>
      <c r="B319" s="19" t="s">
        <v>2034</v>
      </c>
      <c r="C319" s="29" t="s">
        <v>2035</v>
      </c>
      <c r="D319" s="29" t="s">
        <v>2036</v>
      </c>
      <c r="E319" s="31" t="s">
        <v>2037</v>
      </c>
      <c r="F319" s="29" t="s">
        <v>184</v>
      </c>
      <c r="G319" s="32" t="s">
        <v>43</v>
      </c>
      <c r="H319" s="13" t="s">
        <v>213</v>
      </c>
      <c r="I319" s="34"/>
      <c r="J319" s="35"/>
      <c r="K319" s="27" t="s">
        <v>32</v>
      </c>
      <c r="L319" s="27" t="s">
        <v>550</v>
      </c>
      <c r="M319" s="26" t="str">
        <f>VLOOKUP(E319,'MTS 2026 registrations'!B:B,1,false)</f>
        <v>#N/A</v>
      </c>
      <c r="N319" s="26" t="str">
        <f>VLOOKUP(B319,'MTS 2026 registrations'!A:A,1,false)</f>
        <v>#N/A</v>
      </c>
      <c r="O319" s="38" t="str">
        <f t="shared" si="2"/>
        <v>Marked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</row>
    <row r="320" ht="12.75" customHeight="1">
      <c r="A320" s="19" t="str">
        <f t="shared" si="1"/>
        <v>Ru Wikmann beesage.co</v>
      </c>
      <c r="B320" s="19" t="s">
        <v>2038</v>
      </c>
      <c r="C320" s="20" t="s">
        <v>2039</v>
      </c>
      <c r="D320" s="20" t="s">
        <v>2040</v>
      </c>
      <c r="E320" s="21" t="s">
        <v>2041</v>
      </c>
      <c r="F320" s="23" t="s">
        <v>1728</v>
      </c>
      <c r="G320" s="32" t="s">
        <v>46</v>
      </c>
      <c r="H320" s="25" t="s">
        <v>47</v>
      </c>
      <c r="I320" s="26"/>
      <c r="J320" s="35"/>
      <c r="K320" s="27" t="s">
        <v>32</v>
      </c>
      <c r="L320" s="27" t="s">
        <v>550</v>
      </c>
      <c r="M320" s="26" t="str">
        <f>VLOOKUP(E320,'MTS 2026 registrations'!B:B,1,false)</f>
        <v>#N/A</v>
      </c>
      <c r="N320" s="26" t="str">
        <f>VLOOKUP(B320,'MTS 2026 registrations'!A:A,1,false)</f>
        <v>#N/A</v>
      </c>
      <c r="O320" s="38" t="str">
        <f t="shared" si="2"/>
        <v>Marked</v>
      </c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</row>
    <row r="321" ht="12.75" customHeight="1">
      <c r="A321" s="19" t="str">
        <f t="shared" si="1"/>
        <v>sander bosman capgemini</v>
      </c>
      <c r="B321" s="19" t="s">
        <v>2042</v>
      </c>
      <c r="C321" s="29" t="s">
        <v>2043</v>
      </c>
      <c r="D321" s="29" t="s">
        <v>2044</v>
      </c>
      <c r="E321" s="30" t="s">
        <v>2045</v>
      </c>
      <c r="F321" s="29" t="s">
        <v>2046</v>
      </c>
      <c r="G321" s="32" t="s">
        <v>323</v>
      </c>
      <c r="H321" s="13" t="s">
        <v>213</v>
      </c>
      <c r="I321" s="34"/>
      <c r="J321" s="35"/>
      <c r="K321" s="27" t="s">
        <v>32</v>
      </c>
      <c r="L321" s="27" t="s">
        <v>550</v>
      </c>
      <c r="M321" s="26" t="str">
        <f>VLOOKUP(E321,'MTS 2026 registrations'!B:B,1,false)</f>
        <v>#N/A</v>
      </c>
      <c r="N321" s="26" t="str">
        <f>VLOOKUP(B321,'MTS 2026 registrations'!A:A,1,false)</f>
        <v>#N/A</v>
      </c>
      <c r="O321" s="38" t="str">
        <f t="shared" si="2"/>
        <v>Marked</v>
      </c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</row>
    <row r="322" ht="12.75" customHeight="1">
      <c r="A322" s="19" t="str">
        <f t="shared" si="1"/>
        <v>Sandra van Heukelom </v>
      </c>
      <c r="B322" s="19" t="s">
        <v>2047</v>
      </c>
      <c r="C322" s="102" t="s">
        <v>2048</v>
      </c>
      <c r="D322" s="141" t="s">
        <v>2049</v>
      </c>
      <c r="E322" s="48" t="s">
        <v>2050</v>
      </c>
      <c r="F322" s="135"/>
      <c r="G322" s="42" t="s">
        <v>1306</v>
      </c>
      <c r="H322" s="143" t="s">
        <v>139</v>
      </c>
      <c r="I322" s="13" t="s">
        <v>2051</v>
      </c>
      <c r="J322" s="35"/>
      <c r="K322" s="27" t="s">
        <v>32</v>
      </c>
      <c r="L322" s="27" t="s">
        <v>550</v>
      </c>
      <c r="M322" s="26" t="str">
        <f>VLOOKUP(E322,'MTS 2026 registrations'!B:B,1,false)</f>
        <v>#N/A</v>
      </c>
      <c r="N322" s="26" t="str">
        <f>VLOOKUP(B322,'MTS 2026 registrations'!A:A,1,false)</f>
        <v>#N/A</v>
      </c>
      <c r="O322" s="38" t="str">
        <f t="shared" si="2"/>
        <v>Marked</v>
      </c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</row>
    <row r="323" ht="12.75" customHeight="1">
      <c r="A323" s="19" t="str">
        <f t="shared" si="1"/>
        <v>Sija van den Beukel de ingenieur</v>
      </c>
      <c r="B323" s="19" t="s">
        <v>2052</v>
      </c>
      <c r="C323" s="20" t="s">
        <v>2053</v>
      </c>
      <c r="D323" s="20" t="s">
        <v>2054</v>
      </c>
      <c r="E323" s="21" t="s">
        <v>2055</v>
      </c>
      <c r="F323" s="52" t="s">
        <v>2056</v>
      </c>
      <c r="G323" s="24" t="s">
        <v>1593</v>
      </c>
      <c r="H323" s="13" t="s">
        <v>57</v>
      </c>
      <c r="I323" s="34"/>
      <c r="J323" s="35"/>
      <c r="K323" s="27" t="s">
        <v>32</v>
      </c>
      <c r="L323" s="27" t="s">
        <v>550</v>
      </c>
      <c r="M323" s="26" t="str">
        <f>VLOOKUP(E323,'MTS 2026 registrations'!B:B,1,false)</f>
        <v>#N/A</v>
      </c>
      <c r="N323" s="26" t="str">
        <f>VLOOKUP(B323,'MTS 2026 registrations'!A:A,1,false)</f>
        <v>#N/A</v>
      </c>
      <c r="O323" s="38" t="str">
        <f t="shared" si="2"/>
        <v>Marked</v>
      </c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</row>
    <row r="324" ht="12.75" customHeight="1">
      <c r="A324" s="19" t="str">
        <f t="shared" si="1"/>
        <v>Stefan Buijsman tudelft</v>
      </c>
      <c r="B324" s="19" t="s">
        <v>2057</v>
      </c>
      <c r="C324" s="29" t="s">
        <v>1056</v>
      </c>
      <c r="D324" s="29" t="s">
        <v>2058</v>
      </c>
      <c r="E324" s="30" t="s">
        <v>2059</v>
      </c>
      <c r="F324" s="29" t="s">
        <v>184</v>
      </c>
      <c r="G324" s="32" t="s">
        <v>43</v>
      </c>
      <c r="H324" s="13" t="s">
        <v>213</v>
      </c>
      <c r="I324" s="34"/>
      <c r="J324" s="35"/>
      <c r="K324" s="27" t="s">
        <v>32</v>
      </c>
      <c r="L324" s="27" t="s">
        <v>550</v>
      </c>
      <c r="M324" s="26" t="str">
        <f>VLOOKUP(E324,'MTS 2026 registrations'!B:B,1,false)</f>
        <v>#N/A</v>
      </c>
      <c r="N324" s="26" t="str">
        <f>VLOOKUP(B324,'MTS 2026 registrations'!A:A,1,false)</f>
        <v>#N/A</v>
      </c>
      <c r="O324" s="38" t="str">
        <f t="shared" si="2"/>
        <v>Marked</v>
      </c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</row>
    <row r="325" ht="12.75" customHeight="1">
      <c r="A325" s="19" t="str">
        <f t="shared" si="1"/>
        <v>Stijn Michiels RWS</v>
      </c>
      <c r="B325" s="19" t="s">
        <v>2060</v>
      </c>
      <c r="C325" s="112" t="s">
        <v>2061</v>
      </c>
      <c r="D325" s="29" t="s">
        <v>2062</v>
      </c>
      <c r="E325" s="30" t="s">
        <v>2063</v>
      </c>
      <c r="F325" s="72" t="s">
        <v>2064</v>
      </c>
      <c r="G325" s="32" t="s">
        <v>323</v>
      </c>
      <c r="H325" s="13" t="s">
        <v>45</v>
      </c>
      <c r="I325" s="34"/>
      <c r="J325" s="35"/>
      <c r="K325" s="27" t="s">
        <v>32</v>
      </c>
      <c r="L325" s="27" t="s">
        <v>550</v>
      </c>
      <c r="M325" s="26" t="str">
        <f>VLOOKUP(E325,'MTS 2026 registrations'!B:B,1,false)</f>
        <v>#N/A</v>
      </c>
      <c r="N325" s="26" t="str">
        <f>VLOOKUP(B325,'MTS 2026 registrations'!A:A,1,false)</f>
        <v>#N/A</v>
      </c>
      <c r="O325" s="38" t="str">
        <f t="shared" si="2"/>
        <v>Marked</v>
      </c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</row>
    <row r="326" ht="12.75" customHeight="1">
      <c r="A326" s="19" t="str">
        <f t="shared" si="1"/>
        <v>Suzanne Blotenburg </v>
      </c>
      <c r="B326" s="19" t="s">
        <v>2065</v>
      </c>
      <c r="C326" s="20" t="s">
        <v>2066</v>
      </c>
      <c r="D326" s="20" t="s">
        <v>2067</v>
      </c>
      <c r="E326" s="21" t="s">
        <v>2068</v>
      </c>
      <c r="F326" s="52"/>
      <c r="G326" s="24" t="s">
        <v>1593</v>
      </c>
      <c r="H326" s="13" t="s">
        <v>57</v>
      </c>
      <c r="I326" s="26"/>
      <c r="J326" s="35"/>
      <c r="K326" s="27" t="s">
        <v>32</v>
      </c>
      <c r="L326" s="27" t="s">
        <v>550</v>
      </c>
      <c r="M326" s="26" t="str">
        <f>VLOOKUP(E326,'MTS 2026 registrations'!B:B,1,false)</f>
        <v>#N/A</v>
      </c>
      <c r="N326" s="26" t="str">
        <f>VLOOKUP(B326,'MTS 2026 registrations'!A:A,1,false)</f>
        <v>#N/A</v>
      </c>
      <c r="O326" s="38" t="str">
        <f t="shared" si="2"/>
        <v>Marked</v>
      </c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</row>
    <row r="327" ht="12.75" customHeight="1">
      <c r="A327" s="19" t="str">
        <f t="shared" si="1"/>
        <v>Tara van de Lagemaat skoon</v>
      </c>
      <c r="B327" s="19" t="s">
        <v>2069</v>
      </c>
      <c r="C327" s="29" t="s">
        <v>2070</v>
      </c>
      <c r="D327" s="29" t="s">
        <v>2071</v>
      </c>
      <c r="E327" s="30" t="s">
        <v>2072</v>
      </c>
      <c r="F327" s="29" t="s">
        <v>1996</v>
      </c>
      <c r="G327" s="32" t="s">
        <v>1306</v>
      </c>
      <c r="H327" s="13" t="s">
        <v>213</v>
      </c>
      <c r="I327" s="34"/>
      <c r="J327" s="154"/>
      <c r="K327" s="27" t="s">
        <v>32</v>
      </c>
      <c r="L327" s="27" t="s">
        <v>550</v>
      </c>
      <c r="M327" s="26" t="str">
        <f>VLOOKUP(E327,'MTS 2026 registrations'!B:B,1,false)</f>
        <v>#N/A</v>
      </c>
      <c r="N327" s="26" t="str">
        <f>VLOOKUP(B327,'MTS 2026 registrations'!A:A,1,false)</f>
        <v>#N/A</v>
      </c>
      <c r="O327" s="38" t="str">
        <f t="shared" si="2"/>
        <v>Marked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</row>
    <row r="328" ht="12.75" customHeight="1">
      <c r="A328" s="19" t="str">
        <f t="shared" si="1"/>
        <v>Tessa de Flines Female Ventures</v>
      </c>
      <c r="B328" s="19" t="s">
        <v>2073</v>
      </c>
      <c r="C328" s="20" t="s">
        <v>2074</v>
      </c>
      <c r="D328" s="20" t="s">
        <v>2075</v>
      </c>
      <c r="E328" s="21" t="s">
        <v>2076</v>
      </c>
      <c r="F328" s="23" t="s">
        <v>27</v>
      </c>
      <c r="G328" s="42" t="s">
        <v>69</v>
      </c>
      <c r="H328" s="25" t="s">
        <v>31</v>
      </c>
      <c r="I328" s="34"/>
      <c r="J328" s="35"/>
      <c r="K328" s="27" t="s">
        <v>32</v>
      </c>
      <c r="L328" s="27" t="s">
        <v>550</v>
      </c>
      <c r="M328" s="26" t="str">
        <f>VLOOKUP(E328,'MTS 2026 registrations'!B:B,1,false)</f>
        <v>#N/A</v>
      </c>
      <c r="N328" s="26" t="str">
        <f>VLOOKUP(B328,'MTS 2026 registrations'!A:A,1,false)</f>
        <v>#N/A</v>
      </c>
      <c r="O328" s="38" t="str">
        <f t="shared" si="2"/>
        <v>Marked</v>
      </c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</row>
    <row r="329" ht="12.75" customHeight="1">
      <c r="A329" s="19" t="str">
        <f t="shared" si="1"/>
        <v>Theo de Vries unmannedvalley</v>
      </c>
      <c r="B329" s="19" t="s">
        <v>2077</v>
      </c>
      <c r="C329" s="60" t="s">
        <v>2078</v>
      </c>
      <c r="D329" s="60" t="s">
        <v>105</v>
      </c>
      <c r="E329" s="62" t="s">
        <v>2079</v>
      </c>
      <c r="F329" s="64" t="s">
        <v>2080</v>
      </c>
      <c r="G329" s="42" t="s">
        <v>56</v>
      </c>
      <c r="H329" s="25" t="s">
        <v>139</v>
      </c>
      <c r="I329" s="34"/>
      <c r="J329" s="35"/>
      <c r="K329" s="27" t="s">
        <v>32</v>
      </c>
      <c r="L329" s="27" t="s">
        <v>550</v>
      </c>
      <c r="M329" s="26" t="str">
        <f>VLOOKUP(E329,'MTS 2026 registrations'!B:B,1,false)</f>
        <v>#N/A</v>
      </c>
      <c r="N329" s="26" t="str">
        <f>VLOOKUP(B329,'MTS 2026 registrations'!A:A,1,false)</f>
        <v>#N/A</v>
      </c>
      <c r="O329" s="38" t="str">
        <f t="shared" si="2"/>
        <v>Marked</v>
      </c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</row>
    <row r="330" ht="12.75" customHeight="1">
      <c r="A330" s="19" t="str">
        <f t="shared" si="1"/>
        <v>Thirza Troost shiftpeople</v>
      </c>
      <c r="B330" s="19" t="s">
        <v>2081</v>
      </c>
      <c r="C330" s="29" t="s">
        <v>2082</v>
      </c>
      <c r="D330" s="29" t="s">
        <v>2083</v>
      </c>
      <c r="E330" s="30" t="s">
        <v>2084</v>
      </c>
      <c r="F330" s="29" t="s">
        <v>2085</v>
      </c>
      <c r="G330" s="32" t="s">
        <v>1306</v>
      </c>
      <c r="H330" s="13" t="s">
        <v>213</v>
      </c>
      <c r="I330" s="34"/>
      <c r="J330" s="35"/>
      <c r="K330" s="27" t="s">
        <v>32</v>
      </c>
      <c r="L330" s="27" t="s">
        <v>550</v>
      </c>
      <c r="M330" s="26" t="str">
        <f>VLOOKUP(E330,'MTS 2026 registrations'!B:B,1,false)</f>
        <v>#N/A</v>
      </c>
      <c r="N330" s="26" t="str">
        <f>VLOOKUP(B330,'MTS 2026 registrations'!A:A,1,false)</f>
        <v>#N/A</v>
      </c>
      <c r="O330" s="38" t="str">
        <f t="shared" si="2"/>
        <v>Marked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</row>
    <row r="331" ht="12.75" customHeight="1">
      <c r="A331" s="19" t="str">
        <f t="shared" si="1"/>
        <v>Ties van Bruinessen TU Delft</v>
      </c>
      <c r="B331" s="19" t="s">
        <v>2086</v>
      </c>
      <c r="C331" s="102" t="s">
        <v>2087</v>
      </c>
      <c r="D331" s="102" t="s">
        <v>2088</v>
      </c>
      <c r="E331" s="48" t="s">
        <v>2089</v>
      </c>
      <c r="F331" s="49" t="s">
        <v>2090</v>
      </c>
      <c r="G331" s="42" t="s">
        <v>69</v>
      </c>
      <c r="H331" s="25" t="s">
        <v>139</v>
      </c>
      <c r="I331" s="34"/>
      <c r="J331" s="35"/>
      <c r="K331" s="27" t="s">
        <v>32</v>
      </c>
      <c r="L331" s="27" t="s">
        <v>550</v>
      </c>
      <c r="M331" s="26" t="str">
        <f>VLOOKUP(E331,'MTS 2026 registrations'!B:B,1,false)</f>
        <v>#N/A</v>
      </c>
      <c r="N331" s="26" t="str">
        <f>VLOOKUP(B331,'MTS 2026 registrations'!A:A,1,false)</f>
        <v>#N/A</v>
      </c>
      <c r="O331" s="38" t="str">
        <f t="shared" si="2"/>
        <v>Marked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</row>
    <row r="332" ht="12.75" customHeight="1">
      <c r="A332" s="19" t="str">
        <f t="shared" si="1"/>
        <v>Tim van der Hagen TU Delft</v>
      </c>
      <c r="B332" s="19" t="s">
        <v>2091</v>
      </c>
      <c r="C332" s="102" t="s">
        <v>1122</v>
      </c>
      <c r="D332" s="102" t="s">
        <v>2092</v>
      </c>
      <c r="E332" s="48" t="s">
        <v>2093</v>
      </c>
      <c r="F332" s="49" t="s">
        <v>2090</v>
      </c>
      <c r="G332" s="42" t="s">
        <v>69</v>
      </c>
      <c r="H332" s="25" t="s">
        <v>139</v>
      </c>
      <c r="I332" s="34"/>
      <c r="J332" s="35"/>
      <c r="K332" s="27" t="s">
        <v>32</v>
      </c>
      <c r="L332" s="27" t="s">
        <v>550</v>
      </c>
      <c r="M332" s="26" t="str">
        <f>VLOOKUP(E332,'MTS 2026 registrations'!B:B,1,false)</f>
        <v>#N/A</v>
      </c>
      <c r="N332" s="26" t="str">
        <f>VLOOKUP(B332,'MTS 2026 registrations'!A:A,1,false)</f>
        <v>#N/A</v>
      </c>
      <c r="O332" s="38" t="str">
        <f t="shared" si="2"/>
        <v>Marked</v>
      </c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</row>
    <row r="333" ht="12.75" customHeight="1">
      <c r="A333" s="19" t="str">
        <f t="shared" si="1"/>
        <v>Tim Meijster tudelft</v>
      </c>
      <c r="B333" s="19" t="s">
        <v>2094</v>
      </c>
      <c r="C333" s="29" t="s">
        <v>1122</v>
      </c>
      <c r="D333" s="29" t="s">
        <v>2095</v>
      </c>
      <c r="E333" s="140" t="s">
        <v>2096</v>
      </c>
      <c r="F333" s="29" t="s">
        <v>184</v>
      </c>
      <c r="G333" s="32" t="s">
        <v>43</v>
      </c>
      <c r="H333" s="13" t="s">
        <v>213</v>
      </c>
      <c r="I333" s="34"/>
      <c r="J333" s="35"/>
      <c r="K333" s="27" t="s">
        <v>32</v>
      </c>
      <c r="L333" s="27" t="s">
        <v>550</v>
      </c>
      <c r="M333" s="26" t="str">
        <f>VLOOKUP(E333,'MTS 2026 registrations'!B:B,1,false)</f>
        <v>#N/A</v>
      </c>
      <c r="N333" s="26" t="str">
        <f>VLOOKUP(B333,'MTS 2026 registrations'!A:A,1,false)</f>
        <v>#N/A</v>
      </c>
      <c r="O333" s="38" t="str">
        <f t="shared" si="2"/>
        <v>Marked</v>
      </c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</row>
    <row r="334" ht="12.75" customHeight="1">
      <c r="A334" s="19" t="str">
        <f t="shared" si="1"/>
        <v>Tomas Eoin thehaguetech</v>
      </c>
      <c r="B334" s="19" t="s">
        <v>2097</v>
      </c>
      <c r="C334" s="29" t="s">
        <v>2098</v>
      </c>
      <c r="D334" s="29" t="s">
        <v>2099</v>
      </c>
      <c r="E334" s="30" t="s">
        <v>2100</v>
      </c>
      <c r="F334" s="29" t="s">
        <v>2101</v>
      </c>
      <c r="G334" s="24" t="s">
        <v>29</v>
      </c>
      <c r="H334" s="13" t="s">
        <v>45</v>
      </c>
      <c r="I334" s="34"/>
      <c r="J334" s="35"/>
      <c r="K334" s="27" t="s">
        <v>32</v>
      </c>
      <c r="L334" s="27" t="s">
        <v>550</v>
      </c>
      <c r="M334" s="26" t="str">
        <f>VLOOKUP(E334,'MTS 2026 registrations'!B:B,1,false)</f>
        <v>#N/A</v>
      </c>
      <c r="N334" s="26" t="str">
        <f>VLOOKUP(B334,'MTS 2026 registrations'!A:A,1,false)</f>
        <v>#N/A</v>
      </c>
      <c r="O334" s="38" t="str">
        <f t="shared" si="2"/>
        <v>Marked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</row>
    <row r="335" ht="12.75" customHeight="1">
      <c r="A335" s="19" t="str">
        <f t="shared" si="1"/>
        <v>Velina Veleva YES!Delft Partner</v>
      </c>
      <c r="B335" s="19" t="s">
        <v>2102</v>
      </c>
      <c r="C335" s="20" t="s">
        <v>2103</v>
      </c>
      <c r="D335" s="20" t="s">
        <v>2104</v>
      </c>
      <c r="E335" s="139" t="s">
        <v>27</v>
      </c>
      <c r="F335" s="155" t="s">
        <v>2105</v>
      </c>
      <c r="G335" s="24" t="s">
        <v>29</v>
      </c>
      <c r="H335" s="25" t="s">
        <v>31</v>
      </c>
      <c r="I335" s="26"/>
      <c r="J335" s="35"/>
      <c r="K335" s="27" t="s">
        <v>32</v>
      </c>
      <c r="L335" s="27" t="s">
        <v>550</v>
      </c>
      <c r="M335" s="26" t="str">
        <f>VLOOKUP(E335,'MTS 2026 registrations'!B:B,1,false)</f>
        <v>#N/A</v>
      </c>
      <c r="N335" s="26" t="str">
        <f>VLOOKUP(B335,'MTS 2026 registrations'!A:A,1,false)</f>
        <v>#N/A</v>
      </c>
      <c r="O335" s="38" t="str">
        <f t="shared" si="2"/>
        <v>Marked</v>
      </c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34"/>
      <c r="AE335" s="34"/>
    </row>
    <row r="336" ht="12.75" customHeight="1">
      <c r="A336" s="19" t="str">
        <f t="shared" si="1"/>
        <v>Wesley Lie-kon-pauw Rabobank</v>
      </c>
      <c r="B336" s="19" t="s">
        <v>2106</v>
      </c>
      <c r="C336" s="29" t="s">
        <v>2107</v>
      </c>
      <c r="D336" s="29" t="s">
        <v>2108</v>
      </c>
      <c r="E336" s="76" t="s">
        <v>2109</v>
      </c>
      <c r="F336" s="49" t="s">
        <v>66</v>
      </c>
      <c r="G336" s="42" t="s">
        <v>69</v>
      </c>
      <c r="H336" s="25" t="s">
        <v>139</v>
      </c>
      <c r="I336" s="34"/>
      <c r="J336" s="35"/>
      <c r="K336" s="27" t="s">
        <v>32</v>
      </c>
      <c r="L336" s="27" t="s">
        <v>550</v>
      </c>
      <c r="M336" s="26" t="str">
        <f>VLOOKUP(E336,'MTS 2026 registrations'!B:B,1,false)</f>
        <v>#N/A</v>
      </c>
      <c r="N336" s="26" t="str">
        <f>VLOOKUP(B336,'MTS 2026 registrations'!A:A,1,false)</f>
        <v>#N/A</v>
      </c>
      <c r="O336" s="38" t="str">
        <f t="shared" si="2"/>
        <v>Marked</v>
      </c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</row>
    <row r="337" ht="12.75" customHeight="1">
      <c r="A337" s="19" t="str">
        <f t="shared" si="1"/>
        <v>Wil Flikweert planet</v>
      </c>
      <c r="B337" s="19" t="s">
        <v>2110</v>
      </c>
      <c r="C337" s="20" t="s">
        <v>2111</v>
      </c>
      <c r="D337" s="20" t="s">
        <v>2112</v>
      </c>
      <c r="E337" s="21" t="s">
        <v>2113</v>
      </c>
      <c r="F337" s="23" t="s">
        <v>2114</v>
      </c>
      <c r="G337" s="24" t="s">
        <v>225</v>
      </c>
      <c r="H337" s="25" t="s">
        <v>47</v>
      </c>
      <c r="I337" s="34"/>
      <c r="J337" s="35"/>
      <c r="K337" s="27" t="s">
        <v>32</v>
      </c>
      <c r="L337" s="27" t="s">
        <v>550</v>
      </c>
      <c r="M337" s="26" t="str">
        <f>VLOOKUP(E337,'MTS 2026 registrations'!B:B,1,false)</f>
        <v>#N/A</v>
      </c>
      <c r="N337" s="26" t="str">
        <f>VLOOKUP(B337,'MTS 2026 registrations'!A:A,1,false)</f>
        <v>#N/A</v>
      </c>
      <c r="O337" s="38" t="str">
        <f t="shared" si="2"/>
        <v>Marked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</row>
    <row r="338" ht="12.75" customHeight="1">
      <c r="A338" s="19" t="str">
        <f t="shared" si="1"/>
        <v>Yannick Boertje boemcybersecurity</v>
      </c>
      <c r="B338" s="19" t="s">
        <v>2115</v>
      </c>
      <c r="C338" s="29" t="s">
        <v>2116</v>
      </c>
      <c r="D338" s="29" t="s">
        <v>2117</v>
      </c>
      <c r="E338" s="30" t="s">
        <v>2118</v>
      </c>
      <c r="F338" s="29" t="s">
        <v>1546</v>
      </c>
      <c r="G338" s="32" t="s">
        <v>69</v>
      </c>
      <c r="H338" s="13" t="s">
        <v>45</v>
      </c>
      <c r="I338" s="34"/>
      <c r="J338" s="35"/>
      <c r="K338" s="27" t="s">
        <v>32</v>
      </c>
      <c r="L338" s="27" t="s">
        <v>550</v>
      </c>
      <c r="M338" s="26" t="str">
        <f>VLOOKUP(E338,'MTS 2026 registrations'!B:B,1,false)</f>
        <v>#N/A</v>
      </c>
      <c r="N338" s="26" t="str">
        <f>VLOOKUP(B338,'MTS 2026 registrations'!A:A,1,false)</f>
        <v>#N/A</v>
      </c>
      <c r="O338" s="38" t="str">
        <f t="shared" si="2"/>
        <v>Marked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</row>
    <row r="339" ht="12.75" customHeight="1">
      <c r="A339" s="19" t="str">
        <f t="shared" si="1"/>
        <v>Dimitri Zantvliet NS</v>
      </c>
      <c r="B339" s="19" t="s">
        <v>2119</v>
      </c>
      <c r="C339" s="29" t="s">
        <v>2120</v>
      </c>
      <c r="D339" s="29" t="s">
        <v>2121</v>
      </c>
      <c r="E339" s="30" t="s">
        <v>2122</v>
      </c>
      <c r="F339" s="13" t="s">
        <v>2123</v>
      </c>
      <c r="G339" s="32" t="s">
        <v>56</v>
      </c>
      <c r="H339" s="13" t="s">
        <v>45</v>
      </c>
      <c r="I339" s="34"/>
      <c r="J339" s="35" t="s">
        <v>2124</v>
      </c>
      <c r="K339" s="27" t="s">
        <v>50</v>
      </c>
      <c r="L339" s="13" t="s">
        <v>2125</v>
      </c>
      <c r="M339" s="26" t="str">
        <f>VLOOKUP(E339,'MTS 2026 registrations'!B:B,1,false)</f>
        <v>#N/A</v>
      </c>
      <c r="N339" s="26" t="str">
        <f>VLOOKUP(B339,'MTS 2026 registrations'!A:A,1,false)</f>
        <v>#N/A</v>
      </c>
      <c r="O339" s="38" t="str">
        <f t="shared" si="2"/>
        <v>Marked</v>
      </c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23"/>
      <c r="AE339" s="23"/>
    </row>
    <row r="340" ht="12.75" customHeight="1">
      <c r="A340" s="19" t="str">
        <f t="shared" si="1"/>
        <v>Aman Jindal denoize</v>
      </c>
      <c r="B340" s="19" t="s">
        <v>2126</v>
      </c>
      <c r="C340" s="20" t="s">
        <v>2127</v>
      </c>
      <c r="D340" s="20" t="s">
        <v>2128</v>
      </c>
      <c r="E340" s="21" t="s">
        <v>2129</v>
      </c>
      <c r="F340" s="23" t="s">
        <v>2130</v>
      </c>
      <c r="G340" s="32" t="s">
        <v>46</v>
      </c>
      <c r="H340" s="25" t="s">
        <v>47</v>
      </c>
      <c r="I340" s="23"/>
      <c r="J340" s="35" t="s">
        <v>2131</v>
      </c>
      <c r="K340" s="27" t="s">
        <v>50</v>
      </c>
      <c r="L340" s="25" t="s">
        <v>10</v>
      </c>
      <c r="M340" s="26" t="str">
        <f>VLOOKUP(E340,'MTS 2026 registrations'!B:B,1,false)</f>
        <v>aman.jindal@denoize.com</v>
      </c>
      <c r="N340" s="26" t="str">
        <f>VLOOKUP(B340,'MTS 2026 registrations'!A:A,1,false)</f>
        <v>Aman Jindal</v>
      </c>
      <c r="O340" s="38" t="str">
        <f t="shared" si="2"/>
        <v/>
      </c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2.75" customHeight="1">
      <c r="A341" s="19" t="str">
        <f t="shared" si="1"/>
        <v>Anita Lieverdink aic4nl</v>
      </c>
      <c r="B341" s="19" t="s">
        <v>2132</v>
      </c>
      <c r="C341" s="29" t="s">
        <v>2133</v>
      </c>
      <c r="D341" s="29" t="s">
        <v>2134</v>
      </c>
      <c r="E341" s="30" t="s">
        <v>2135</v>
      </c>
      <c r="F341" s="29" t="s">
        <v>2136</v>
      </c>
      <c r="G341" s="32" t="s">
        <v>1306</v>
      </c>
      <c r="H341" s="13" t="s">
        <v>213</v>
      </c>
      <c r="I341" s="34"/>
      <c r="J341" s="35" t="s">
        <v>2137</v>
      </c>
      <c r="K341" s="27" t="s">
        <v>50</v>
      </c>
      <c r="L341" s="25" t="s">
        <v>10</v>
      </c>
      <c r="M341" s="26" t="str">
        <f>VLOOKUP(E341,'MTS 2026 registrations'!B:B,1,false)</f>
        <v>anita.lieverdink@aic4nl.nl</v>
      </c>
      <c r="N341" s="26" t="str">
        <f>VLOOKUP(B341,'MTS 2026 registrations'!A:A,1,false)</f>
        <v>Anita Lieverdink</v>
      </c>
      <c r="O341" s="38" t="str">
        <f t="shared" si="2"/>
        <v/>
      </c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2.75" customHeight="1">
      <c r="A342" s="19" t="str">
        <f t="shared" si="1"/>
        <v>Anouk Dijkstal tudelft</v>
      </c>
      <c r="B342" s="19" t="s">
        <v>2138</v>
      </c>
      <c r="C342" s="29" t="s">
        <v>2139</v>
      </c>
      <c r="D342" s="29" t="s">
        <v>2140</v>
      </c>
      <c r="E342" s="30" t="s">
        <v>2141</v>
      </c>
      <c r="F342" s="29" t="s">
        <v>184</v>
      </c>
      <c r="G342" s="32" t="s">
        <v>43</v>
      </c>
      <c r="H342" s="13" t="s">
        <v>213</v>
      </c>
      <c r="I342" s="34"/>
      <c r="J342" s="35" t="s">
        <v>2142</v>
      </c>
      <c r="K342" s="27" t="s">
        <v>50</v>
      </c>
      <c r="L342" s="25" t="s">
        <v>10</v>
      </c>
      <c r="M342" s="26" t="str">
        <f>VLOOKUP(E342,'MTS 2026 registrations'!B:B,1,false)</f>
        <v>a.s.dijkstal@tudelft.nl</v>
      </c>
      <c r="N342" s="26" t="str">
        <f>VLOOKUP(B342,'MTS 2026 registrations'!A:A,1,false)</f>
        <v>Anouk Dijkstal</v>
      </c>
      <c r="O342" s="38" t="str">
        <f t="shared" si="2"/>
        <v/>
      </c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2.75" customHeight="1">
      <c r="A343" s="19" t="str">
        <f t="shared" si="1"/>
        <v>Anske Plante tudelft</v>
      </c>
      <c r="B343" s="19" t="s">
        <v>2143</v>
      </c>
      <c r="C343" s="60" t="s">
        <v>2144</v>
      </c>
      <c r="D343" s="60" t="s">
        <v>2145</v>
      </c>
      <c r="E343" s="62" t="s">
        <v>2146</v>
      </c>
      <c r="F343" s="64" t="s">
        <v>184</v>
      </c>
      <c r="G343" s="32" t="s">
        <v>43</v>
      </c>
      <c r="H343" s="25" t="s">
        <v>139</v>
      </c>
      <c r="I343" s="34"/>
      <c r="J343" s="35" t="s">
        <v>2147</v>
      </c>
      <c r="K343" s="27" t="s">
        <v>50</v>
      </c>
      <c r="L343" s="25" t="s">
        <v>10</v>
      </c>
      <c r="M343" s="26" t="str">
        <f>VLOOKUP(E343,'MTS 2026 registrations'!B:B,1,false)</f>
        <v>j.a.plante@tudelft.nl</v>
      </c>
      <c r="N343" s="26" t="str">
        <f>VLOOKUP(B343,'MTS 2026 registrations'!A:A,1,false)</f>
        <v>Anske Plante</v>
      </c>
      <c r="O343" s="38" t="str">
        <f t="shared" si="2"/>
        <v/>
      </c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2.75" customHeight="1">
      <c r="A344" s="19" t="str">
        <f t="shared" si="1"/>
        <v>Arie Slottje </v>
      </c>
      <c r="B344" s="19" t="s">
        <v>2148</v>
      </c>
      <c r="C344" s="20" t="s">
        <v>2149</v>
      </c>
      <c r="D344" s="20" t="s">
        <v>2150</v>
      </c>
      <c r="E344" s="21" t="s">
        <v>2151</v>
      </c>
      <c r="F344" s="52"/>
      <c r="G344" s="24" t="s">
        <v>225</v>
      </c>
      <c r="H344" s="25" t="s">
        <v>47</v>
      </c>
      <c r="I344" s="26"/>
      <c r="J344" s="35" t="s">
        <v>2152</v>
      </c>
      <c r="K344" s="27" t="s">
        <v>50</v>
      </c>
      <c r="L344" s="25" t="s">
        <v>10</v>
      </c>
      <c r="M344" s="26" t="str">
        <f>VLOOKUP(E344,'MTS 2026 registrations'!B:B,1,false)</f>
        <v>slottjearie@gmail.com</v>
      </c>
      <c r="N344" s="26" t="str">
        <f>VLOOKUP(B344,'MTS 2026 registrations'!A:A,1,false)</f>
        <v>Arie Slottje</v>
      </c>
      <c r="O344" s="38" t="str">
        <f t="shared" si="2"/>
        <v/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23"/>
      <c r="AE344" s="23"/>
    </row>
    <row r="345" ht="12.75" customHeight="1">
      <c r="A345" s="19" t="str">
        <f t="shared" si="1"/>
        <v>Arthur Kramer Visible Investments</v>
      </c>
      <c r="B345" s="19" t="s">
        <v>2153</v>
      </c>
      <c r="C345" s="132" t="s">
        <v>2154</v>
      </c>
      <c r="D345" s="156" t="s">
        <v>2155</v>
      </c>
      <c r="E345" s="50" t="s">
        <v>2156</v>
      </c>
      <c r="F345" s="50" t="s">
        <v>2157</v>
      </c>
      <c r="G345" s="32" t="s">
        <v>163</v>
      </c>
      <c r="H345" s="25" t="s">
        <v>47</v>
      </c>
      <c r="I345" s="34"/>
      <c r="J345" s="35" t="s">
        <v>2158</v>
      </c>
      <c r="K345" s="27" t="s">
        <v>50</v>
      </c>
      <c r="L345" s="25" t="s">
        <v>10</v>
      </c>
      <c r="M345" s="26" t="str">
        <f>VLOOKUP(E345,'MTS 2026 registrations'!B:B,1,false)</f>
        <v>a.kramer@visible-investments.nl</v>
      </c>
      <c r="N345" s="26" t="str">
        <f>VLOOKUP(B345,'MTS 2026 registrations'!A:A,1,false)</f>
        <v>Arthur Kramer</v>
      </c>
      <c r="O345" s="38" t="str">
        <f t="shared" si="2"/>
        <v/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 ht="12.75" customHeight="1">
      <c r="A346" s="19" t="str">
        <f t="shared" si="1"/>
        <v>Auke van den Hout graduate</v>
      </c>
      <c r="B346" s="19" t="s">
        <v>2159</v>
      </c>
      <c r="C346" s="20" t="s">
        <v>2160</v>
      </c>
      <c r="D346" s="20" t="s">
        <v>2161</v>
      </c>
      <c r="E346" s="21" t="s">
        <v>2162</v>
      </c>
      <c r="F346" s="23" t="s">
        <v>1964</v>
      </c>
      <c r="G346" s="24" t="s">
        <v>163</v>
      </c>
      <c r="H346" s="25" t="s">
        <v>139</v>
      </c>
      <c r="I346" s="23"/>
      <c r="J346" s="35" t="s">
        <v>2163</v>
      </c>
      <c r="K346" s="27" t="s">
        <v>50</v>
      </c>
      <c r="L346" s="25" t="s">
        <v>10</v>
      </c>
      <c r="M346" s="26" t="str">
        <f>VLOOKUP(E346,'MTS 2026 registrations'!B:B,1,false)</f>
        <v>auke.vandenhout@graduate.nl</v>
      </c>
      <c r="N346" s="26" t="str">
        <f>VLOOKUP(B346,'MTS 2026 registrations'!A:A,1,false)</f>
        <v>Auke van den Hout</v>
      </c>
      <c r="O346" s="38" t="str">
        <f t="shared" si="2"/>
        <v/>
      </c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2.75" customHeight="1">
      <c r="A347" s="19" t="str">
        <f t="shared" si="1"/>
        <v>Aylin Girgin Özbiliş Vinci Venture Capital</v>
      </c>
      <c r="B347" s="19" t="s">
        <v>2164</v>
      </c>
      <c r="C347" s="20" t="s">
        <v>2165</v>
      </c>
      <c r="D347" s="20" t="s">
        <v>2166</v>
      </c>
      <c r="E347" s="21" t="s">
        <v>2167</v>
      </c>
      <c r="F347" s="49" t="s">
        <v>2168</v>
      </c>
      <c r="G347" s="24" t="s">
        <v>163</v>
      </c>
      <c r="H347" s="26" t="s">
        <v>164</v>
      </c>
      <c r="I347" s="13"/>
      <c r="J347" s="35" t="s">
        <v>2169</v>
      </c>
      <c r="K347" s="27" t="s">
        <v>50</v>
      </c>
      <c r="L347" s="25" t="s">
        <v>10</v>
      </c>
      <c r="M347" s="26" t="str">
        <f>VLOOKUP(E347,'MTS 2026 registrations'!B:B,1,false)</f>
        <v>aylin@vincivc.com</v>
      </c>
      <c r="N347" s="26" t="str">
        <f>VLOOKUP(B347,'MTS 2026 registrations'!A:A,1,false)</f>
        <v>#N/A</v>
      </c>
      <c r="O347" s="38" t="str">
        <f t="shared" si="2"/>
        <v/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</row>
    <row r="348" ht="12.75" customHeight="1">
      <c r="A348" s="19" t="str">
        <f t="shared" si="1"/>
        <v>Bart van Campenhout Alder Tree Investments</v>
      </c>
      <c r="B348" s="19" t="s">
        <v>2170</v>
      </c>
      <c r="C348" s="29" t="s">
        <v>389</v>
      </c>
      <c r="D348" s="157" t="s">
        <v>2171</v>
      </c>
      <c r="E348" s="123" t="s">
        <v>2172</v>
      </c>
      <c r="F348" s="157" t="s">
        <v>2173</v>
      </c>
      <c r="G348" s="32" t="s">
        <v>163</v>
      </c>
      <c r="H348" s="25" t="s">
        <v>164</v>
      </c>
      <c r="I348" s="13" t="s">
        <v>2174</v>
      </c>
      <c r="J348" s="133" t="s">
        <v>2175</v>
      </c>
      <c r="K348" s="27" t="s">
        <v>50</v>
      </c>
      <c r="L348" s="25" t="s">
        <v>10</v>
      </c>
      <c r="M348" s="26" t="str">
        <f>VLOOKUP(E348,'MTS 2026 registrations'!B:B,1,false)</f>
        <v>bvc@aldertree.eu</v>
      </c>
      <c r="N348" s="26" t="str">
        <f>VLOOKUP(B348,'MTS 2026 registrations'!A:A,1,false)</f>
        <v>Bart van Campenhout</v>
      </c>
      <c r="O348" s="38" t="str">
        <f t="shared" si="2"/>
        <v/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</row>
    <row r="349" ht="12.75" customHeight="1">
      <c r="A349" s="19" t="str">
        <f t="shared" si="1"/>
        <v>Bart Sander MIND</v>
      </c>
      <c r="B349" s="19" t="s">
        <v>2176</v>
      </c>
      <c r="C349" s="156" t="s">
        <v>389</v>
      </c>
      <c r="D349" s="156" t="s">
        <v>1391</v>
      </c>
      <c r="E349" s="50" t="s">
        <v>2177</v>
      </c>
      <c r="F349" s="50" t="s">
        <v>2178</v>
      </c>
      <c r="G349" s="24" t="s">
        <v>225</v>
      </c>
      <c r="H349" s="25" t="s">
        <v>47</v>
      </c>
      <c r="I349" s="34"/>
      <c r="J349" s="35" t="s">
        <v>2179</v>
      </c>
      <c r="K349" s="27" t="s">
        <v>50</v>
      </c>
      <c r="L349" s="25" t="s">
        <v>10</v>
      </c>
      <c r="M349" s="26" t="str">
        <f>VLOOKUP(E349,'MTS 2026 registrations'!B:B,1,false)</f>
        <v>bw.sander@mindef.nl</v>
      </c>
      <c r="N349" s="26" t="str">
        <f>VLOOKUP(B349,'MTS 2026 registrations'!A:A,1,false)</f>
        <v>#N/A</v>
      </c>
      <c r="O349" s="38" t="str">
        <f t="shared" si="2"/>
        <v/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</row>
    <row r="350" ht="12.75" customHeight="1">
      <c r="A350" s="19" t="str">
        <f t="shared" si="1"/>
        <v>Berend van den Boomen Delfinvest</v>
      </c>
      <c r="B350" s="19" t="s">
        <v>2180</v>
      </c>
      <c r="C350" s="157" t="s">
        <v>2181</v>
      </c>
      <c r="D350" s="157" t="s">
        <v>2182</v>
      </c>
      <c r="E350" s="123" t="s">
        <v>2183</v>
      </c>
      <c r="F350" s="157" t="s">
        <v>2184</v>
      </c>
      <c r="G350" s="32" t="s">
        <v>163</v>
      </c>
      <c r="H350" s="25" t="s">
        <v>164</v>
      </c>
      <c r="I350" s="13" t="s">
        <v>2174</v>
      </c>
      <c r="J350" s="133" t="s">
        <v>2185</v>
      </c>
      <c r="K350" s="27" t="s">
        <v>50</v>
      </c>
      <c r="L350" s="25" t="s">
        <v>10</v>
      </c>
      <c r="M350" s="26" t="str">
        <f>VLOOKUP(E350,'MTS 2026 registrations'!B:B,1,false)</f>
        <v>berend.vandenboomen@delfinvest.nl</v>
      </c>
      <c r="N350" s="26" t="str">
        <f>VLOOKUP(B350,'MTS 2026 registrations'!A:A,1,false)</f>
        <v>Berend van den Boomen</v>
      </c>
      <c r="O350" s="38" t="str">
        <f t="shared" si="2"/>
        <v/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</row>
    <row r="351" ht="12.75" customHeight="1">
      <c r="A351" s="19" t="str">
        <f t="shared" si="1"/>
        <v>Birthe Konu rabobank</v>
      </c>
      <c r="B351" s="19" t="s">
        <v>2186</v>
      </c>
      <c r="C351" s="60" t="s">
        <v>2187</v>
      </c>
      <c r="D351" s="60" t="s">
        <v>2188</v>
      </c>
      <c r="E351" s="62" t="s">
        <v>2189</v>
      </c>
      <c r="F351" s="64" t="s">
        <v>137</v>
      </c>
      <c r="G351" s="42" t="s">
        <v>69</v>
      </c>
      <c r="H351" s="25" t="s">
        <v>139</v>
      </c>
      <c r="I351" s="23"/>
      <c r="J351" s="35" t="s">
        <v>2190</v>
      </c>
      <c r="K351" s="27" t="s">
        <v>50</v>
      </c>
      <c r="L351" s="25" t="s">
        <v>10</v>
      </c>
      <c r="M351" s="26" t="str">
        <f>VLOOKUP(E351,'MTS 2026 registrations'!B:B,1,false)</f>
        <v>birthe.konu@rabobank.nl</v>
      </c>
      <c r="N351" s="26" t="str">
        <f>VLOOKUP(B351,'MTS 2026 registrations'!A:A,1,false)</f>
        <v>#N/A</v>
      </c>
      <c r="O351" s="38" t="str">
        <f t="shared" si="2"/>
        <v/>
      </c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2.75" customHeight="1">
      <c r="A352" s="19" t="str">
        <f t="shared" si="1"/>
        <v>Bob Stassar benedictpeax</v>
      </c>
      <c r="B352" s="19" t="s">
        <v>2191</v>
      </c>
      <c r="C352" s="20" t="s">
        <v>2192</v>
      </c>
      <c r="D352" s="20" t="s">
        <v>2193</v>
      </c>
      <c r="E352" s="21" t="s">
        <v>2194</v>
      </c>
      <c r="F352" s="23" t="s">
        <v>2195</v>
      </c>
      <c r="G352" s="42" t="s">
        <v>69</v>
      </c>
      <c r="H352" s="25" t="s">
        <v>164</v>
      </c>
      <c r="I352" s="26"/>
      <c r="J352" s="35" t="s">
        <v>2196</v>
      </c>
      <c r="K352" s="27" t="s">
        <v>50</v>
      </c>
      <c r="L352" s="25" t="s">
        <v>10</v>
      </c>
      <c r="M352" s="26" t="str">
        <f>VLOOKUP(E352,'MTS 2026 registrations'!B:B,1,false)</f>
        <v>b.stassar@benedictpeax.com</v>
      </c>
      <c r="N352" s="26" t="str">
        <f>VLOOKUP(B352,'MTS 2026 registrations'!A:A,1,false)</f>
        <v>#N/A</v>
      </c>
      <c r="O352" s="38" t="str">
        <f t="shared" si="2"/>
        <v/>
      </c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2.75" customHeight="1">
      <c r="A353" s="19" t="str">
        <f t="shared" si="1"/>
        <v>Boris Gorkovoi hidelta</v>
      </c>
      <c r="B353" s="19" t="s">
        <v>2197</v>
      </c>
      <c r="C353" s="29" t="s">
        <v>480</v>
      </c>
      <c r="D353" s="29" t="s">
        <v>2198</v>
      </c>
      <c r="E353" s="140" t="s">
        <v>2199</v>
      </c>
      <c r="F353" s="29" t="s">
        <v>2200</v>
      </c>
      <c r="G353" s="32" t="s">
        <v>69</v>
      </c>
      <c r="H353" s="13" t="s">
        <v>45</v>
      </c>
      <c r="I353" s="34"/>
      <c r="J353" s="35" t="s">
        <v>2201</v>
      </c>
      <c r="K353" s="27" t="s">
        <v>50</v>
      </c>
      <c r="L353" s="25" t="s">
        <v>10</v>
      </c>
      <c r="M353" s="26" t="str">
        <f>VLOOKUP(E353,'MTS 2026 registrations'!B:B,1,false)</f>
        <v>boris.gorkovoi@hidelta.nl</v>
      </c>
      <c r="N353" s="26" t="str">
        <f>VLOOKUP(B353,'MTS 2026 registrations'!A:A,1,false)</f>
        <v>Boris Gorkovoi</v>
      </c>
      <c r="O353" s="38" t="str">
        <f t="shared" si="2"/>
        <v/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23"/>
      <c r="AE353" s="23"/>
    </row>
    <row r="354" ht="12.75" customHeight="1">
      <c r="A354" s="19" t="str">
        <f t="shared" si="1"/>
        <v>Bram Spitzer pzh</v>
      </c>
      <c r="B354" s="19" t="s">
        <v>2202</v>
      </c>
      <c r="C354" s="60" t="s">
        <v>2203</v>
      </c>
      <c r="D354" s="60" t="s">
        <v>2204</v>
      </c>
      <c r="E354" s="62" t="s">
        <v>2205</v>
      </c>
      <c r="F354" s="64" t="s">
        <v>1532</v>
      </c>
      <c r="G354" s="24" t="s">
        <v>323</v>
      </c>
      <c r="H354" s="25" t="s">
        <v>139</v>
      </c>
      <c r="I354" s="23"/>
      <c r="J354" s="35" t="s">
        <v>2206</v>
      </c>
      <c r="K354" s="27" t="s">
        <v>50</v>
      </c>
      <c r="L354" s="25" t="s">
        <v>10</v>
      </c>
      <c r="M354" s="26" t="str">
        <f>VLOOKUP(E354,'MTS 2026 registrations'!B:B,1,false)</f>
        <v>am.spitzer@pzh.nl</v>
      </c>
      <c r="N354" s="26" t="str">
        <f>VLOOKUP(B354,'MTS 2026 registrations'!A:A,1,false)</f>
        <v>#N/A</v>
      </c>
      <c r="O354" s="38" t="str">
        <f t="shared" si="2"/>
        <v/>
      </c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2.75" customHeight="1">
      <c r="A355" s="19" t="str">
        <f t="shared" si="1"/>
        <v>Brian Stout ziggo</v>
      </c>
      <c r="B355" s="19" t="s">
        <v>2207</v>
      </c>
      <c r="C355" s="158" t="s">
        <v>2208</v>
      </c>
      <c r="D355" s="158" t="s">
        <v>2209</v>
      </c>
      <c r="E355" s="139" t="s">
        <v>2210</v>
      </c>
      <c r="F355" s="23" t="s">
        <v>2211</v>
      </c>
      <c r="G355" s="24" t="s">
        <v>225</v>
      </c>
      <c r="H355" s="25" t="s">
        <v>47</v>
      </c>
      <c r="I355" s="26"/>
      <c r="J355" s="35" t="s">
        <v>2212</v>
      </c>
      <c r="K355" s="27" t="s">
        <v>50</v>
      </c>
      <c r="L355" s="25" t="s">
        <v>10</v>
      </c>
      <c r="M355" s="26" t="str">
        <f>VLOOKUP(E355,'MTS 2026 registrations'!B:B,1,false)</f>
        <v>brian.stout@ziggo.nl</v>
      </c>
      <c r="N355" s="26" t="str">
        <f>VLOOKUP(B355,'MTS 2026 registrations'!A:A,1,false)</f>
        <v>brian stout</v>
      </c>
      <c r="O355" s="38" t="str">
        <f t="shared" si="2"/>
        <v/>
      </c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2.75" customHeight="1">
      <c r="A356" s="19" t="str">
        <f t="shared" si="1"/>
        <v>Cas van Cooten Offensys B.V.</v>
      </c>
      <c r="B356" s="19" t="s">
        <v>2213</v>
      </c>
      <c r="C356" s="13" t="s">
        <v>2214</v>
      </c>
      <c r="D356" s="13" t="s">
        <v>2215</v>
      </c>
      <c r="E356" s="60" t="s">
        <v>2216</v>
      </c>
      <c r="F356" s="60" t="s">
        <v>2217</v>
      </c>
      <c r="G356" s="32" t="s">
        <v>46</v>
      </c>
      <c r="H356" s="25" t="s">
        <v>47</v>
      </c>
      <c r="I356" s="34"/>
      <c r="J356" s="35" t="s">
        <v>2218</v>
      </c>
      <c r="K356" s="27" t="s">
        <v>50</v>
      </c>
      <c r="L356" s="25" t="s">
        <v>10</v>
      </c>
      <c r="M356" s="26" t="str">
        <f>VLOOKUP(E356,'MTS 2026 registrations'!B:B,1,false)</f>
        <v>#N/A</v>
      </c>
      <c r="N356" s="26" t="str">
        <f>VLOOKUP(B356,'MTS 2026 registrations'!A:A,1,false)</f>
        <v>Cas van Cooten</v>
      </c>
      <c r="O356" s="38" t="str">
        <f t="shared" si="2"/>
        <v/>
      </c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23"/>
      <c r="AE356" s="23"/>
    </row>
    <row r="357" ht="12.75" customHeight="1">
      <c r="A357" s="19" t="str">
        <f t="shared" si="1"/>
        <v>Chokri Mousaoui Eternal Sun B.V.</v>
      </c>
      <c r="B357" s="19" t="s">
        <v>2219</v>
      </c>
      <c r="C357" s="29" t="s">
        <v>2174</v>
      </c>
      <c r="D357" s="29" t="s">
        <v>2220</v>
      </c>
      <c r="E357" s="80" t="s">
        <v>2221</v>
      </c>
      <c r="F357" s="33" t="s">
        <v>2222</v>
      </c>
      <c r="G357" s="32" t="s">
        <v>46</v>
      </c>
      <c r="H357" s="25" t="s">
        <v>47</v>
      </c>
      <c r="I357" s="34"/>
      <c r="J357" s="35" t="s">
        <v>2223</v>
      </c>
      <c r="K357" s="27" t="s">
        <v>50</v>
      </c>
      <c r="L357" s="25" t="s">
        <v>10</v>
      </c>
      <c r="M357" s="26" t="str">
        <f>VLOOKUP(E357,'MTS 2026 registrations'!B:B,1,false)</f>
        <v>#N/A</v>
      </c>
      <c r="N357" s="26" t="str">
        <f>VLOOKUP(B357,'MTS 2026 registrations'!A:A,1,false)</f>
        <v>Chokri Mousaoui</v>
      </c>
      <c r="O357" s="38" t="str">
        <f t="shared" si="2"/>
        <v/>
      </c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23"/>
      <c r="AE357" s="23"/>
    </row>
    <row r="358" ht="12.75" customHeight="1">
      <c r="A358" s="19" t="str">
        <f t="shared" si="1"/>
        <v>Daan Kuitenbrouwer delft-circuits</v>
      </c>
      <c r="B358" s="19" t="s">
        <v>2224</v>
      </c>
      <c r="C358" s="20" t="s">
        <v>570</v>
      </c>
      <c r="D358" s="20" t="s">
        <v>2225</v>
      </c>
      <c r="E358" s="21" t="s">
        <v>2226</v>
      </c>
      <c r="F358" s="23" t="s">
        <v>2227</v>
      </c>
      <c r="G358" s="32" t="s">
        <v>46</v>
      </c>
      <c r="H358" s="25" t="s">
        <v>47</v>
      </c>
      <c r="I358" s="23"/>
      <c r="J358" s="35" t="s">
        <v>2228</v>
      </c>
      <c r="K358" s="27" t="s">
        <v>50</v>
      </c>
      <c r="L358" s="25" t="s">
        <v>10</v>
      </c>
      <c r="M358" s="26" t="str">
        <f>VLOOKUP(E358,'MTS 2026 registrations'!B:B,1,false)</f>
        <v>daan@delft-circuits.com</v>
      </c>
      <c r="N358" s="26" t="str">
        <f>VLOOKUP(B358,'MTS 2026 registrations'!A:A,1,false)</f>
        <v>Daan Kuitenbrouwer</v>
      </c>
      <c r="O358" s="38" t="str">
        <f t="shared" si="2"/>
        <v/>
      </c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2.75" customHeight="1">
      <c r="A359" s="19" t="str">
        <f t="shared" si="1"/>
        <v>Daan Hittema ide</v>
      </c>
      <c r="B359" s="19" t="s">
        <v>2229</v>
      </c>
      <c r="C359" s="29" t="s">
        <v>570</v>
      </c>
      <c r="D359" s="29" t="s">
        <v>2230</v>
      </c>
      <c r="E359" s="30" t="s">
        <v>2231</v>
      </c>
      <c r="F359" s="29" t="s">
        <v>2232</v>
      </c>
      <c r="G359" s="32" t="s">
        <v>69</v>
      </c>
      <c r="H359" s="13" t="s">
        <v>45</v>
      </c>
      <c r="I359" s="34"/>
      <c r="J359" s="35" t="s">
        <v>2233</v>
      </c>
      <c r="K359" s="27" t="s">
        <v>50</v>
      </c>
      <c r="L359" s="25" t="s">
        <v>10</v>
      </c>
      <c r="M359" s="26" t="str">
        <f>VLOOKUP(E359,'MTS 2026 registrations'!B:B,1,false)</f>
        <v>daan.hittema@ide.group</v>
      </c>
      <c r="N359" s="26" t="str">
        <f>VLOOKUP(B359,'MTS 2026 registrations'!A:A,1,false)</f>
        <v>Daan Hittema</v>
      </c>
      <c r="O359" s="38" t="str">
        <f t="shared" si="2"/>
        <v/>
      </c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</row>
    <row r="360" ht="12.75" customHeight="1">
      <c r="A360" s="19" t="str">
        <f t="shared" si="1"/>
        <v>Damien van der Bijl capricorn</v>
      </c>
      <c r="B360" s="19" t="s">
        <v>2234</v>
      </c>
      <c r="C360" s="20" t="s">
        <v>2235</v>
      </c>
      <c r="D360" s="20" t="s">
        <v>2236</v>
      </c>
      <c r="E360" s="21" t="s">
        <v>2237</v>
      </c>
      <c r="F360" s="23" t="s">
        <v>2238</v>
      </c>
      <c r="G360" s="24" t="s">
        <v>163</v>
      </c>
      <c r="H360" s="25" t="s">
        <v>164</v>
      </c>
      <c r="I360" s="26"/>
      <c r="J360" s="35" t="s">
        <v>2239</v>
      </c>
      <c r="K360" s="27" t="s">
        <v>50</v>
      </c>
      <c r="L360" s="25" t="s">
        <v>10</v>
      </c>
      <c r="M360" s="26" t="str">
        <f>VLOOKUP(E360,'MTS 2026 registrations'!B:B,1,false)</f>
        <v>damien.vanderbijl@capricorn.be</v>
      </c>
      <c r="N360" s="26" t="str">
        <f>VLOOKUP(B360,'MTS 2026 registrations'!A:A,1,false)</f>
        <v>Damien van der Bijl</v>
      </c>
      <c r="O360" s="38" t="str">
        <f t="shared" si="2"/>
        <v/>
      </c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2.75" customHeight="1">
      <c r="A361" s="19" t="str">
        <f t="shared" si="1"/>
        <v>Dan Howell tudelft</v>
      </c>
      <c r="B361" s="19" t="s">
        <v>2240</v>
      </c>
      <c r="C361" s="60" t="s">
        <v>2241</v>
      </c>
      <c r="D361" s="60" t="s">
        <v>2242</v>
      </c>
      <c r="E361" s="62" t="s">
        <v>2243</v>
      </c>
      <c r="F361" s="64" t="s">
        <v>184</v>
      </c>
      <c r="G361" s="42" t="s">
        <v>43</v>
      </c>
      <c r="H361" s="25" t="s">
        <v>139</v>
      </c>
      <c r="I361" s="34"/>
      <c r="J361" s="35" t="s">
        <v>2244</v>
      </c>
      <c r="K361" s="27" t="s">
        <v>50</v>
      </c>
      <c r="L361" s="25" t="s">
        <v>10</v>
      </c>
      <c r="M361" s="26" t="str">
        <f>VLOOKUP(E361,'MTS 2026 registrations'!B:B,1,false)</f>
        <v>#N/A</v>
      </c>
      <c r="N361" s="26" t="str">
        <f>VLOOKUP(B361,'MTS 2026 registrations'!A:A,1,false)</f>
        <v>Dan Howell</v>
      </c>
      <c r="O361" s="38" t="str">
        <f t="shared" si="2"/>
        <v/>
      </c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2.75" customHeight="1">
      <c r="A362" s="19" t="str">
        <f t="shared" si="1"/>
        <v>Dan Veen We4Sea</v>
      </c>
      <c r="B362" s="19" t="s">
        <v>2245</v>
      </c>
      <c r="C362" s="29" t="s">
        <v>2241</v>
      </c>
      <c r="D362" s="29" t="s">
        <v>2246</v>
      </c>
      <c r="E362" s="159" t="s">
        <v>2247</v>
      </c>
      <c r="F362" s="33" t="s">
        <v>2248</v>
      </c>
      <c r="G362" s="24" t="s">
        <v>46</v>
      </c>
      <c r="H362" s="25" t="s">
        <v>47</v>
      </c>
      <c r="I362" s="34"/>
      <c r="J362" s="35" t="s">
        <v>2249</v>
      </c>
      <c r="K362" s="27" t="s">
        <v>50</v>
      </c>
      <c r="L362" s="25" t="s">
        <v>10</v>
      </c>
      <c r="M362" s="26" t="str">
        <f>VLOOKUP(E362,'MTS 2026 registrations'!B:B,1,false)</f>
        <v>#N/A</v>
      </c>
      <c r="N362" s="26" t="str">
        <f>VLOOKUP(B362,'MTS 2026 registrations'!A:A,1,false)</f>
        <v>Dan Veen</v>
      </c>
      <c r="O362" s="38" t="str">
        <f t="shared" si="2"/>
        <v/>
      </c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23"/>
      <c r="AE362" s="23"/>
    </row>
    <row r="363" ht="12.75" customHeight="1">
      <c r="A363" s="19" t="str">
        <f t="shared" si="1"/>
        <v>Daniel Howell quantumdelft</v>
      </c>
      <c r="B363" s="19" t="s">
        <v>2250</v>
      </c>
      <c r="C363" s="138" t="s">
        <v>435</v>
      </c>
      <c r="D363" s="138" t="s">
        <v>2242</v>
      </c>
      <c r="E363" s="139" t="s">
        <v>2251</v>
      </c>
      <c r="F363" s="75" t="s">
        <v>1480</v>
      </c>
      <c r="G363" s="24" t="s">
        <v>29</v>
      </c>
      <c r="H363" s="25" t="s">
        <v>139</v>
      </c>
      <c r="I363" s="23"/>
      <c r="J363" s="35" t="s">
        <v>2252</v>
      </c>
      <c r="K363" s="27" t="s">
        <v>50</v>
      </c>
      <c r="L363" s="25" t="s">
        <v>10</v>
      </c>
      <c r="M363" s="26" t="str">
        <f>VLOOKUP(E363,'MTS 2026 registrations'!B:B,1,false)</f>
        <v>dan@quantumdelft.nl</v>
      </c>
      <c r="N363" s="26" t="str">
        <f>VLOOKUP(B363,'MTS 2026 registrations'!A:A,1,false)</f>
        <v>#N/A</v>
      </c>
      <c r="O363" s="38" t="str">
        <f t="shared" si="2"/>
        <v/>
      </c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2.75" customHeight="1">
      <c r="A364" s="19" t="str">
        <f t="shared" si="1"/>
        <v>Daniel Tajari SHM Next</v>
      </c>
      <c r="B364" s="19" t="s">
        <v>2253</v>
      </c>
      <c r="C364" s="29" t="s">
        <v>435</v>
      </c>
      <c r="D364" s="29" t="s">
        <v>2254</v>
      </c>
      <c r="E364" s="31" t="s">
        <v>2255</v>
      </c>
      <c r="F364" s="33" t="s">
        <v>2256</v>
      </c>
      <c r="G364" s="24" t="s">
        <v>46</v>
      </c>
      <c r="H364" s="25" t="s">
        <v>47</v>
      </c>
      <c r="I364" s="34"/>
      <c r="J364" s="121" t="s">
        <v>2257</v>
      </c>
      <c r="K364" s="27" t="s">
        <v>50</v>
      </c>
      <c r="L364" s="25" t="s">
        <v>10</v>
      </c>
      <c r="M364" s="26" t="str">
        <f>VLOOKUP(E364,'MTS 2026 registrations'!B:B,1,false)</f>
        <v>#N/A</v>
      </c>
      <c r="N364" s="26" t="str">
        <f>VLOOKUP(B364,'MTS 2026 registrations'!A:A,1,false)</f>
        <v>Daniel Tajari</v>
      </c>
      <c r="O364" s="38" t="str">
        <f t="shared" si="2"/>
        <v/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23"/>
      <c r="AE364" s="23"/>
    </row>
    <row r="365" ht="12.75" customHeight="1">
      <c r="A365" s="19" t="str">
        <f t="shared" si="1"/>
        <v>Daniel Kofman Siemens</v>
      </c>
      <c r="B365" s="19" t="s">
        <v>2258</v>
      </c>
      <c r="C365" s="20" t="s">
        <v>435</v>
      </c>
      <c r="D365" s="93" t="s">
        <v>2259</v>
      </c>
      <c r="E365" s="21" t="s">
        <v>2260</v>
      </c>
      <c r="F365" s="23" t="s">
        <v>2261</v>
      </c>
      <c r="G365" s="24" t="s">
        <v>56</v>
      </c>
      <c r="H365" s="25" t="s">
        <v>139</v>
      </c>
      <c r="I365" s="23"/>
      <c r="J365" s="35" t="s">
        <v>2262</v>
      </c>
      <c r="K365" s="27" t="s">
        <v>50</v>
      </c>
      <c r="L365" s="25" t="s">
        <v>10</v>
      </c>
      <c r="M365" s="26" t="str">
        <f>VLOOKUP(E365,'MTS 2026 registrations'!B:B,1,false)</f>
        <v>daniel.kofman@siemens.com</v>
      </c>
      <c r="N365" s="26" t="str">
        <f>VLOOKUP(B365,'MTS 2026 registrations'!A:A,1,false)</f>
        <v>Daniel Kofman</v>
      </c>
      <c r="O365" s="38" t="str">
        <f t="shared" si="2"/>
        <v/>
      </c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2.75" customHeight="1">
      <c r="A366" s="19" t="str">
        <f t="shared" si="1"/>
        <v>Dantest danique yesdelft</v>
      </c>
      <c r="B366" s="19" t="s">
        <v>2263</v>
      </c>
      <c r="C366" s="116" t="s">
        <v>2264</v>
      </c>
      <c r="D366" s="116" t="s">
        <v>2265</v>
      </c>
      <c r="E366" s="112" t="s">
        <v>2266</v>
      </c>
      <c r="F366" s="23" t="s">
        <v>2267</v>
      </c>
      <c r="G366" s="24" t="s">
        <v>29</v>
      </c>
      <c r="H366" s="25" t="s">
        <v>139</v>
      </c>
      <c r="I366" s="26"/>
      <c r="J366" s="35" t="s">
        <v>2268</v>
      </c>
      <c r="K366" s="27" t="s">
        <v>50</v>
      </c>
      <c r="L366" s="25" t="s">
        <v>10</v>
      </c>
      <c r="M366" s="26" t="str">
        <f>VLOOKUP(E366,'MTS 2026 registrations'!B:B,1,false)</f>
        <v>danique@yesdelft.nl</v>
      </c>
      <c r="N366" s="26" t="str">
        <f>VLOOKUP(B366,'MTS 2026 registrations'!A:A,1,false)</f>
        <v>#N/A</v>
      </c>
      <c r="O366" s="38" t="str">
        <f t="shared" si="2"/>
        <v/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2.75" customHeight="1">
      <c r="A367" s="19" t="str">
        <f t="shared" si="1"/>
        <v>Dap Hartmann tudelft</v>
      </c>
      <c r="B367" s="19" t="s">
        <v>2269</v>
      </c>
      <c r="C367" s="138" t="s">
        <v>2270</v>
      </c>
      <c r="D367" s="138" t="s">
        <v>2271</v>
      </c>
      <c r="E367" s="139" t="s">
        <v>2272</v>
      </c>
      <c r="F367" s="71" t="s">
        <v>184</v>
      </c>
      <c r="G367" s="24" t="s">
        <v>43</v>
      </c>
      <c r="H367" s="25" t="s">
        <v>139</v>
      </c>
      <c r="I367" s="26"/>
      <c r="J367" s="35" t="s">
        <v>2273</v>
      </c>
      <c r="K367" s="27" t="s">
        <v>50</v>
      </c>
      <c r="L367" s="25" t="s">
        <v>10</v>
      </c>
      <c r="M367" s="26" t="str">
        <f>VLOOKUP(E367,'MTS 2026 registrations'!B:B,1,false)</f>
        <v>l.hartmann@tudelft.nl</v>
      </c>
      <c r="N367" s="26" t="str">
        <f>VLOOKUP(B367,'MTS 2026 registrations'!A:A,1,false)</f>
        <v>Dap Hartmann</v>
      </c>
      <c r="O367" s="38" t="str">
        <f t="shared" si="2"/>
        <v/>
      </c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23"/>
      <c r="AE367" s="23"/>
    </row>
    <row r="368" ht="12.75" customHeight="1">
      <c r="A368" s="19" t="str">
        <f t="shared" si="1"/>
        <v>Dario Turelli tudelft</v>
      </c>
      <c r="B368" s="19" t="s">
        <v>2274</v>
      </c>
      <c r="C368" s="29" t="s">
        <v>2275</v>
      </c>
      <c r="D368" s="29" t="s">
        <v>2276</v>
      </c>
      <c r="E368" s="30" t="s">
        <v>2277</v>
      </c>
      <c r="F368" s="29" t="s">
        <v>184</v>
      </c>
      <c r="G368" s="32" t="s">
        <v>43</v>
      </c>
      <c r="H368" s="13" t="s">
        <v>213</v>
      </c>
      <c r="I368" s="34"/>
      <c r="J368" s="35" t="s">
        <v>2278</v>
      </c>
      <c r="K368" s="27" t="s">
        <v>50</v>
      </c>
      <c r="L368" s="25" t="s">
        <v>10</v>
      </c>
      <c r="M368" s="26" t="str">
        <f>VLOOKUP(E368,'MTS 2026 registrations'!B:B,1,false)</f>
        <v>d.a.turelli@tudelft.nl</v>
      </c>
      <c r="N368" s="26" t="str">
        <f>VLOOKUP(B368,'MTS 2026 registrations'!A:A,1,false)</f>
        <v>Dario Turelli</v>
      </c>
      <c r="O368" s="38" t="str">
        <f t="shared" si="2"/>
        <v/>
      </c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2.75" customHeight="1">
      <c r="A369" s="19" t="str">
        <f t="shared" si="1"/>
        <v>David Beijer Dingify, Peeeks</v>
      </c>
      <c r="B369" s="19" t="s">
        <v>2279</v>
      </c>
      <c r="C369" s="29" t="s">
        <v>1604</v>
      </c>
      <c r="D369" s="29" t="s">
        <v>2280</v>
      </c>
      <c r="E369" s="62" t="s">
        <v>2281</v>
      </c>
      <c r="F369" s="50" t="s">
        <v>2282</v>
      </c>
      <c r="G369" s="32" t="s">
        <v>46</v>
      </c>
      <c r="H369" s="25" t="s">
        <v>139</v>
      </c>
      <c r="I369" s="23"/>
      <c r="J369" s="35" t="s">
        <v>2283</v>
      </c>
      <c r="K369" s="27" t="s">
        <v>50</v>
      </c>
      <c r="L369" s="25" t="s">
        <v>10</v>
      </c>
      <c r="M369" s="26" t="str">
        <f>VLOOKUP(E369,'MTS 2026 registrations'!B:B,1,false)</f>
        <v>#N/A</v>
      </c>
      <c r="N369" s="26" t="str">
        <f>VLOOKUP(B369,'MTS 2026 registrations'!A:A,1,false)</f>
        <v>David Beijer</v>
      </c>
      <c r="O369" s="38" t="str">
        <f t="shared" si="2"/>
        <v/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2.75" customHeight="1">
      <c r="A370" s="19" t="str">
        <f t="shared" si="1"/>
        <v>David Janssen innovationindustries</v>
      </c>
      <c r="B370" s="19" t="s">
        <v>2284</v>
      </c>
      <c r="C370" s="116" t="s">
        <v>1604</v>
      </c>
      <c r="D370" s="116" t="s">
        <v>2285</v>
      </c>
      <c r="E370" s="160" t="s">
        <v>2286</v>
      </c>
      <c r="F370" s="23" t="s">
        <v>2287</v>
      </c>
      <c r="G370" s="24" t="s">
        <v>163</v>
      </c>
      <c r="H370" s="25" t="s">
        <v>164</v>
      </c>
      <c r="I370" s="34"/>
      <c r="J370" s="133" t="s">
        <v>2288</v>
      </c>
      <c r="K370" s="27" t="s">
        <v>50</v>
      </c>
      <c r="L370" s="25" t="s">
        <v>10</v>
      </c>
      <c r="M370" s="26" t="str">
        <f>VLOOKUP(E370,'MTS 2026 registrations'!B:B,1,false)</f>
        <v>dj@innovationindustries.com</v>
      </c>
      <c r="N370" s="26" t="str">
        <f>VLOOKUP(B370,'MTS 2026 registrations'!A:A,1,false)</f>
        <v>David Janssen</v>
      </c>
      <c r="O370" s="38" t="str">
        <f t="shared" si="2"/>
        <v/>
      </c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23"/>
      <c r="AE370" s="23"/>
    </row>
    <row r="371" ht="12.75" customHeight="1">
      <c r="A371" s="19" t="str">
        <f t="shared" si="1"/>
        <v>David Knops tudelft</v>
      </c>
      <c r="B371" s="19" t="s">
        <v>2289</v>
      </c>
      <c r="C371" s="60" t="s">
        <v>1604</v>
      </c>
      <c r="D371" s="60" t="s">
        <v>2290</v>
      </c>
      <c r="E371" s="62" t="s">
        <v>2291</v>
      </c>
      <c r="F371" s="64" t="s">
        <v>184</v>
      </c>
      <c r="G371" s="42" t="s">
        <v>43</v>
      </c>
      <c r="H371" s="25" t="s">
        <v>139</v>
      </c>
      <c r="I371" s="34"/>
      <c r="J371" s="35" t="s">
        <v>2292</v>
      </c>
      <c r="K371" s="27" t="s">
        <v>50</v>
      </c>
      <c r="L371" s="25" t="s">
        <v>10</v>
      </c>
      <c r="M371" s="26" t="str">
        <f>VLOOKUP(E371,'MTS 2026 registrations'!B:B,1,false)</f>
        <v>#N/A</v>
      </c>
      <c r="N371" s="26" t="str">
        <f>VLOOKUP(B371,'MTS 2026 registrations'!A:A,1,false)</f>
        <v>David Knops</v>
      </c>
      <c r="O371" s="38" t="str">
        <f t="shared" si="2"/>
        <v/>
      </c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2.75" customHeight="1">
      <c r="A372" s="19" t="str">
        <f t="shared" si="1"/>
        <v>David Cerda Salzmann </v>
      </c>
      <c r="B372" s="19" t="s">
        <v>2293</v>
      </c>
      <c r="C372" s="20" t="s">
        <v>1604</v>
      </c>
      <c r="D372" s="20" t="s">
        <v>2294</v>
      </c>
      <c r="E372" s="21" t="s">
        <v>2295</v>
      </c>
      <c r="F372" s="52"/>
      <c r="G372" s="24" t="s">
        <v>225</v>
      </c>
      <c r="H372" s="25" t="s">
        <v>47</v>
      </c>
      <c r="I372" s="26"/>
      <c r="J372" s="35" t="s">
        <v>2296</v>
      </c>
      <c r="K372" s="27" t="s">
        <v>50</v>
      </c>
      <c r="L372" s="25" t="s">
        <v>10</v>
      </c>
      <c r="M372" s="26" t="str">
        <f>VLOOKUP(E372,'MTS 2026 registrations'!B:B,1,false)</f>
        <v>bizarrobv@gmail.com</v>
      </c>
      <c r="N372" s="26" t="str">
        <f>VLOOKUP(B372,'MTS 2026 registrations'!A:A,1,false)</f>
        <v>David Cerda Salzmann</v>
      </c>
      <c r="O372" s="38" t="str">
        <f t="shared" si="2"/>
        <v/>
      </c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2.75" customHeight="1">
      <c r="A373" s="19" t="str">
        <f t="shared" si="1"/>
        <v>Diana Droog tudelft</v>
      </c>
      <c r="B373" s="19" t="s">
        <v>2297</v>
      </c>
      <c r="C373" s="60" t="s">
        <v>2298</v>
      </c>
      <c r="D373" s="60" t="s">
        <v>2299</v>
      </c>
      <c r="E373" s="62" t="s">
        <v>2300</v>
      </c>
      <c r="F373" s="64" t="s">
        <v>184</v>
      </c>
      <c r="G373" s="42" t="s">
        <v>43</v>
      </c>
      <c r="H373" s="25" t="s">
        <v>139</v>
      </c>
      <c r="I373" s="34"/>
      <c r="J373" s="35" t="s">
        <v>2301</v>
      </c>
      <c r="K373" s="27" t="s">
        <v>50</v>
      </c>
      <c r="L373" s="25" t="s">
        <v>10</v>
      </c>
      <c r="M373" s="26" t="str">
        <f>VLOOKUP(E373,'MTS 2026 registrations'!B:B,1,false)</f>
        <v>d.droog@tudelft.nl</v>
      </c>
      <c r="N373" s="26" t="str">
        <f>VLOOKUP(B373,'MTS 2026 registrations'!A:A,1,false)</f>
        <v>Diana Droog</v>
      </c>
      <c r="O373" s="38" t="str">
        <f t="shared" si="2"/>
        <v/>
      </c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2.75" customHeight="1">
      <c r="A374" s="19" t="str">
        <f t="shared" si="1"/>
        <v>Dick Sietses capricorn</v>
      </c>
      <c r="B374" s="19" t="s">
        <v>2302</v>
      </c>
      <c r="C374" s="20" t="s">
        <v>2303</v>
      </c>
      <c r="D374" s="20" t="s">
        <v>2304</v>
      </c>
      <c r="E374" s="112" t="s">
        <v>2305</v>
      </c>
      <c r="F374" s="49" t="s">
        <v>2238</v>
      </c>
      <c r="G374" s="24" t="s">
        <v>163</v>
      </c>
      <c r="H374" s="25" t="s">
        <v>164</v>
      </c>
      <c r="I374" s="26"/>
      <c r="J374" s="35" t="s">
        <v>2306</v>
      </c>
      <c r="K374" s="27" t="s">
        <v>50</v>
      </c>
      <c r="L374" s="25" t="s">
        <v>10</v>
      </c>
      <c r="M374" s="26" t="str">
        <f>VLOOKUP(E374,'MTS 2026 registrations'!B:B,1,false)</f>
        <v>dick.sietses@capricorn.be</v>
      </c>
      <c r="N374" s="26" t="str">
        <f>VLOOKUP(B374,'MTS 2026 registrations'!A:A,1,false)</f>
        <v>Dick Sietses</v>
      </c>
      <c r="O374" s="38" t="str">
        <f t="shared" si="2"/>
        <v/>
      </c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2.75" customHeight="1">
      <c r="A375" s="19" t="str">
        <f t="shared" si="1"/>
        <v>Dick Mooijman Independent</v>
      </c>
      <c r="B375" s="19" t="s">
        <v>2307</v>
      </c>
      <c r="C375" s="116" t="s">
        <v>2303</v>
      </c>
      <c r="D375" s="116" t="s">
        <v>2308</v>
      </c>
      <c r="E375" s="112" t="s">
        <v>2309</v>
      </c>
      <c r="F375" s="66" t="s">
        <v>1209</v>
      </c>
      <c r="G375" s="24" t="s">
        <v>225</v>
      </c>
      <c r="H375" s="25" t="s">
        <v>47</v>
      </c>
      <c r="I375" s="34"/>
      <c r="J375" s="35" t="s">
        <v>2310</v>
      </c>
      <c r="K375" s="27" t="s">
        <v>50</v>
      </c>
      <c r="L375" s="25" t="s">
        <v>10</v>
      </c>
      <c r="M375" s="26" t="str">
        <f>VLOOKUP(E375,'MTS 2026 registrations'!B:B,1,false)</f>
        <v>d.mooijman@m-ma.nl</v>
      </c>
      <c r="N375" s="26" t="str">
        <f>VLOOKUP(B375,'MTS 2026 registrations'!A:A,1,false)</f>
        <v>Dick Mooijman</v>
      </c>
      <c r="O375" s="38" t="str">
        <f t="shared" si="2"/>
        <v/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</row>
    <row r="376" ht="12.75" customHeight="1">
      <c r="A376" s="19" t="str">
        <f t="shared" si="1"/>
        <v>Dop Brzesowsky Independent</v>
      </c>
      <c r="B376" s="19" t="s">
        <v>2311</v>
      </c>
      <c r="C376" s="116" t="s">
        <v>2312</v>
      </c>
      <c r="D376" s="116" t="s">
        <v>2313</v>
      </c>
      <c r="E376" s="112" t="s">
        <v>2314</v>
      </c>
      <c r="F376" s="66" t="s">
        <v>1209</v>
      </c>
      <c r="G376" s="24" t="s">
        <v>225</v>
      </c>
      <c r="H376" s="25" t="s">
        <v>47</v>
      </c>
      <c r="I376" s="34"/>
      <c r="J376" s="35" t="s">
        <v>2315</v>
      </c>
      <c r="K376" s="27" t="s">
        <v>50</v>
      </c>
      <c r="L376" s="25" t="s">
        <v>10</v>
      </c>
      <c r="M376" s="26" t="str">
        <f>VLOOKUP(E376,'MTS 2026 registrations'!B:B,1,false)</f>
        <v>dop.brzesowsky@gmail.com</v>
      </c>
      <c r="N376" s="26" t="str">
        <f>VLOOKUP(B376,'MTS 2026 registrations'!A:A,1,false)</f>
        <v>#N/A</v>
      </c>
      <c r="O376" s="38" t="str">
        <f t="shared" si="2"/>
        <v/>
      </c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</row>
    <row r="377" ht="12.75" customHeight="1">
      <c r="A377" s="19" t="str">
        <f t="shared" si="1"/>
        <v>Dr Robert-Jan Vreeburg Independent</v>
      </c>
      <c r="B377" s="19" t="s">
        <v>2316</v>
      </c>
      <c r="C377" s="13" t="s">
        <v>2317</v>
      </c>
      <c r="D377" s="13" t="s">
        <v>2318</v>
      </c>
      <c r="E377" s="13" t="s">
        <v>2319</v>
      </c>
      <c r="F377" s="66" t="s">
        <v>1209</v>
      </c>
      <c r="G377" s="24" t="s">
        <v>225</v>
      </c>
      <c r="H377" s="25" t="s">
        <v>47</v>
      </c>
      <c r="I377" s="34"/>
      <c r="J377" s="35" t="s">
        <v>2320</v>
      </c>
      <c r="K377" s="27" t="s">
        <v>50</v>
      </c>
      <c r="L377" s="25" t="s">
        <v>10</v>
      </c>
      <c r="M377" s="26" t="str">
        <f>VLOOKUP(E377,'MTS 2026 registrations'!B:B,1,false)</f>
        <v>rjvreeburg@katalistcompany.nl</v>
      </c>
      <c r="N377" s="26" t="str">
        <f>VLOOKUP(B377,'MTS 2026 registrations'!A:A,1,false)</f>
        <v>#N/A</v>
      </c>
      <c r="O377" s="38" t="str">
        <f t="shared" si="2"/>
        <v/>
      </c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</row>
    <row r="378" ht="12.75" customHeight="1">
      <c r="A378" s="19" t="str">
        <f t="shared" si="1"/>
        <v>Elisabeth Minnemann hhs</v>
      </c>
      <c r="B378" s="19" t="s">
        <v>2321</v>
      </c>
      <c r="C378" s="134" t="s">
        <v>1223</v>
      </c>
      <c r="D378" s="60" t="s">
        <v>2322</v>
      </c>
      <c r="E378" s="62" t="s">
        <v>2323</v>
      </c>
      <c r="F378" s="64" t="s">
        <v>2324</v>
      </c>
      <c r="G378" s="42" t="s">
        <v>43</v>
      </c>
      <c r="H378" s="25" t="s">
        <v>139</v>
      </c>
      <c r="I378" s="23"/>
      <c r="J378" s="35" t="s">
        <v>2325</v>
      </c>
      <c r="K378" s="27" t="s">
        <v>50</v>
      </c>
      <c r="L378" s="25" t="s">
        <v>10</v>
      </c>
      <c r="M378" s="26" t="str">
        <f>VLOOKUP(E378,'MTS 2026 registrations'!B:B,1,false)</f>
        <v>e.minnemann@hhs.nl</v>
      </c>
      <c r="N378" s="26" t="str">
        <f>VLOOKUP(B378,'MTS 2026 registrations'!A:A,1,false)</f>
        <v>Elisabeth Minnemann</v>
      </c>
      <c r="O378" s="38" t="str">
        <f t="shared" si="2"/>
        <v/>
      </c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2.75" customHeight="1">
      <c r="A379" s="19" t="str">
        <f t="shared" si="1"/>
        <v>Ellen van Dam cornelderholding</v>
      </c>
      <c r="B379" s="19" t="s">
        <v>2326</v>
      </c>
      <c r="C379" s="60" t="s">
        <v>380</v>
      </c>
      <c r="D379" s="60" t="s">
        <v>2327</v>
      </c>
      <c r="E379" s="62" t="s">
        <v>2328</v>
      </c>
      <c r="F379" s="64" t="s">
        <v>2329</v>
      </c>
      <c r="G379" s="42" t="s">
        <v>1306</v>
      </c>
      <c r="H379" s="25" t="s">
        <v>139</v>
      </c>
      <c r="I379" s="34"/>
      <c r="J379" s="35" t="s">
        <v>2330</v>
      </c>
      <c r="K379" s="27" t="s">
        <v>50</v>
      </c>
      <c r="L379" s="25" t="s">
        <v>10</v>
      </c>
      <c r="M379" s="26" t="str">
        <f>VLOOKUP(E379,'MTS 2026 registrations'!B:B,1,false)</f>
        <v>em.vandam@cornelderholding.com</v>
      </c>
      <c r="N379" s="26" t="str">
        <f>VLOOKUP(B379,'MTS 2026 registrations'!A:A,1,false)</f>
        <v>#N/A</v>
      </c>
      <c r="O379" s="38" t="str">
        <f t="shared" si="2"/>
        <v/>
      </c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2.75" customHeight="1">
      <c r="A380" s="19" t="str">
        <f t="shared" si="1"/>
        <v>Ellen Hensbergen Invesdor</v>
      </c>
      <c r="B380" s="19" t="s">
        <v>2331</v>
      </c>
      <c r="C380" s="116" t="s">
        <v>380</v>
      </c>
      <c r="D380" s="116" t="s">
        <v>2332</v>
      </c>
      <c r="E380" s="112" t="s">
        <v>2333</v>
      </c>
      <c r="F380" s="49" t="s">
        <v>2334</v>
      </c>
      <c r="G380" s="24" t="s">
        <v>163</v>
      </c>
      <c r="H380" s="25" t="s">
        <v>164</v>
      </c>
      <c r="I380" s="34"/>
      <c r="J380" s="35" t="s">
        <v>2335</v>
      </c>
      <c r="K380" s="27" t="s">
        <v>50</v>
      </c>
      <c r="L380" s="25" t="s">
        <v>10</v>
      </c>
      <c r="M380" s="26" t="str">
        <f>VLOOKUP(E380,'MTS 2026 registrations'!B:B,1,false)</f>
        <v>ellen.hensbergen@invesdor.com</v>
      </c>
      <c r="N380" s="26" t="str">
        <f>VLOOKUP(B380,'MTS 2026 registrations'!A:A,1,false)</f>
        <v>Ellen Hensbergen</v>
      </c>
      <c r="O380" s="38" t="str">
        <f t="shared" si="2"/>
        <v/>
      </c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</row>
    <row r="381" ht="12.75" customHeight="1">
      <c r="A381" s="19" t="str">
        <f t="shared" si="1"/>
        <v>Elsa van der Zwan fme</v>
      </c>
      <c r="B381" s="19" t="s">
        <v>2336</v>
      </c>
      <c r="C381" s="60" t="s">
        <v>2337</v>
      </c>
      <c r="D381" s="60" t="s">
        <v>2338</v>
      </c>
      <c r="E381" s="62" t="s">
        <v>2339</v>
      </c>
      <c r="F381" s="64" t="s">
        <v>2340</v>
      </c>
      <c r="G381" s="24" t="s">
        <v>69</v>
      </c>
      <c r="H381" s="25" t="s">
        <v>139</v>
      </c>
      <c r="I381" s="23"/>
      <c r="J381" s="35" t="s">
        <v>2341</v>
      </c>
      <c r="K381" s="27" t="s">
        <v>50</v>
      </c>
      <c r="L381" s="25" t="s">
        <v>10</v>
      </c>
      <c r="M381" s="26" t="str">
        <f>VLOOKUP(E381,'MTS 2026 registrations'!B:B,1,false)</f>
        <v>elsa.van.der.zwan@fme.nl</v>
      </c>
      <c r="N381" s="26" t="str">
        <f>VLOOKUP(B381,'MTS 2026 registrations'!A:A,1,false)</f>
        <v>Elsa van der Zwan</v>
      </c>
      <c r="O381" s="38" t="str">
        <f t="shared" si="2"/>
        <v/>
      </c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34"/>
      <c r="AE381" s="34"/>
    </row>
    <row r="382" ht="12.75" customHeight="1">
      <c r="A382" s="19" t="str">
        <f t="shared" si="1"/>
        <v>Enrique Vervoort Delfinvest</v>
      </c>
      <c r="B382" s="19" t="s">
        <v>2342</v>
      </c>
      <c r="C382" s="157" t="s">
        <v>2343</v>
      </c>
      <c r="D382" s="157" t="s">
        <v>2344</v>
      </c>
      <c r="E382" s="123" t="s">
        <v>2345</v>
      </c>
      <c r="F382" s="157" t="s">
        <v>2184</v>
      </c>
      <c r="G382" s="32" t="s">
        <v>163</v>
      </c>
      <c r="H382" s="25" t="s">
        <v>164</v>
      </c>
      <c r="I382" s="13" t="s">
        <v>2174</v>
      </c>
      <c r="J382" s="133" t="s">
        <v>2346</v>
      </c>
      <c r="K382" s="27" t="s">
        <v>50</v>
      </c>
      <c r="L382" s="25" t="s">
        <v>10</v>
      </c>
      <c r="M382" s="26" t="str">
        <f>VLOOKUP(E382,'MTS 2026 registrations'!B:B,1,false)</f>
        <v>enrique.vervoort@delfinvest.nl</v>
      </c>
      <c r="N382" s="26" t="str">
        <f>VLOOKUP(B382,'MTS 2026 registrations'!A:A,1,false)</f>
        <v>Enrique Vervoort</v>
      </c>
      <c r="O382" s="38" t="str">
        <f t="shared" si="2"/>
        <v/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</row>
    <row r="383" ht="12.75" customHeight="1">
      <c r="A383" s="19" t="str">
        <f t="shared" si="1"/>
        <v>Erik Verloop Verloop </v>
      </c>
      <c r="B383" s="19" t="s">
        <v>2347</v>
      </c>
      <c r="C383" s="116" t="s">
        <v>546</v>
      </c>
      <c r="D383" s="116" t="s">
        <v>2348</v>
      </c>
      <c r="E383" s="112" t="s">
        <v>2349</v>
      </c>
      <c r="F383" s="49" t="s">
        <v>2350</v>
      </c>
      <c r="G383" s="24" t="s">
        <v>1430</v>
      </c>
      <c r="H383" s="49" t="s">
        <v>164</v>
      </c>
      <c r="I383" s="13"/>
      <c r="J383" s="35" t="s">
        <v>2351</v>
      </c>
      <c r="K383" s="27" t="s">
        <v>50</v>
      </c>
      <c r="L383" s="25" t="s">
        <v>10</v>
      </c>
      <c r="M383" s="26" t="str">
        <f>VLOOKUP(E383,'MTS 2026 registrations'!B:B,1,false)</f>
        <v>verloopbv@hotmail.com</v>
      </c>
      <c r="N383" s="26" t="str">
        <f>VLOOKUP(B383,'MTS 2026 registrations'!A:A,1,false)</f>
        <v>#N/A</v>
      </c>
      <c r="O383" s="38" t="str">
        <f t="shared" si="2"/>
        <v/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</row>
    <row r="384" ht="12.75" customHeight="1">
      <c r="A384" s="19" t="str">
        <f t="shared" si="1"/>
        <v>Erik Pentinga Invest International</v>
      </c>
      <c r="B384" s="19" t="s">
        <v>2352</v>
      </c>
      <c r="C384" s="161" t="s">
        <v>2353</v>
      </c>
      <c r="D384" s="161" t="s">
        <v>2354</v>
      </c>
      <c r="E384" s="128" t="s">
        <v>2355</v>
      </c>
      <c r="F384" s="66" t="s">
        <v>2356</v>
      </c>
      <c r="G384" s="42" t="s">
        <v>163</v>
      </c>
      <c r="H384" s="25" t="s">
        <v>164</v>
      </c>
      <c r="I384" s="34"/>
      <c r="J384" s="35" t="s">
        <v>2357</v>
      </c>
      <c r="K384" s="27" t="s">
        <v>50</v>
      </c>
      <c r="L384" s="25" t="s">
        <v>10</v>
      </c>
      <c r="M384" s="26" t="str">
        <f>VLOOKUP(E384,'MTS 2026 registrations'!B:B,1,false)</f>
        <v>erik.pentinga@investinternational.nl</v>
      </c>
      <c r="N384" s="26" t="str">
        <f>VLOOKUP(B384,'MTS 2026 registrations'!A:A,1,false)</f>
        <v>Erik Pentinga</v>
      </c>
      <c r="O384" s="38" t="str">
        <f t="shared" si="2"/>
        <v/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23"/>
      <c r="AE384" s="23"/>
    </row>
    <row r="385" ht="12.75" customHeight="1">
      <c r="A385" s="19" t="str">
        <f t="shared" si="1"/>
        <v>Ernst Hoestra eur</v>
      </c>
      <c r="B385" s="19" t="s">
        <v>2358</v>
      </c>
      <c r="C385" s="20" t="s">
        <v>2359</v>
      </c>
      <c r="D385" s="20" t="s">
        <v>2360</v>
      </c>
      <c r="E385" s="21" t="s">
        <v>2361</v>
      </c>
      <c r="F385" s="23" t="s">
        <v>41</v>
      </c>
      <c r="G385" s="32" t="s">
        <v>43</v>
      </c>
      <c r="H385" s="25" t="s">
        <v>139</v>
      </c>
      <c r="I385" s="23"/>
      <c r="J385" s="35" t="s">
        <v>2362</v>
      </c>
      <c r="K385" s="27" t="s">
        <v>50</v>
      </c>
      <c r="L385" s="25" t="s">
        <v>10</v>
      </c>
      <c r="M385" s="26" t="str">
        <f>VLOOKUP(E385,'MTS 2026 registrations'!B:B,1,false)</f>
        <v>hoestra@eur.nl</v>
      </c>
      <c r="N385" s="26" t="str">
        <f>VLOOKUP(B385,'MTS 2026 registrations'!A:A,1,false)</f>
        <v>Ernst Hoestra</v>
      </c>
      <c r="O385" s="38" t="str">
        <f t="shared" si="2"/>
        <v/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34"/>
      <c r="AE385" s="34"/>
    </row>
    <row r="386" ht="12.75" customHeight="1">
      <c r="A386" s="19" t="str">
        <f t="shared" si="1"/>
        <v>Ernst LYLA (Leading Your Laboratory Advancement)</v>
      </c>
      <c r="B386" s="19" t="s">
        <v>2359</v>
      </c>
      <c r="C386" s="72" t="s">
        <v>2359</v>
      </c>
      <c r="D386" s="29"/>
      <c r="E386" s="128" t="s">
        <v>2363</v>
      </c>
      <c r="F386" s="113" t="s">
        <v>2364</v>
      </c>
      <c r="G386" s="32" t="s">
        <v>46</v>
      </c>
      <c r="H386" s="25" t="s">
        <v>47</v>
      </c>
      <c r="I386" s="23"/>
      <c r="J386" s="35" t="s">
        <v>2365</v>
      </c>
      <c r="K386" s="27" t="s">
        <v>50</v>
      </c>
      <c r="L386" s="25" t="s">
        <v>10</v>
      </c>
      <c r="M386" s="26" t="str">
        <f>VLOOKUP(E386,'MTS 2026 registrations'!B:B,1,false)</f>
        <v>ernst@lyla.systems</v>
      </c>
      <c r="N386" s="26" t="str">
        <f>VLOOKUP(B386,'MTS 2026 registrations'!A:A,1,false)</f>
        <v>#N/A</v>
      </c>
      <c r="O386" s="38" t="str">
        <f t="shared" si="2"/>
        <v/>
      </c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2.75" customHeight="1">
      <c r="A387" s="19" t="str">
        <f t="shared" si="1"/>
        <v>Eveline Vreede tudelft</v>
      </c>
      <c r="B387" s="19" t="s">
        <v>2366</v>
      </c>
      <c r="C387" s="60" t="s">
        <v>2367</v>
      </c>
      <c r="D387" s="60" t="s">
        <v>2368</v>
      </c>
      <c r="E387" s="62" t="s">
        <v>2369</v>
      </c>
      <c r="F387" s="64" t="s">
        <v>184</v>
      </c>
      <c r="G387" s="42" t="s">
        <v>43</v>
      </c>
      <c r="H387" s="25" t="s">
        <v>139</v>
      </c>
      <c r="I387" s="34"/>
      <c r="J387" s="35" t="s">
        <v>2370</v>
      </c>
      <c r="K387" s="27" t="s">
        <v>50</v>
      </c>
      <c r="L387" s="25" t="s">
        <v>10</v>
      </c>
      <c r="M387" s="26" t="str">
        <f>VLOOKUP(E387,'MTS 2026 registrations'!B:B,1,false)</f>
        <v>e.m.vreede@tudelft.nl</v>
      </c>
      <c r="N387" s="26" t="str">
        <f>VLOOKUP(B387,'MTS 2026 registrations'!A:A,1,false)</f>
        <v>Eveline Vreede</v>
      </c>
      <c r="O387" s="38" t="str">
        <f t="shared" si="2"/>
        <v/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2.75" customHeight="1">
      <c r="A388" s="19" t="str">
        <f t="shared" si="1"/>
        <v>Fabian Groeneveld rabobank</v>
      </c>
      <c r="B388" s="19" t="s">
        <v>2371</v>
      </c>
      <c r="C388" s="20" t="s">
        <v>274</v>
      </c>
      <c r="D388" s="20" t="s">
        <v>2372</v>
      </c>
      <c r="E388" s="21" t="s">
        <v>2373</v>
      </c>
      <c r="F388" s="23" t="s">
        <v>137</v>
      </c>
      <c r="G388" s="42" t="s">
        <v>69</v>
      </c>
      <c r="H388" s="13" t="s">
        <v>213</v>
      </c>
      <c r="I388" s="23"/>
      <c r="J388" s="35" t="s">
        <v>2374</v>
      </c>
      <c r="K388" s="27" t="s">
        <v>50</v>
      </c>
      <c r="L388" s="25" t="s">
        <v>10</v>
      </c>
      <c r="M388" s="26" t="str">
        <f>VLOOKUP(E388,'MTS 2026 registrations'!B:B,1,false)</f>
        <v>fabian.groeneveld@rabobank.nl</v>
      </c>
      <c r="N388" s="26" t="str">
        <f>VLOOKUP(B388,'MTS 2026 registrations'!A:A,1,false)</f>
        <v>Fabian Groeneveld</v>
      </c>
      <c r="O388" s="38" t="str">
        <f t="shared" si="2"/>
        <v/>
      </c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2.75" customHeight="1">
      <c r="A389" s="19" t="str">
        <f t="shared" si="1"/>
        <v>Fatih Kaya kikkcapital</v>
      </c>
      <c r="B389" s="19" t="s">
        <v>2375</v>
      </c>
      <c r="C389" s="20" t="s">
        <v>2376</v>
      </c>
      <c r="D389" s="20" t="s">
        <v>2377</v>
      </c>
      <c r="E389" s="21" t="s">
        <v>2378</v>
      </c>
      <c r="F389" s="23" t="s">
        <v>2379</v>
      </c>
      <c r="G389" s="24" t="s">
        <v>163</v>
      </c>
      <c r="H389" s="25" t="s">
        <v>164</v>
      </c>
      <c r="I389" s="23"/>
      <c r="J389" s="35" t="s">
        <v>2380</v>
      </c>
      <c r="K389" s="27" t="s">
        <v>50</v>
      </c>
      <c r="L389" s="25" t="s">
        <v>10</v>
      </c>
      <c r="M389" s="26" t="str">
        <f>VLOOKUP(E389,'MTS 2026 registrations'!B:B,1,false)</f>
        <v>f.kaya@kikkcapital.com</v>
      </c>
      <c r="N389" s="26" t="str">
        <f>VLOOKUP(B389,'MTS 2026 registrations'!A:A,1,false)</f>
        <v>Fatih Kaya</v>
      </c>
      <c r="O389" s="38" t="str">
        <f t="shared" si="2"/>
        <v/>
      </c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2.75" customHeight="1">
      <c r="A390" s="19" t="str">
        <f t="shared" si="1"/>
        <v>Floris van den Broek Independent</v>
      </c>
      <c r="B390" s="19" t="s">
        <v>2381</v>
      </c>
      <c r="C390" s="116" t="s">
        <v>2382</v>
      </c>
      <c r="D390" s="116" t="s">
        <v>2383</v>
      </c>
      <c r="E390" s="112" t="s">
        <v>2384</v>
      </c>
      <c r="F390" s="66" t="s">
        <v>1209</v>
      </c>
      <c r="G390" s="24" t="s">
        <v>225</v>
      </c>
      <c r="H390" s="25" t="s">
        <v>47</v>
      </c>
      <c r="I390" s="34"/>
      <c r="J390" s="35" t="s">
        <v>2385</v>
      </c>
      <c r="K390" s="27" t="s">
        <v>50</v>
      </c>
      <c r="L390" s="25" t="s">
        <v>10</v>
      </c>
      <c r="M390" s="26" t="str">
        <f>VLOOKUP(E390,'MTS 2026 registrations'!B:B,1,false)</f>
        <v>#N/A</v>
      </c>
      <c r="N390" s="26" t="str">
        <f>VLOOKUP(B390,'MTS 2026 registrations'!A:A,1,false)</f>
        <v>Floris Van Den Broek</v>
      </c>
      <c r="O390" s="38" t="str">
        <f t="shared" si="2"/>
        <v/>
      </c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</row>
    <row r="391" ht="12.75" customHeight="1">
      <c r="A391" s="19" t="str">
        <f t="shared" si="1"/>
        <v>Floris Duffhuis multifix</v>
      </c>
      <c r="B391" s="19" t="s">
        <v>2386</v>
      </c>
      <c r="C391" s="20" t="s">
        <v>2382</v>
      </c>
      <c r="D391" s="20" t="s">
        <v>2387</v>
      </c>
      <c r="E391" s="21" t="s">
        <v>2388</v>
      </c>
      <c r="F391" s="23" t="s">
        <v>2389</v>
      </c>
      <c r="G391" s="24" t="s">
        <v>163</v>
      </c>
      <c r="H391" s="25" t="s">
        <v>164</v>
      </c>
      <c r="I391" s="23"/>
      <c r="J391" s="35" t="s">
        <v>2390</v>
      </c>
      <c r="K391" s="27" t="s">
        <v>50</v>
      </c>
      <c r="L391" s="25" t="s">
        <v>10</v>
      </c>
      <c r="M391" s="26" t="str">
        <f>VLOOKUP(E391,'MTS 2026 registrations'!B:B,1,false)</f>
        <v>#N/A</v>
      </c>
      <c r="N391" s="26" t="str">
        <f>VLOOKUP(B391,'MTS 2026 registrations'!A:A,1,false)</f>
        <v>Floris Duffhuis</v>
      </c>
      <c r="O391" s="38" t="str">
        <f t="shared" si="2"/>
        <v/>
      </c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2.75" customHeight="1">
      <c r="A392" s="19" t="str">
        <f t="shared" si="1"/>
        <v>Floris Blonk TKI</v>
      </c>
      <c r="B392" s="19" t="s">
        <v>2391</v>
      </c>
      <c r="C392" s="116" t="s">
        <v>2382</v>
      </c>
      <c r="D392" s="116" t="s">
        <v>2392</v>
      </c>
      <c r="E392" s="30" t="s">
        <v>2393</v>
      </c>
      <c r="F392" s="49" t="s">
        <v>2394</v>
      </c>
      <c r="G392" s="24" t="s">
        <v>29</v>
      </c>
      <c r="H392" s="13" t="s">
        <v>57</v>
      </c>
      <c r="I392" s="23"/>
      <c r="J392" s="35" t="s">
        <v>2395</v>
      </c>
      <c r="K392" s="27" t="s">
        <v>50</v>
      </c>
      <c r="L392" s="25" t="s">
        <v>10</v>
      </c>
      <c r="M392" s="26" t="str">
        <f>VLOOKUP(E392,'MTS 2026 registrations'!B:B,1,false)</f>
        <v>#N/A</v>
      </c>
      <c r="N392" s="26" t="str">
        <f>VLOOKUP(B392,'MTS 2026 registrations'!A:A,1,false)</f>
        <v>Floris Blonk</v>
      </c>
      <c r="O392" s="38" t="str">
        <f t="shared" si="2"/>
        <v/>
      </c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162"/>
      <c r="AE392" s="162"/>
    </row>
    <row r="393" ht="12.75" customHeight="1">
      <c r="A393" s="19" t="str">
        <f t="shared" si="1"/>
        <v>Frank Schuijer Independent</v>
      </c>
      <c r="B393" s="19" t="s">
        <v>2396</v>
      </c>
      <c r="C393" s="116" t="s">
        <v>646</v>
      </c>
      <c r="D393" s="116" t="s">
        <v>2397</v>
      </c>
      <c r="E393" s="112" t="s">
        <v>2398</v>
      </c>
      <c r="F393" s="66" t="s">
        <v>1209</v>
      </c>
      <c r="G393" s="24" t="s">
        <v>225</v>
      </c>
      <c r="H393" s="25" t="s">
        <v>47</v>
      </c>
      <c r="I393" s="34"/>
      <c r="J393" s="35" t="s">
        <v>2399</v>
      </c>
      <c r="K393" s="27" t="s">
        <v>50</v>
      </c>
      <c r="L393" s="25" t="s">
        <v>10</v>
      </c>
      <c r="M393" s="26" t="str">
        <f>VLOOKUP(E393,'MTS 2026 registrations'!B:B,1,false)</f>
        <v>frank@sirrom.nl</v>
      </c>
      <c r="N393" s="26" t="str">
        <f>VLOOKUP(B393,'MTS 2026 registrations'!A:A,1,false)</f>
        <v>Frank Schuijer</v>
      </c>
      <c r="O393" s="38" t="str">
        <f t="shared" si="2"/>
        <v/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</row>
    <row r="394" ht="12.75" customHeight="1">
      <c r="A394" s="19" t="str">
        <f t="shared" si="1"/>
        <v>Frederik Westerouen van Meeteren Anything Connected</v>
      </c>
      <c r="B394" s="19" t="s">
        <v>2400</v>
      </c>
      <c r="C394" s="29" t="s">
        <v>2401</v>
      </c>
      <c r="D394" s="29" t="s">
        <v>2402</v>
      </c>
      <c r="E394" s="62" t="s">
        <v>2403</v>
      </c>
      <c r="F394" s="50" t="s">
        <v>160</v>
      </c>
      <c r="G394" s="32" t="s">
        <v>46</v>
      </c>
      <c r="H394" s="25" t="s">
        <v>139</v>
      </c>
      <c r="I394" s="13" t="s">
        <v>188</v>
      </c>
      <c r="J394" s="35" t="s">
        <v>2404</v>
      </c>
      <c r="K394" s="27" t="s">
        <v>50</v>
      </c>
      <c r="L394" s="25" t="s">
        <v>10</v>
      </c>
      <c r="M394" s="26" t="str">
        <f>VLOOKUP(E394,'MTS 2026 registrations'!B:B,1,false)</f>
        <v>fvanmeeteren@gmail.com</v>
      </c>
      <c r="N394" s="26" t="str">
        <f>VLOOKUP(B394,'MTS 2026 registrations'!A:A,1,false)</f>
        <v>Frederik Westerouen van Meeteren</v>
      </c>
      <c r="O394" s="38" t="str">
        <f t="shared" si="2"/>
        <v/>
      </c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2.75" customHeight="1">
      <c r="A395" s="19" t="str">
        <f t="shared" si="1"/>
        <v>Freek Dielissen TN Ventures</v>
      </c>
      <c r="B395" s="19" t="s">
        <v>2405</v>
      </c>
      <c r="C395" s="20" t="s">
        <v>2406</v>
      </c>
      <c r="D395" s="20" t="s">
        <v>2407</v>
      </c>
      <c r="E395" s="21" t="s">
        <v>2408</v>
      </c>
      <c r="F395" s="49" t="s">
        <v>2409</v>
      </c>
      <c r="G395" s="24" t="s">
        <v>163</v>
      </c>
      <c r="H395" s="26" t="s">
        <v>164</v>
      </c>
      <c r="I395" s="13" t="s">
        <v>2406</v>
      </c>
      <c r="J395" s="35" t="s">
        <v>2410</v>
      </c>
      <c r="K395" s="27" t="s">
        <v>50</v>
      </c>
      <c r="L395" s="25" t="s">
        <v>10</v>
      </c>
      <c r="M395" s="26" t="str">
        <f>VLOOKUP(E395,'MTS 2026 registrations'!B:B,1,false)</f>
        <v>freek@ds-capital.nl</v>
      </c>
      <c r="N395" s="26" t="str">
        <f>VLOOKUP(B395,'MTS 2026 registrations'!A:A,1,false)</f>
        <v>#N/A</v>
      </c>
      <c r="O395" s="38" t="str">
        <f t="shared" si="2"/>
        <v/>
      </c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</row>
    <row r="396" ht="12.75" customHeight="1">
      <c r="A396" s="19" t="str">
        <f t="shared" si="1"/>
        <v>Freek Smoes yesdelft</v>
      </c>
      <c r="B396" s="19" t="s">
        <v>2411</v>
      </c>
      <c r="C396" s="20" t="s">
        <v>2406</v>
      </c>
      <c r="D396" s="20" t="s">
        <v>2412</v>
      </c>
      <c r="E396" s="21" t="s">
        <v>2413</v>
      </c>
      <c r="F396" s="23" t="s">
        <v>2267</v>
      </c>
      <c r="G396" s="24" t="s">
        <v>29</v>
      </c>
      <c r="H396" s="25" t="s">
        <v>139</v>
      </c>
      <c r="I396" s="26"/>
      <c r="J396" s="35" t="s">
        <v>2414</v>
      </c>
      <c r="K396" s="27" t="s">
        <v>50</v>
      </c>
      <c r="L396" s="25" t="s">
        <v>10</v>
      </c>
      <c r="M396" s="26" t="str">
        <f>VLOOKUP(E396,'MTS 2026 registrations'!B:B,1,false)</f>
        <v>freek@yesdelft.nl</v>
      </c>
      <c r="N396" s="26" t="str">
        <f>VLOOKUP(B396,'MTS 2026 registrations'!A:A,1,false)</f>
        <v>Freek Smoes</v>
      </c>
      <c r="O396" s="38" t="str">
        <f t="shared" si="2"/>
        <v/>
      </c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2.75" customHeight="1">
      <c r="A397" s="19" t="str">
        <f t="shared" si="1"/>
        <v>Gabriel Louw fairtree</v>
      </c>
      <c r="B397" s="19" t="s">
        <v>2415</v>
      </c>
      <c r="C397" s="20" t="s">
        <v>2416</v>
      </c>
      <c r="D397" s="20" t="s">
        <v>2417</v>
      </c>
      <c r="E397" s="21" t="s">
        <v>2418</v>
      </c>
      <c r="F397" s="23" t="s">
        <v>2419</v>
      </c>
      <c r="G397" s="24" t="s">
        <v>163</v>
      </c>
      <c r="H397" s="25" t="s">
        <v>164</v>
      </c>
      <c r="I397" s="23"/>
      <c r="J397" s="35" t="s">
        <v>2420</v>
      </c>
      <c r="K397" s="27" t="s">
        <v>50</v>
      </c>
      <c r="L397" s="25" t="s">
        <v>10</v>
      </c>
      <c r="M397" s="26" t="str">
        <f>VLOOKUP(E397,'MTS 2026 registrations'!B:B,1,false)</f>
        <v>gabriell@fairtree.com</v>
      </c>
      <c r="N397" s="26" t="str">
        <f>VLOOKUP(B397,'MTS 2026 registrations'!A:A,1,false)</f>
        <v>Gabriel Louw</v>
      </c>
      <c r="O397" s="38" t="str">
        <f t="shared" si="2"/>
        <v/>
      </c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2.75" customHeight="1">
      <c r="A398" s="19" t="str">
        <f t="shared" si="1"/>
        <v>Geert van Kuyck dgadvisors</v>
      </c>
      <c r="B398" s="19" t="s">
        <v>2421</v>
      </c>
      <c r="C398" s="72" t="s">
        <v>86</v>
      </c>
      <c r="D398" s="29" t="s">
        <v>2422</v>
      </c>
      <c r="E398" s="30" t="s">
        <v>2423</v>
      </c>
      <c r="F398" s="29" t="s">
        <v>2424</v>
      </c>
      <c r="G398" s="24" t="s">
        <v>225</v>
      </c>
      <c r="H398" s="50" t="s">
        <v>47</v>
      </c>
      <c r="I398" s="23"/>
      <c r="J398" s="35" t="s">
        <v>2425</v>
      </c>
      <c r="K398" s="27" t="s">
        <v>50</v>
      </c>
      <c r="L398" s="25" t="s">
        <v>10</v>
      </c>
      <c r="M398" s="26" t="str">
        <f>VLOOKUP(E398,'MTS 2026 registrations'!B:B,1,false)</f>
        <v>geert@dgadvisors.nl</v>
      </c>
      <c r="N398" s="26" t="str">
        <f>VLOOKUP(B398,'MTS 2026 registrations'!A:A,1,false)</f>
        <v>Geert van Kuyck</v>
      </c>
      <c r="O398" s="38" t="str">
        <f t="shared" si="2"/>
        <v/>
      </c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2.75" customHeight="1">
      <c r="A399" s="19" t="str">
        <f t="shared" si="1"/>
        <v>Gerko Visee denhaag</v>
      </c>
      <c r="B399" s="19" t="s">
        <v>2426</v>
      </c>
      <c r="C399" s="29" t="s">
        <v>2427</v>
      </c>
      <c r="D399" s="72" t="s">
        <v>2428</v>
      </c>
      <c r="E399" s="30" t="s">
        <v>2429</v>
      </c>
      <c r="F399" s="29" t="s">
        <v>738</v>
      </c>
      <c r="G399" s="32" t="s">
        <v>323</v>
      </c>
      <c r="H399" s="13" t="s">
        <v>213</v>
      </c>
      <c r="I399" s="23"/>
      <c r="J399" s="35" t="s">
        <v>2430</v>
      </c>
      <c r="K399" s="27" t="s">
        <v>50</v>
      </c>
      <c r="L399" s="25" t="s">
        <v>10</v>
      </c>
      <c r="M399" s="26" t="str">
        <f>VLOOKUP(E399,'MTS 2026 registrations'!B:B,1,false)</f>
        <v>gerko.visee@denhaag.nl</v>
      </c>
      <c r="N399" s="26" t="str">
        <f>VLOOKUP(B399,'MTS 2026 registrations'!A:A,1,false)</f>
        <v>Gerko Visee</v>
      </c>
      <c r="O399" s="38" t="str">
        <f t="shared" si="2"/>
        <v/>
      </c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2.75" customHeight="1">
      <c r="A400" s="19" t="str">
        <f t="shared" si="1"/>
        <v>Gerwin Hoogendoorn senz</v>
      </c>
      <c r="B400" s="19" t="s">
        <v>2431</v>
      </c>
      <c r="C400" s="134" t="s">
        <v>2432</v>
      </c>
      <c r="D400" s="60" t="s">
        <v>2433</v>
      </c>
      <c r="E400" s="62" t="s">
        <v>2434</v>
      </c>
      <c r="F400" s="64" t="s">
        <v>2435</v>
      </c>
      <c r="G400" s="24" t="s">
        <v>46</v>
      </c>
      <c r="H400" s="25" t="s">
        <v>139</v>
      </c>
      <c r="I400" s="23"/>
      <c r="J400" s="35" t="s">
        <v>2436</v>
      </c>
      <c r="K400" s="27" t="s">
        <v>50</v>
      </c>
      <c r="L400" s="25" t="s">
        <v>10</v>
      </c>
      <c r="M400" s="26" t="str">
        <f>VLOOKUP(E400,'MTS 2026 registrations'!B:B,1,false)</f>
        <v>#N/A</v>
      </c>
      <c r="N400" s="26" t="str">
        <f>VLOOKUP(B400,'MTS 2026 registrations'!A:A,1,false)</f>
        <v>Gerwin Hoogendoorn</v>
      </c>
      <c r="O400" s="38" t="str">
        <f t="shared" si="2"/>
        <v/>
      </c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2.75" customHeight="1">
      <c r="A401" s="19" t="str">
        <f t="shared" si="1"/>
        <v>Haiyan Che Independent</v>
      </c>
      <c r="B401" s="19" t="s">
        <v>2437</v>
      </c>
      <c r="C401" s="116" t="s">
        <v>2438</v>
      </c>
      <c r="D401" s="116" t="s">
        <v>2439</v>
      </c>
      <c r="E401" s="112" t="s">
        <v>2440</v>
      </c>
      <c r="F401" s="66" t="s">
        <v>1209</v>
      </c>
      <c r="G401" s="24" t="s">
        <v>225</v>
      </c>
      <c r="H401" s="25" t="s">
        <v>47</v>
      </c>
      <c r="I401" s="34"/>
      <c r="J401" s="35" t="s">
        <v>2441</v>
      </c>
      <c r="K401" s="27" t="s">
        <v>50</v>
      </c>
      <c r="L401" s="25" t="s">
        <v>10</v>
      </c>
      <c r="M401" s="26" t="str">
        <f>VLOOKUP(E401,'MTS 2026 registrations'!B:B,1,false)</f>
        <v>yilunche@hotmail.com</v>
      </c>
      <c r="N401" s="26" t="str">
        <f>VLOOKUP(B401,'MTS 2026 registrations'!A:A,1,false)</f>
        <v>Haiyan Che</v>
      </c>
      <c r="O401" s="38" t="str">
        <f t="shared" si="2"/>
        <v/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</row>
    <row r="402" ht="12.75" customHeight="1">
      <c r="A402" s="19" t="str">
        <f t="shared" si="1"/>
        <v>Hans Bloemen ecfg</v>
      </c>
      <c r="B402" s="19" t="s">
        <v>2442</v>
      </c>
      <c r="C402" s="20" t="s">
        <v>664</v>
      </c>
      <c r="D402" s="20" t="s">
        <v>2443</v>
      </c>
      <c r="E402" s="21" t="s">
        <v>2444</v>
      </c>
      <c r="F402" s="23" t="s">
        <v>2445</v>
      </c>
      <c r="G402" s="24" t="s">
        <v>163</v>
      </c>
      <c r="H402" s="25" t="s">
        <v>164</v>
      </c>
      <c r="I402" s="23"/>
      <c r="J402" s="35" t="s">
        <v>2446</v>
      </c>
      <c r="K402" s="27" t="s">
        <v>50</v>
      </c>
      <c r="L402" s="25" t="s">
        <v>10</v>
      </c>
      <c r="M402" s="26" t="str">
        <f>VLOOKUP(E402,'MTS 2026 registrations'!B:B,1,false)</f>
        <v>bloemen@ecfg.nl</v>
      </c>
      <c r="N402" s="26" t="str">
        <f>VLOOKUP(B402,'MTS 2026 registrations'!A:A,1,false)</f>
        <v>Hans Bloemen</v>
      </c>
      <c r="O402" s="38" t="str">
        <f t="shared" si="2"/>
        <v/>
      </c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2.75" customHeight="1">
      <c r="A403" s="19" t="str">
        <f t="shared" si="1"/>
        <v>Hendrik Verschuur haaglandenmc</v>
      </c>
      <c r="B403" s="19" t="s">
        <v>2447</v>
      </c>
      <c r="C403" s="116" t="s">
        <v>1754</v>
      </c>
      <c r="D403" s="116" t="s">
        <v>2448</v>
      </c>
      <c r="E403" s="112" t="s">
        <v>2449</v>
      </c>
      <c r="F403" s="23" t="s">
        <v>2450</v>
      </c>
      <c r="G403" s="24" t="s">
        <v>225</v>
      </c>
      <c r="H403" s="25" t="s">
        <v>47</v>
      </c>
      <c r="I403" s="34"/>
      <c r="J403" s="35" t="s">
        <v>2451</v>
      </c>
      <c r="K403" s="27" t="s">
        <v>50</v>
      </c>
      <c r="L403" s="25" t="s">
        <v>10</v>
      </c>
      <c r="M403" s="26" t="str">
        <f>VLOOKUP(E403,'MTS 2026 registrations'!B:B,1,false)</f>
        <v>#N/A</v>
      </c>
      <c r="N403" s="26" t="str">
        <f>VLOOKUP(B403,'MTS 2026 registrations'!A:A,1,false)</f>
        <v>Hendrik Verschuur</v>
      </c>
      <c r="O403" s="38" t="str">
        <f t="shared" si="2"/>
        <v/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</row>
    <row r="404" ht="12.75" customHeight="1">
      <c r="A404" s="19" t="str">
        <f t="shared" si="1"/>
        <v>Henk van Groen percivalparticipations</v>
      </c>
      <c r="B404" s="19" t="s">
        <v>2452</v>
      </c>
      <c r="C404" s="20" t="s">
        <v>680</v>
      </c>
      <c r="D404" s="20" t="s">
        <v>2453</v>
      </c>
      <c r="E404" s="62" t="s">
        <v>2454</v>
      </c>
      <c r="F404" s="23" t="s">
        <v>2455</v>
      </c>
      <c r="G404" s="24" t="s">
        <v>163</v>
      </c>
      <c r="H404" s="25" t="s">
        <v>164</v>
      </c>
      <c r="I404" s="23"/>
      <c r="J404" s="35" t="s">
        <v>2456</v>
      </c>
      <c r="K404" s="27" t="s">
        <v>50</v>
      </c>
      <c r="L404" s="25" t="s">
        <v>10</v>
      </c>
      <c r="M404" s="26" t="str">
        <f>VLOOKUP(E404,'MTS 2026 registrations'!B:B,1,false)</f>
        <v>#N/A</v>
      </c>
      <c r="N404" s="26" t="str">
        <f>VLOOKUP(B404,'MTS 2026 registrations'!A:A,1,false)</f>
        <v>Henk van Groen</v>
      </c>
      <c r="O404" s="38" t="str">
        <f t="shared" si="2"/>
        <v/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34"/>
      <c r="AE404" s="34"/>
    </row>
    <row r="405" ht="12.75" customHeight="1">
      <c r="A405" s="19" t="str">
        <f t="shared" si="1"/>
        <v>Herbert ten Have fizyr</v>
      </c>
      <c r="B405" s="19" t="s">
        <v>2457</v>
      </c>
      <c r="C405" s="20" t="s">
        <v>2458</v>
      </c>
      <c r="D405" s="20" t="s">
        <v>2459</v>
      </c>
      <c r="E405" s="112" t="s">
        <v>2460</v>
      </c>
      <c r="F405" s="23" t="s">
        <v>2461</v>
      </c>
      <c r="G405" s="24" t="s">
        <v>225</v>
      </c>
      <c r="H405" s="25" t="s">
        <v>47</v>
      </c>
      <c r="I405" s="23"/>
      <c r="J405" s="35" t="s">
        <v>2462</v>
      </c>
      <c r="K405" s="27" t="s">
        <v>50</v>
      </c>
      <c r="L405" s="25" t="s">
        <v>10</v>
      </c>
      <c r="M405" s="26" t="str">
        <f>VLOOKUP(E405,'MTS 2026 registrations'!B:B,1,false)</f>
        <v>#N/A</v>
      </c>
      <c r="N405" s="26" t="str">
        <f>VLOOKUP(B405,'MTS 2026 registrations'!A:A,1,false)</f>
        <v>Herbert ten Have</v>
      </c>
      <c r="O405" s="38" t="str">
        <f t="shared" si="2"/>
        <v/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34"/>
      <c r="AE405" s="34"/>
    </row>
    <row r="406" ht="12.75" customHeight="1">
      <c r="A406" s="19" t="str">
        <f t="shared" si="1"/>
        <v>Hester Bijl tudelft</v>
      </c>
      <c r="B406" s="19" t="s">
        <v>2463</v>
      </c>
      <c r="C406" s="43" t="s">
        <v>2464</v>
      </c>
      <c r="D406" s="43" t="s">
        <v>2465</v>
      </c>
      <c r="E406" s="31" t="s">
        <v>2466</v>
      </c>
      <c r="F406" s="33" t="s">
        <v>184</v>
      </c>
      <c r="G406" s="32" t="s">
        <v>43</v>
      </c>
      <c r="H406" s="25" t="s">
        <v>139</v>
      </c>
      <c r="I406" s="34"/>
      <c r="J406" s="35" t="s">
        <v>2467</v>
      </c>
      <c r="K406" s="27" t="s">
        <v>50</v>
      </c>
      <c r="L406" s="25" t="s">
        <v>10</v>
      </c>
      <c r="M406" s="26" t="str">
        <f>VLOOKUP(E406,'MTS 2026 registrations'!B:B,1,false)</f>
        <v>h.bijl@tudelft.nl</v>
      </c>
      <c r="N406" s="26" t="str">
        <f>VLOOKUP(B406,'MTS 2026 registrations'!A:A,1,false)</f>
        <v>Hester Bijl</v>
      </c>
      <c r="O406" s="38" t="str">
        <f t="shared" si="2"/>
        <v/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</row>
    <row r="407" ht="12.75" customHeight="1">
      <c r="A407" s="19" t="str">
        <f t="shared" si="1"/>
        <v>Hicham Shatou lequest</v>
      </c>
      <c r="B407" s="19" t="s">
        <v>2468</v>
      </c>
      <c r="C407" s="60" t="s">
        <v>2469</v>
      </c>
      <c r="D407" s="60" t="s">
        <v>2470</v>
      </c>
      <c r="E407" s="62" t="s">
        <v>2471</v>
      </c>
      <c r="F407" s="64" t="s">
        <v>2472</v>
      </c>
      <c r="G407" s="32" t="s">
        <v>46</v>
      </c>
      <c r="H407" s="25" t="s">
        <v>139</v>
      </c>
      <c r="I407" s="34"/>
      <c r="J407" s="35" t="s">
        <v>2473</v>
      </c>
      <c r="K407" s="27" t="s">
        <v>50</v>
      </c>
      <c r="L407" s="25" t="s">
        <v>10</v>
      </c>
      <c r="M407" s="26" t="str">
        <f>VLOOKUP(E407,'MTS 2026 registrations'!B:B,1,false)</f>
        <v>shatou@lequest.com</v>
      </c>
      <c r="N407" s="26" t="str">
        <f>VLOOKUP(B407,'MTS 2026 registrations'!A:A,1,false)</f>
        <v>#N/A</v>
      </c>
      <c r="O407" s="38" t="str">
        <f t="shared" si="2"/>
        <v/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</row>
    <row r="408" ht="12.75" customHeight="1">
      <c r="A408" s="19" t="str">
        <f t="shared" si="1"/>
        <v>Hidde Heimel 8capital</v>
      </c>
      <c r="B408" s="19" t="s">
        <v>2474</v>
      </c>
      <c r="C408" s="20" t="s">
        <v>2475</v>
      </c>
      <c r="D408" s="20" t="s">
        <v>2476</v>
      </c>
      <c r="E408" s="21" t="s">
        <v>2477</v>
      </c>
      <c r="F408" s="49" t="s">
        <v>2478</v>
      </c>
      <c r="G408" s="24" t="s">
        <v>163</v>
      </c>
      <c r="H408" s="26" t="s">
        <v>164</v>
      </c>
      <c r="I408" s="13"/>
      <c r="J408" s="35" t="s">
        <v>2479</v>
      </c>
      <c r="K408" s="27" t="s">
        <v>50</v>
      </c>
      <c r="L408" s="25" t="s">
        <v>10</v>
      </c>
      <c r="M408" s="26" t="str">
        <f>VLOOKUP(E408,'MTS 2026 registrations'!B:B,1,false)</f>
        <v>hheimel@8capital.nl</v>
      </c>
      <c r="N408" s="26" t="str">
        <f>VLOOKUP(B408,'MTS 2026 registrations'!A:A,1,false)</f>
        <v>Hidde Heimel</v>
      </c>
      <c r="O408" s="38" t="str">
        <f t="shared" si="2"/>
        <v/>
      </c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</row>
    <row r="409" ht="12.75" customHeight="1">
      <c r="A409" s="19" t="str">
        <f t="shared" si="1"/>
        <v>Hugo Niezen TNO</v>
      </c>
      <c r="B409" s="19" t="s">
        <v>2480</v>
      </c>
      <c r="C409" s="156" t="s">
        <v>2481</v>
      </c>
      <c r="D409" s="156" t="s">
        <v>2482</v>
      </c>
      <c r="E409" s="50" t="s">
        <v>2483</v>
      </c>
      <c r="F409" s="50" t="s">
        <v>2484</v>
      </c>
      <c r="G409" s="32" t="s">
        <v>69</v>
      </c>
      <c r="H409" s="25" t="s">
        <v>47</v>
      </c>
      <c r="I409" s="13" t="s">
        <v>2485</v>
      </c>
      <c r="J409" s="35" t="s">
        <v>2486</v>
      </c>
      <c r="K409" s="27" t="s">
        <v>50</v>
      </c>
      <c r="L409" s="25" t="s">
        <v>10</v>
      </c>
      <c r="M409" s="26" t="str">
        <f>VLOOKUP(E409,'MTS 2026 registrations'!B:B,1,false)</f>
        <v>hugo.niezen@tno.nl</v>
      </c>
      <c r="N409" s="26" t="str">
        <f>VLOOKUP(B409,'MTS 2026 registrations'!A:A,1,false)</f>
        <v>Hugo Niezen</v>
      </c>
      <c r="O409" s="38" t="str">
        <f t="shared" si="2"/>
        <v/>
      </c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</row>
    <row r="410" ht="12.75" customHeight="1">
      <c r="A410" s="19" t="str">
        <f t="shared" si="1"/>
        <v>Hussein HyER Power BV</v>
      </c>
      <c r="B410" s="19" t="s">
        <v>2487</v>
      </c>
      <c r="C410" s="163" t="s">
        <v>2487</v>
      </c>
      <c r="D410" s="20"/>
      <c r="E410" s="164" t="s">
        <v>2488</v>
      </c>
      <c r="F410" s="165" t="s">
        <v>2489</v>
      </c>
      <c r="G410" s="32" t="s">
        <v>46</v>
      </c>
      <c r="H410" s="25" t="s">
        <v>31</v>
      </c>
      <c r="I410" s="34"/>
      <c r="J410" s="35" t="s">
        <v>2490</v>
      </c>
      <c r="K410" s="27" t="s">
        <v>50</v>
      </c>
      <c r="L410" s="25" t="s">
        <v>10</v>
      </c>
      <c r="M410" s="26" t="str">
        <f>VLOOKUP(E410,'MTS 2026 registrations'!B:B,1,false)</f>
        <v>m.hussein@hyerpower.nl</v>
      </c>
      <c r="N410" s="26" t="str">
        <f>VLOOKUP(B410,'MTS 2026 registrations'!A:A,1,false)</f>
        <v>#N/A</v>
      </c>
      <c r="O410" s="38" t="str">
        <f t="shared" si="2"/>
        <v/>
      </c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</row>
    <row r="411" ht="12.75" customHeight="1">
      <c r="A411" s="19" t="str">
        <f t="shared" si="1"/>
        <v>Ide Swager Momo Medical</v>
      </c>
      <c r="B411" s="19" t="s">
        <v>2491</v>
      </c>
      <c r="C411" s="29" t="s">
        <v>2492</v>
      </c>
      <c r="D411" s="29" t="s">
        <v>2493</v>
      </c>
      <c r="E411" s="62" t="s">
        <v>2494</v>
      </c>
      <c r="F411" s="50" t="s">
        <v>2495</v>
      </c>
      <c r="G411" s="32" t="s">
        <v>46</v>
      </c>
      <c r="H411" s="25" t="s">
        <v>139</v>
      </c>
      <c r="I411" s="23"/>
      <c r="J411" s="35" t="s">
        <v>2496</v>
      </c>
      <c r="K411" s="27" t="s">
        <v>50</v>
      </c>
      <c r="L411" s="25" t="s">
        <v>10</v>
      </c>
      <c r="M411" s="26" t="str">
        <f>VLOOKUP(E411,'MTS 2026 registrations'!B:B,1,false)</f>
        <v>#N/A</v>
      </c>
      <c r="N411" s="26" t="str">
        <f>VLOOKUP(B411,'MTS 2026 registrations'!A:A,1,false)</f>
        <v>Ide Swager</v>
      </c>
      <c r="O411" s="38" t="str">
        <f t="shared" si="2"/>
        <v/>
      </c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34"/>
      <c r="AE411" s="34"/>
    </row>
    <row r="412" ht="12.75" customHeight="1">
      <c r="A412" s="19" t="str">
        <f t="shared" si="1"/>
        <v>Iskander Hannivoort manukai</v>
      </c>
      <c r="B412" s="19" t="s">
        <v>2497</v>
      </c>
      <c r="C412" s="29" t="s">
        <v>2498</v>
      </c>
      <c r="D412" s="29" t="s">
        <v>2499</v>
      </c>
      <c r="E412" s="150" t="s">
        <v>2500</v>
      </c>
      <c r="F412" s="72" t="s">
        <v>2501</v>
      </c>
      <c r="G412" s="32" t="s">
        <v>46</v>
      </c>
      <c r="H412" s="13" t="s">
        <v>213</v>
      </c>
      <c r="I412" s="23"/>
      <c r="J412" s="35" t="s">
        <v>2502</v>
      </c>
      <c r="K412" s="27" t="s">
        <v>50</v>
      </c>
      <c r="L412" s="25" t="s">
        <v>10</v>
      </c>
      <c r="M412" s="26" t="str">
        <f>VLOOKUP(E412,'MTS 2026 registrations'!B:B,1,false)</f>
        <v>iskander@manuk.ai</v>
      </c>
      <c r="N412" s="26" t="str">
        <f>VLOOKUP(B412,'MTS 2026 registrations'!A:A,1,false)</f>
        <v>Iskander Hannivoort</v>
      </c>
      <c r="O412" s="38" t="str">
        <f t="shared" si="2"/>
        <v/>
      </c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34"/>
      <c r="AE412" s="34"/>
    </row>
    <row r="413" ht="12.75" customHeight="1">
      <c r="A413" s="19" t="str">
        <f t="shared" si="1"/>
        <v>Ivo van der Horst Invest International</v>
      </c>
      <c r="B413" s="19" t="s">
        <v>2503</v>
      </c>
      <c r="C413" s="161" t="s">
        <v>2504</v>
      </c>
      <c r="D413" s="161" t="s">
        <v>275</v>
      </c>
      <c r="E413" s="128" t="s">
        <v>2505</v>
      </c>
      <c r="F413" s="66" t="s">
        <v>2356</v>
      </c>
      <c r="G413" s="42" t="s">
        <v>163</v>
      </c>
      <c r="H413" s="25" t="s">
        <v>164</v>
      </c>
      <c r="I413" s="34"/>
      <c r="J413" s="35" t="s">
        <v>2506</v>
      </c>
      <c r="K413" s="27" t="s">
        <v>50</v>
      </c>
      <c r="L413" s="25" t="s">
        <v>10</v>
      </c>
      <c r="M413" s="26" t="str">
        <f>VLOOKUP(E413,'MTS 2026 registrations'!B:B,1,false)</f>
        <v>ivo.vanderhorst@investinternational.nl</v>
      </c>
      <c r="N413" s="26" t="str">
        <f>VLOOKUP(B413,'MTS 2026 registrations'!A:A,1,false)</f>
        <v>Ivo van der Horst</v>
      </c>
      <c r="O413" s="38" t="str">
        <f t="shared" si="2"/>
        <v/>
      </c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</row>
    <row r="414" ht="12.75" customHeight="1">
      <c r="A414" s="19" t="str">
        <f t="shared" si="1"/>
        <v>Jacqueline Schardijn innovationquarter</v>
      </c>
      <c r="B414" s="19" t="s">
        <v>2507</v>
      </c>
      <c r="C414" s="60" t="s">
        <v>2508</v>
      </c>
      <c r="D414" s="60" t="s">
        <v>2509</v>
      </c>
      <c r="E414" s="62" t="s">
        <v>2510</v>
      </c>
      <c r="F414" s="64" t="s">
        <v>161</v>
      </c>
      <c r="G414" s="24" t="s">
        <v>29</v>
      </c>
      <c r="H414" s="25" t="s">
        <v>139</v>
      </c>
      <c r="I414" s="23"/>
      <c r="J414" s="35" t="s">
        <v>2511</v>
      </c>
      <c r="K414" s="27" t="s">
        <v>50</v>
      </c>
      <c r="L414" s="25" t="s">
        <v>10</v>
      </c>
      <c r="M414" s="26" t="str">
        <f>VLOOKUP(E414,'MTS 2026 registrations'!B:B,1,false)</f>
        <v>jacqueline.schardijn@innovationquarter.nl</v>
      </c>
      <c r="N414" s="26" t="str">
        <f>VLOOKUP(B414,'MTS 2026 registrations'!A:A,1,false)</f>
        <v>JACQUELINE SCHARDIJN</v>
      </c>
      <c r="O414" s="38" t="str">
        <f t="shared" si="2"/>
        <v/>
      </c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34"/>
      <c r="AE414" s="34"/>
    </row>
    <row r="415" ht="12.75" customHeight="1">
      <c r="A415" s="19" t="str">
        <f t="shared" si="1"/>
        <v>Jacqueline Papendrecht tudelft</v>
      </c>
      <c r="B415" s="19" t="s">
        <v>2512</v>
      </c>
      <c r="C415" s="60" t="s">
        <v>2508</v>
      </c>
      <c r="D415" s="60" t="s">
        <v>2513</v>
      </c>
      <c r="E415" s="62" t="s">
        <v>2514</v>
      </c>
      <c r="F415" s="64" t="s">
        <v>184</v>
      </c>
      <c r="G415" s="42" t="s">
        <v>43</v>
      </c>
      <c r="H415" s="25" t="s">
        <v>139</v>
      </c>
      <c r="I415" s="34"/>
      <c r="J415" s="35" t="s">
        <v>2515</v>
      </c>
      <c r="K415" s="27" t="s">
        <v>50</v>
      </c>
      <c r="L415" s="25" t="s">
        <v>10</v>
      </c>
      <c r="M415" s="26" t="str">
        <f>VLOOKUP(E415,'MTS 2026 registrations'!B:B,1,false)</f>
        <v>j.papendrecht@tudelft.nl</v>
      </c>
      <c r="N415" s="26" t="str">
        <f>VLOOKUP(B415,'MTS 2026 registrations'!A:A,1,false)</f>
        <v>Jacqueline Papendrecht</v>
      </c>
      <c r="O415" s="38" t="str">
        <f t="shared" si="2"/>
        <v/>
      </c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34"/>
      <c r="AE415" s="34"/>
    </row>
    <row r="416" ht="12.75" customHeight="1">
      <c r="A416" s="19" t="str">
        <f t="shared" si="1"/>
        <v>Jan Theunissen kikkcapital</v>
      </c>
      <c r="B416" s="19" t="s">
        <v>2516</v>
      </c>
      <c r="C416" s="20" t="s">
        <v>709</v>
      </c>
      <c r="D416" s="53" t="s">
        <v>2517</v>
      </c>
      <c r="E416" s="21" t="s">
        <v>2518</v>
      </c>
      <c r="F416" s="23" t="s">
        <v>2379</v>
      </c>
      <c r="G416" s="24" t="s">
        <v>163</v>
      </c>
      <c r="H416" s="25" t="s">
        <v>164</v>
      </c>
      <c r="I416" s="23"/>
      <c r="J416" s="35" t="s">
        <v>2519</v>
      </c>
      <c r="K416" s="27" t="s">
        <v>50</v>
      </c>
      <c r="L416" s="25" t="s">
        <v>10</v>
      </c>
      <c r="M416" s="26" t="str">
        <f>VLOOKUP(E416,'MTS 2026 registrations'!B:B,1,false)</f>
        <v>j.theunissen@kikkcapital.com</v>
      </c>
      <c r="N416" s="26" t="str">
        <f>VLOOKUP(B416,'MTS 2026 registrations'!A:A,1,false)</f>
        <v>#N/A</v>
      </c>
      <c r="O416" s="38" t="str">
        <f t="shared" si="2"/>
        <v/>
      </c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2.75" customHeight="1">
      <c r="A417" s="19" t="str">
        <f t="shared" si="1"/>
        <v>Jasper Schakel CIWI</v>
      </c>
      <c r="B417" s="19" t="s">
        <v>2520</v>
      </c>
      <c r="C417" s="29" t="s">
        <v>715</v>
      </c>
      <c r="D417" s="29" t="s">
        <v>2521</v>
      </c>
      <c r="E417" s="62" t="s">
        <v>2522</v>
      </c>
      <c r="F417" s="50" t="s">
        <v>2523</v>
      </c>
      <c r="G417" s="32" t="s">
        <v>46</v>
      </c>
      <c r="H417" s="25" t="s">
        <v>139</v>
      </c>
      <c r="I417" s="13" t="s">
        <v>188</v>
      </c>
      <c r="J417" s="35" t="s">
        <v>2524</v>
      </c>
      <c r="K417" s="27" t="s">
        <v>50</v>
      </c>
      <c r="L417" s="25" t="s">
        <v>10</v>
      </c>
      <c r="M417" s="26" t="str">
        <f>VLOOKUP(E417,'MTS 2026 registrations'!B:B,1,false)</f>
        <v>jasper.schakel@ciwi.earth</v>
      </c>
      <c r="N417" s="26" t="str">
        <f>VLOOKUP(B417,'MTS 2026 registrations'!A:A,1,false)</f>
        <v>Jasper Schakel</v>
      </c>
      <c r="O417" s="38" t="str">
        <f t="shared" si="2"/>
        <v/>
      </c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34"/>
      <c r="AE417" s="34"/>
    </row>
    <row r="418" ht="12.75" customHeight="1">
      <c r="A418" s="19" t="str">
        <f t="shared" si="1"/>
        <v>Jelle Post tudelft</v>
      </c>
      <c r="B418" s="19" t="s">
        <v>2525</v>
      </c>
      <c r="C418" s="29" t="s">
        <v>2526</v>
      </c>
      <c r="D418" s="29" t="s">
        <v>2527</v>
      </c>
      <c r="E418" s="30" t="s">
        <v>2528</v>
      </c>
      <c r="F418" s="29" t="s">
        <v>184</v>
      </c>
      <c r="G418" s="32" t="s">
        <v>43</v>
      </c>
      <c r="H418" s="13" t="s">
        <v>213</v>
      </c>
      <c r="I418" s="34"/>
      <c r="J418" s="35" t="s">
        <v>2529</v>
      </c>
      <c r="K418" s="27" t="s">
        <v>50</v>
      </c>
      <c r="L418" s="25" t="s">
        <v>10</v>
      </c>
      <c r="M418" s="26" t="str">
        <f>VLOOKUP(E418,'MTS 2026 registrations'!B:B,1,false)</f>
        <v>jelle.post@tudelft.nl</v>
      </c>
      <c r="N418" s="26" t="str">
        <f>VLOOKUP(B418,'MTS 2026 registrations'!A:A,1,false)</f>
        <v>Jelle Post</v>
      </c>
      <c r="O418" s="38" t="str">
        <f t="shared" si="2"/>
        <v/>
      </c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34"/>
      <c r="AE418" s="34"/>
    </row>
    <row r="419" ht="12.75" customHeight="1">
      <c r="A419" s="19" t="str">
        <f t="shared" si="1"/>
        <v>Jemy Pauwels demcon</v>
      </c>
      <c r="B419" s="19" t="s">
        <v>2530</v>
      </c>
      <c r="C419" s="20" t="s">
        <v>2531</v>
      </c>
      <c r="D419" s="20" t="s">
        <v>2532</v>
      </c>
      <c r="E419" s="21" t="s">
        <v>2533</v>
      </c>
      <c r="F419" s="23" t="s">
        <v>1394</v>
      </c>
      <c r="G419" s="24" t="s">
        <v>163</v>
      </c>
      <c r="H419" s="25" t="s">
        <v>164</v>
      </c>
      <c r="I419" s="23"/>
      <c r="J419" s="35" t="s">
        <v>2534</v>
      </c>
      <c r="K419" s="27" t="s">
        <v>50</v>
      </c>
      <c r="L419" s="25" t="s">
        <v>10</v>
      </c>
      <c r="M419" s="26" t="str">
        <f>VLOOKUP(E419,'MTS 2026 registrations'!B:B,1,false)</f>
        <v>jemy.pauwels@demcon.com</v>
      </c>
      <c r="N419" s="26" t="str">
        <f>VLOOKUP(B419,'MTS 2026 registrations'!A:A,1,false)</f>
        <v>Jemy Pauwels</v>
      </c>
      <c r="O419" s="38" t="str">
        <f t="shared" si="2"/>
        <v/>
      </c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34"/>
      <c r="AE419" s="34"/>
    </row>
    <row r="420" ht="12.75" customHeight="1">
      <c r="A420" s="19" t="str">
        <f t="shared" si="1"/>
        <v>Jermaine Saaltink Shell Ventures</v>
      </c>
      <c r="B420" s="19" t="s">
        <v>2535</v>
      </c>
      <c r="C420" s="134" t="s">
        <v>2536</v>
      </c>
      <c r="D420" s="134" t="s">
        <v>588</v>
      </c>
      <c r="E420" s="166" t="s">
        <v>2537</v>
      </c>
      <c r="F420" s="49" t="s">
        <v>2538</v>
      </c>
      <c r="G420" s="24" t="s">
        <v>56</v>
      </c>
      <c r="H420" s="13" t="s">
        <v>57</v>
      </c>
      <c r="I420" s="23"/>
      <c r="J420" s="35" t="s">
        <v>2539</v>
      </c>
      <c r="K420" s="27" t="s">
        <v>50</v>
      </c>
      <c r="L420" s="25" t="s">
        <v>10</v>
      </c>
      <c r="M420" s="26" t="str">
        <f>VLOOKUP(E420,'MTS 2026 registrations'!B:B,1,false)</f>
        <v>j.saaltink@shell.com</v>
      </c>
      <c r="N420" s="26" t="str">
        <f>VLOOKUP(B420,'MTS 2026 registrations'!A:A,1,false)</f>
        <v>Jermaine Saaltink</v>
      </c>
      <c r="O420" s="38" t="str">
        <f t="shared" si="2"/>
        <v/>
      </c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2.75" customHeight="1">
      <c r="A421" s="19" t="str">
        <f t="shared" si="1"/>
        <v>Jeroen Mann </v>
      </c>
      <c r="B421" s="19" t="s">
        <v>2540</v>
      </c>
      <c r="C421" s="134" t="s">
        <v>731</v>
      </c>
      <c r="D421" s="102" t="s">
        <v>2541</v>
      </c>
      <c r="E421" s="48" t="s">
        <v>2542</v>
      </c>
      <c r="F421" s="75"/>
      <c r="G421" s="24" t="s">
        <v>29</v>
      </c>
      <c r="H421" s="25" t="s">
        <v>139</v>
      </c>
      <c r="I421" s="34"/>
      <c r="J421" s="35" t="s">
        <v>2543</v>
      </c>
      <c r="K421" s="27" t="s">
        <v>50</v>
      </c>
      <c r="L421" s="25" t="s">
        <v>10</v>
      </c>
      <c r="M421" s="26" t="str">
        <f>VLOOKUP(E421,'MTS 2026 registrations'!B:B,1,false)</f>
        <v>jeroen.mann@mannovation.nl</v>
      </c>
      <c r="N421" s="26" t="str">
        <f>VLOOKUP(B421,'MTS 2026 registrations'!A:A,1,false)</f>
        <v>Jeroen Mann</v>
      </c>
      <c r="O421" s="38" t="str">
        <f t="shared" si="2"/>
        <v/>
      </c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34"/>
      <c r="AE421" s="34"/>
    </row>
    <row r="422" ht="12.75" customHeight="1">
      <c r="A422" s="19" t="str">
        <f t="shared" si="1"/>
        <v>Jin Han globusii</v>
      </c>
      <c r="B422" s="19" t="s">
        <v>2544</v>
      </c>
      <c r="C422" s="20" t="s">
        <v>2545</v>
      </c>
      <c r="D422" s="20" t="s">
        <v>2546</v>
      </c>
      <c r="E422" s="88" t="s">
        <v>2547</v>
      </c>
      <c r="F422" s="23" t="s">
        <v>2548</v>
      </c>
      <c r="G422" s="24" t="s">
        <v>225</v>
      </c>
      <c r="H422" s="25" t="s">
        <v>47</v>
      </c>
      <c r="I422" s="23"/>
      <c r="J422" s="35" t="s">
        <v>2549</v>
      </c>
      <c r="K422" s="27" t="s">
        <v>50</v>
      </c>
      <c r="L422" s="25" t="s">
        <v>10</v>
      </c>
      <c r="M422" s="26" t="str">
        <f>VLOOKUP(E422,'MTS 2026 registrations'!B:B,1,false)</f>
        <v>hanjin@globusii.com</v>
      </c>
      <c r="N422" s="26" t="str">
        <f>VLOOKUP(B422,'MTS 2026 registrations'!A:A,1,false)</f>
        <v>#N/A</v>
      </c>
      <c r="O422" s="38" t="str">
        <f t="shared" si="2"/>
        <v/>
      </c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34"/>
      <c r="AE422" s="34"/>
    </row>
    <row r="423" ht="12.75" customHeight="1">
      <c r="A423" s="19" t="str">
        <f t="shared" si="1"/>
        <v>John Bell hightechxl</v>
      </c>
      <c r="B423" s="19" t="s">
        <v>2550</v>
      </c>
      <c r="C423" s="20" t="s">
        <v>763</v>
      </c>
      <c r="D423" s="20" t="s">
        <v>2551</v>
      </c>
      <c r="E423" s="21" t="s">
        <v>2552</v>
      </c>
      <c r="F423" s="23" t="s">
        <v>2553</v>
      </c>
      <c r="G423" s="24" t="s">
        <v>163</v>
      </c>
      <c r="H423" s="25" t="s">
        <v>164</v>
      </c>
      <c r="I423" s="34"/>
      <c r="J423" s="35" t="s">
        <v>2554</v>
      </c>
      <c r="K423" s="27" t="s">
        <v>50</v>
      </c>
      <c r="L423" s="25" t="s">
        <v>10</v>
      </c>
      <c r="M423" s="26" t="str">
        <f>VLOOKUP(E423,'MTS 2026 registrations'!B:B,1,false)</f>
        <v>john@hightechxl.com</v>
      </c>
      <c r="N423" s="26" t="str">
        <f>VLOOKUP(B423,'MTS 2026 registrations'!A:A,1,false)</f>
        <v>#N/A</v>
      </c>
      <c r="O423" s="38" t="str">
        <f t="shared" si="2"/>
        <v/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</row>
    <row r="424" ht="12.75" customHeight="1">
      <c r="A424" s="19" t="str">
        <f t="shared" si="1"/>
        <v>John Gebeily Kadmos Capital Ltd</v>
      </c>
      <c r="B424" s="19" t="s">
        <v>2555</v>
      </c>
      <c r="C424" s="20" t="s">
        <v>763</v>
      </c>
      <c r="D424" s="20" t="s">
        <v>2556</v>
      </c>
      <c r="E424" s="21" t="s">
        <v>2557</v>
      </c>
      <c r="F424" s="49" t="s">
        <v>2558</v>
      </c>
      <c r="G424" s="24" t="s">
        <v>163</v>
      </c>
      <c r="H424" s="26" t="s">
        <v>164</v>
      </c>
      <c r="I424" s="13"/>
      <c r="J424" s="35" t="s">
        <v>2559</v>
      </c>
      <c r="K424" s="27" t="s">
        <v>50</v>
      </c>
      <c r="L424" s="25" t="s">
        <v>10</v>
      </c>
      <c r="M424" s="26" t="str">
        <f>VLOOKUP(E424,'MTS 2026 registrations'!B:B,1,false)</f>
        <v>john@kadmoscapital.com</v>
      </c>
      <c r="N424" s="26" t="str">
        <f>VLOOKUP(B424,'MTS 2026 registrations'!A:A,1,false)</f>
        <v>John Gebeily</v>
      </c>
      <c r="O424" s="38" t="str">
        <f t="shared" si="2"/>
        <v/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</row>
    <row r="425" ht="12.75" customHeight="1">
      <c r="A425" s="19" t="str">
        <f t="shared" si="1"/>
        <v>Jonathan Fajardo imecxpand</v>
      </c>
      <c r="B425" s="19" t="s">
        <v>2560</v>
      </c>
      <c r="C425" s="20" t="s">
        <v>2561</v>
      </c>
      <c r="D425" s="20" t="s">
        <v>2562</v>
      </c>
      <c r="E425" s="21" t="s">
        <v>2563</v>
      </c>
      <c r="F425" s="23" t="s">
        <v>2564</v>
      </c>
      <c r="G425" s="24" t="s">
        <v>163</v>
      </c>
      <c r="H425" s="25" t="s">
        <v>164</v>
      </c>
      <c r="I425" s="34"/>
      <c r="J425" s="35" t="s">
        <v>2565</v>
      </c>
      <c r="K425" s="27" t="s">
        <v>50</v>
      </c>
      <c r="L425" s="25" t="s">
        <v>10</v>
      </c>
      <c r="M425" s="26" t="str">
        <f>VLOOKUP(E425,'MTS 2026 registrations'!B:B,1,false)</f>
        <v>jonathan@imecxpand.com</v>
      </c>
      <c r="N425" s="26" t="str">
        <f>VLOOKUP(B425,'MTS 2026 registrations'!A:A,1,false)</f>
        <v>#N/A</v>
      </c>
      <c r="O425" s="38" t="str">
        <f t="shared" si="2"/>
        <v/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</row>
    <row r="426" ht="12.75" customHeight="1">
      <c r="A426" s="19" t="str">
        <f t="shared" si="1"/>
        <v>Jordan Billiald IQ Capital</v>
      </c>
      <c r="B426" s="19" t="s">
        <v>2566</v>
      </c>
      <c r="C426" s="161" t="s">
        <v>2567</v>
      </c>
      <c r="D426" s="161" t="s">
        <v>2568</v>
      </c>
      <c r="E426" s="128" t="s">
        <v>2569</v>
      </c>
      <c r="F426" s="66" t="s">
        <v>2570</v>
      </c>
      <c r="G426" s="42" t="s">
        <v>163</v>
      </c>
      <c r="H426" s="25" t="s">
        <v>164</v>
      </c>
      <c r="I426" s="34"/>
      <c r="J426" s="35" t="s">
        <v>2571</v>
      </c>
      <c r="K426" s="27" t="s">
        <v>50</v>
      </c>
      <c r="L426" s="25" t="s">
        <v>10</v>
      </c>
      <c r="M426" s="26" t="str">
        <f>VLOOKUP(E426,'MTS 2026 registrations'!B:B,1,false)</f>
        <v>jordan@iqcapital.vc</v>
      </c>
      <c r="N426" s="26" t="str">
        <f>VLOOKUP(B426,'MTS 2026 registrations'!A:A,1,false)</f>
        <v>Jordan Billiald</v>
      </c>
      <c r="O426" s="38" t="str">
        <f t="shared" si="2"/>
        <v/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</row>
    <row r="427" ht="12.75" customHeight="1">
      <c r="A427" s="19" t="str">
        <f t="shared" si="1"/>
        <v>Jorg Kop uprotterdam</v>
      </c>
      <c r="B427" s="19" t="s">
        <v>2572</v>
      </c>
      <c r="C427" s="60" t="s">
        <v>2573</v>
      </c>
      <c r="D427" s="60" t="s">
        <v>2574</v>
      </c>
      <c r="E427" s="62" t="s">
        <v>2575</v>
      </c>
      <c r="F427" s="64" t="s">
        <v>2576</v>
      </c>
      <c r="G427" s="24" t="s">
        <v>29</v>
      </c>
      <c r="H427" s="25" t="s">
        <v>139</v>
      </c>
      <c r="I427" s="34"/>
      <c r="J427" s="35" t="s">
        <v>2577</v>
      </c>
      <c r="K427" s="27" t="s">
        <v>50</v>
      </c>
      <c r="L427" s="25" t="s">
        <v>10</v>
      </c>
      <c r="M427" s="26" t="str">
        <f>VLOOKUP(E427,'MTS 2026 registrations'!B:B,1,false)</f>
        <v>jorg@uprotterdam.com</v>
      </c>
      <c r="N427" s="26" t="str">
        <f>VLOOKUP(B427,'MTS 2026 registrations'!A:A,1,false)</f>
        <v>Jorg Kop</v>
      </c>
      <c r="O427" s="38" t="str">
        <f t="shared" si="2"/>
        <v/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</row>
    <row r="428" ht="12.75" customHeight="1">
      <c r="A428" s="19" t="str">
        <f t="shared" si="1"/>
        <v>Joris van Kappen Independent</v>
      </c>
      <c r="B428" s="19" t="s">
        <v>2578</v>
      </c>
      <c r="C428" s="116" t="s">
        <v>1822</v>
      </c>
      <c r="D428" s="116" t="s">
        <v>2579</v>
      </c>
      <c r="E428" s="112" t="s">
        <v>2580</v>
      </c>
      <c r="F428" s="66" t="s">
        <v>1209</v>
      </c>
      <c r="G428" s="24" t="s">
        <v>225</v>
      </c>
      <c r="H428" s="25" t="s">
        <v>47</v>
      </c>
      <c r="I428" s="34"/>
      <c r="J428" s="35" t="s">
        <v>2581</v>
      </c>
      <c r="K428" s="27" t="s">
        <v>50</v>
      </c>
      <c r="L428" s="25" t="s">
        <v>10</v>
      </c>
      <c r="M428" s="26" t="str">
        <f>VLOOKUP(E428,'MTS 2026 registrations'!B:B,1,false)</f>
        <v>joris@van-kappen.com</v>
      </c>
      <c r="N428" s="26" t="str">
        <f>VLOOKUP(B428,'MTS 2026 registrations'!A:A,1,false)</f>
        <v>Joris van Kappen</v>
      </c>
      <c r="O428" s="38" t="str">
        <f t="shared" si="2"/>
        <v/>
      </c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</row>
    <row r="429" ht="12.75" customHeight="1">
      <c r="A429" s="19" t="str">
        <f t="shared" si="1"/>
        <v>Joris Meijaard rsm</v>
      </c>
      <c r="B429" s="19" t="s">
        <v>2582</v>
      </c>
      <c r="C429" s="20" t="s">
        <v>1822</v>
      </c>
      <c r="D429" s="20" t="s">
        <v>2583</v>
      </c>
      <c r="E429" s="21" t="s">
        <v>2584</v>
      </c>
      <c r="F429" s="23" t="s">
        <v>931</v>
      </c>
      <c r="G429" s="32" t="s">
        <v>43</v>
      </c>
      <c r="H429" s="25" t="s">
        <v>139</v>
      </c>
      <c r="I429" s="34"/>
      <c r="J429" s="35" t="s">
        <v>2585</v>
      </c>
      <c r="K429" s="27" t="s">
        <v>50</v>
      </c>
      <c r="L429" s="25" t="s">
        <v>10</v>
      </c>
      <c r="M429" s="26" t="str">
        <f>VLOOKUP(E429,'MTS 2026 registrations'!B:B,1,false)</f>
        <v>meijaard@rsm.nl</v>
      </c>
      <c r="N429" s="26" t="str">
        <f>VLOOKUP(B429,'MTS 2026 registrations'!A:A,1,false)</f>
        <v>Joris Meijaard</v>
      </c>
      <c r="O429" s="38" t="str">
        <f t="shared" si="2"/>
        <v/>
      </c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</row>
    <row r="430" ht="12.75" customHeight="1">
      <c r="A430" s="19" t="str">
        <f t="shared" si="1"/>
        <v>Jos Maccabiani innovationquarter</v>
      </c>
      <c r="B430" s="19" t="s">
        <v>2586</v>
      </c>
      <c r="C430" s="43" t="s">
        <v>2587</v>
      </c>
      <c r="D430" s="43" t="s">
        <v>2588</v>
      </c>
      <c r="E430" s="31" t="s">
        <v>2589</v>
      </c>
      <c r="F430" s="33" t="s">
        <v>161</v>
      </c>
      <c r="G430" s="24" t="s">
        <v>29</v>
      </c>
      <c r="H430" s="25" t="s">
        <v>139</v>
      </c>
      <c r="I430" s="13" t="s">
        <v>188</v>
      </c>
      <c r="J430" s="35" t="s">
        <v>2590</v>
      </c>
      <c r="K430" s="27" t="s">
        <v>50</v>
      </c>
      <c r="L430" s="25" t="s">
        <v>10</v>
      </c>
      <c r="M430" s="26" t="str">
        <f>VLOOKUP(E430,'MTS 2026 registrations'!B:B,1,false)</f>
        <v>jos.maccabiani@innovationquarter.nl</v>
      </c>
      <c r="N430" s="26" t="str">
        <f>VLOOKUP(B430,'MTS 2026 registrations'!A:A,1,false)</f>
        <v>Jos Maccabiani</v>
      </c>
      <c r="O430" s="38" t="str">
        <f t="shared" si="2"/>
        <v/>
      </c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</row>
    <row r="431" ht="12.75" customHeight="1">
      <c r="A431" s="19" t="str">
        <f t="shared" si="1"/>
        <v>Jurjen Slump tudelft</v>
      </c>
      <c r="B431" s="19" t="s">
        <v>2591</v>
      </c>
      <c r="C431" s="29" t="s">
        <v>2592</v>
      </c>
      <c r="D431" s="29" t="s">
        <v>2593</v>
      </c>
      <c r="E431" s="30" t="s">
        <v>2594</v>
      </c>
      <c r="F431" s="29" t="s">
        <v>184</v>
      </c>
      <c r="G431" s="32" t="s">
        <v>43</v>
      </c>
      <c r="H431" s="13" t="s">
        <v>213</v>
      </c>
      <c r="I431" s="34"/>
      <c r="J431" s="35" t="s">
        <v>2595</v>
      </c>
      <c r="K431" s="27" t="s">
        <v>50</v>
      </c>
      <c r="L431" s="25" t="s">
        <v>10</v>
      </c>
      <c r="M431" s="26" t="str">
        <f>VLOOKUP(E431,'MTS 2026 registrations'!B:B,1,false)</f>
        <v>j.r.slump@tudelft.nl</v>
      </c>
      <c r="N431" s="26" t="str">
        <f>VLOOKUP(B431,'MTS 2026 registrations'!A:A,1,false)</f>
        <v>Jurjen Slump</v>
      </c>
      <c r="O431" s="38" t="str">
        <f t="shared" si="2"/>
        <v/>
      </c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2.75" customHeight="1">
      <c r="A432" s="19" t="str">
        <f t="shared" si="1"/>
        <v>Ken Gould EVA ('Electric Vehicle Charging Alternative')</v>
      </c>
      <c r="B432" s="19" t="s">
        <v>2596</v>
      </c>
      <c r="C432" s="60" t="s">
        <v>2597</v>
      </c>
      <c r="D432" s="60" t="s">
        <v>2598</v>
      </c>
      <c r="E432" s="62" t="s">
        <v>2599</v>
      </c>
      <c r="F432" s="23" t="s">
        <v>2600</v>
      </c>
      <c r="G432" s="24" t="s">
        <v>750</v>
      </c>
      <c r="H432" s="25" t="s">
        <v>31</v>
      </c>
      <c r="I432" s="34"/>
      <c r="J432" s="35" t="s">
        <v>2601</v>
      </c>
      <c r="K432" s="27" t="s">
        <v>50</v>
      </c>
      <c r="L432" s="25" t="s">
        <v>10</v>
      </c>
      <c r="M432" s="26" t="str">
        <f>VLOOKUP(E432,'MTS 2026 registrations'!B:B,1,false)</f>
        <v>#N/A</v>
      </c>
      <c r="N432" s="26" t="str">
        <f>VLOOKUP(B432,'MTS 2026 registrations'!A:A,1,false)</f>
        <v>Ken Gould</v>
      </c>
      <c r="O432" s="38" t="str">
        <f t="shared" si="2"/>
        <v/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</row>
    <row r="433" ht="12.75" customHeight="1">
      <c r="A433" s="19" t="str">
        <f t="shared" si="1"/>
        <v>Kirsten Ruiter buccaneerdelft</v>
      </c>
      <c r="B433" s="19" t="s">
        <v>2602</v>
      </c>
      <c r="C433" s="20" t="s">
        <v>2603</v>
      </c>
      <c r="D433" s="20" t="s">
        <v>2604</v>
      </c>
      <c r="E433" s="21" t="s">
        <v>2605</v>
      </c>
      <c r="F433" s="23" t="s">
        <v>2606</v>
      </c>
      <c r="G433" s="24" t="s">
        <v>29</v>
      </c>
      <c r="H433" s="25" t="s">
        <v>139</v>
      </c>
      <c r="I433" s="26"/>
      <c r="J433" s="35" t="s">
        <v>2607</v>
      </c>
      <c r="K433" s="27" t="s">
        <v>50</v>
      </c>
      <c r="L433" s="25" t="s">
        <v>10</v>
      </c>
      <c r="M433" s="26" t="str">
        <f>VLOOKUP(E433,'MTS 2026 registrations'!B:B,1,false)</f>
        <v>kirsten.ruiter@buccaneerdelft.com</v>
      </c>
      <c r="N433" s="26" t="str">
        <f>VLOOKUP(B433,'MTS 2026 registrations'!A:A,1,false)</f>
        <v>Kirsten Ruiter</v>
      </c>
      <c r="O433" s="38" t="str">
        <f t="shared" si="2"/>
        <v/>
      </c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23"/>
      <c r="AE433" s="23"/>
    </row>
    <row r="434" ht="12.75" customHeight="1">
      <c r="A434" s="19" t="str">
        <f t="shared" si="1"/>
        <v>Koen Bouwers </v>
      </c>
      <c r="B434" s="19" t="s">
        <v>2608</v>
      </c>
      <c r="C434" s="20" t="s">
        <v>804</v>
      </c>
      <c r="D434" s="20" t="s">
        <v>2609</v>
      </c>
      <c r="E434" s="21" t="s">
        <v>2610</v>
      </c>
      <c r="F434" s="52"/>
      <c r="G434" s="24" t="s">
        <v>225</v>
      </c>
      <c r="H434" s="25" t="s">
        <v>47</v>
      </c>
      <c r="I434" s="25" t="s">
        <v>2611</v>
      </c>
      <c r="J434" s="35" t="s">
        <v>2612</v>
      </c>
      <c r="K434" s="27" t="s">
        <v>50</v>
      </c>
      <c r="L434" s="25" t="s">
        <v>10</v>
      </c>
      <c r="M434" s="26" t="str">
        <f>VLOOKUP(E434,'MTS 2026 registrations'!B:B,1,false)</f>
        <v>koenbouwers@hotmail.com</v>
      </c>
      <c r="N434" s="26" t="str">
        <f>VLOOKUP(B434,'MTS 2026 registrations'!A:A,1,false)</f>
        <v>Koen Bouwers</v>
      </c>
      <c r="O434" s="38" t="str">
        <f t="shared" si="2"/>
        <v/>
      </c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</row>
    <row r="435" ht="12.75" customHeight="1">
      <c r="A435" s="19" t="str">
        <f t="shared" si="1"/>
        <v>Loet Rummenie HIC</v>
      </c>
      <c r="B435" s="19" t="s">
        <v>2613</v>
      </c>
      <c r="C435" s="138" t="s">
        <v>2614</v>
      </c>
      <c r="D435" s="167" t="s">
        <v>2615</v>
      </c>
      <c r="E435" s="62" t="s">
        <v>2616</v>
      </c>
      <c r="F435" s="135" t="s">
        <v>1662</v>
      </c>
      <c r="G435" s="24" t="s">
        <v>29</v>
      </c>
      <c r="H435" s="25" t="s">
        <v>139</v>
      </c>
      <c r="I435" s="34"/>
      <c r="J435" s="35" t="s">
        <v>2617</v>
      </c>
      <c r="K435" s="27" t="s">
        <v>50</v>
      </c>
      <c r="L435" s="25" t="s">
        <v>10</v>
      </c>
      <c r="M435" s="26" t="str">
        <f>VLOOKUP(E435,'MTS 2026 registrations'!B:B,1,false)</f>
        <v>loet.rummenie@hiceu.com</v>
      </c>
      <c r="N435" s="26" t="str">
        <f>VLOOKUP(B435,'MTS 2026 registrations'!A:A,1,false)</f>
        <v>Loet Rummenie</v>
      </c>
      <c r="O435" s="38" t="str">
        <f t="shared" si="2"/>
        <v/>
      </c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</row>
    <row r="436" ht="12.75" customHeight="1">
      <c r="A436" s="19" t="str">
        <f t="shared" si="1"/>
        <v>Luc Treebusch buccaneerdelft</v>
      </c>
      <c r="B436" s="19" t="s">
        <v>2618</v>
      </c>
      <c r="C436" s="29" t="s">
        <v>2619</v>
      </c>
      <c r="D436" s="29" t="s">
        <v>2620</v>
      </c>
      <c r="E436" s="30" t="s">
        <v>2621</v>
      </c>
      <c r="F436" s="29" t="s">
        <v>2606</v>
      </c>
      <c r="G436" s="24" t="s">
        <v>29</v>
      </c>
      <c r="H436" s="13" t="s">
        <v>45</v>
      </c>
      <c r="I436" s="34"/>
      <c r="J436" s="35" t="s">
        <v>2622</v>
      </c>
      <c r="K436" s="27" t="s">
        <v>50</v>
      </c>
      <c r="L436" s="25" t="s">
        <v>10</v>
      </c>
      <c r="M436" s="26" t="str">
        <f>VLOOKUP(E436,'MTS 2026 registrations'!B:B,1,false)</f>
        <v>luc.treebusch@buccaneerdelft.com</v>
      </c>
      <c r="N436" s="26" t="str">
        <f>VLOOKUP(B436,'MTS 2026 registrations'!A:A,1,false)</f>
        <v>Luc Treebusch</v>
      </c>
      <c r="O436" s="38" t="str">
        <f t="shared" si="2"/>
        <v/>
      </c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</row>
    <row r="437" ht="12.75" customHeight="1">
      <c r="A437" s="19" t="str">
        <f t="shared" si="1"/>
        <v>Luuk Mur tudelft</v>
      </c>
      <c r="B437" s="19" t="s">
        <v>2623</v>
      </c>
      <c r="C437" s="29" t="s">
        <v>2624</v>
      </c>
      <c r="D437" s="29" t="s">
        <v>2625</v>
      </c>
      <c r="E437" s="30" t="s">
        <v>2626</v>
      </c>
      <c r="F437" s="29" t="s">
        <v>184</v>
      </c>
      <c r="G437" s="32" t="s">
        <v>43</v>
      </c>
      <c r="H437" s="13" t="s">
        <v>213</v>
      </c>
      <c r="I437" s="34"/>
      <c r="J437" s="35" t="s">
        <v>2627</v>
      </c>
      <c r="K437" s="27" t="s">
        <v>50</v>
      </c>
      <c r="L437" s="25" t="s">
        <v>10</v>
      </c>
      <c r="M437" s="26" t="str">
        <f>VLOOKUP(E437,'MTS 2026 registrations'!B:B,1,false)</f>
        <v>l.c.mur@tudelft.nl</v>
      </c>
      <c r="N437" s="26" t="str">
        <f>VLOOKUP(B437,'MTS 2026 registrations'!A:A,1,false)</f>
        <v>Luuk Mur</v>
      </c>
      <c r="O437" s="38" t="str">
        <f t="shared" si="2"/>
        <v/>
      </c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</row>
    <row r="438" ht="12.75" customHeight="1">
      <c r="A438" s="19" t="str">
        <f t="shared" si="1"/>
        <v>Maarten van der Kooij VIBES.technology</v>
      </c>
      <c r="B438" s="19" t="s">
        <v>2628</v>
      </c>
      <c r="C438" s="29" t="s">
        <v>261</v>
      </c>
      <c r="D438" s="29" t="s">
        <v>2629</v>
      </c>
      <c r="E438" s="62" t="s">
        <v>2630</v>
      </c>
      <c r="F438" s="50" t="s">
        <v>2631</v>
      </c>
      <c r="G438" s="32" t="s">
        <v>46</v>
      </c>
      <c r="H438" s="25" t="s">
        <v>139</v>
      </c>
      <c r="I438" s="13" t="s">
        <v>188</v>
      </c>
      <c r="J438" s="35" t="s">
        <v>2632</v>
      </c>
      <c r="K438" s="27" t="s">
        <v>50</v>
      </c>
      <c r="L438" s="25" t="s">
        <v>10</v>
      </c>
      <c r="M438" s="26" t="str">
        <f>VLOOKUP(E438,'MTS 2026 registrations'!B:B,1,false)</f>
        <v>maartenvanderkooij@hotmail.com</v>
      </c>
      <c r="N438" s="26" t="str">
        <f>VLOOKUP(B438,'MTS 2026 registrations'!A:A,1,false)</f>
        <v>Maarten van der Kooij</v>
      </c>
      <c r="O438" s="38" t="str">
        <f t="shared" si="2"/>
        <v/>
      </c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</row>
    <row r="439" ht="12.75" customHeight="1">
      <c r="A439" s="19" t="str">
        <f t="shared" si="1"/>
        <v>Maarten van der Elst Reinier de graaff</v>
      </c>
      <c r="B439" s="19" t="s">
        <v>2633</v>
      </c>
      <c r="C439" s="134" t="s">
        <v>2634</v>
      </c>
      <c r="D439" s="134" t="s">
        <v>1057</v>
      </c>
      <c r="E439" s="76" t="s">
        <v>2635</v>
      </c>
      <c r="F439" s="64" t="s">
        <v>2636</v>
      </c>
      <c r="G439" s="24" t="s">
        <v>56</v>
      </c>
      <c r="H439" s="25" t="s">
        <v>139</v>
      </c>
      <c r="I439" s="34"/>
      <c r="J439" s="35" t="s">
        <v>2637</v>
      </c>
      <c r="K439" s="27" t="s">
        <v>50</v>
      </c>
      <c r="L439" s="25" t="s">
        <v>10</v>
      </c>
      <c r="M439" s="26" t="str">
        <f>VLOOKUP(E439,'MTS 2026 registrations'!B:B,1,false)</f>
        <v>m.vanderelst@tudelft.nl</v>
      </c>
      <c r="N439" s="26" t="str">
        <f>VLOOKUP(B439,'MTS 2026 registrations'!A:A,1,false)</f>
        <v>Maarten van der Elst</v>
      </c>
      <c r="O439" s="38" t="str">
        <f t="shared" si="2"/>
        <v/>
      </c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</row>
    <row r="440" ht="12.75" customHeight="1">
      <c r="A440" s="19" t="str">
        <f t="shared" si="1"/>
        <v>Marcel Van Der Heijden Angel</v>
      </c>
      <c r="B440" s="19" t="s">
        <v>2638</v>
      </c>
      <c r="C440" s="20" t="s">
        <v>857</v>
      </c>
      <c r="D440" s="20" t="s">
        <v>2639</v>
      </c>
      <c r="E440" s="21" t="s">
        <v>2640</v>
      </c>
      <c r="F440" s="49" t="s">
        <v>1430</v>
      </c>
      <c r="G440" s="24" t="s">
        <v>163</v>
      </c>
      <c r="H440" s="26" t="s">
        <v>164</v>
      </c>
      <c r="I440" s="13"/>
      <c r="J440" s="35" t="s">
        <v>2641</v>
      </c>
      <c r="K440" s="27" t="s">
        <v>50</v>
      </c>
      <c r="L440" s="25" t="s">
        <v>10</v>
      </c>
      <c r="M440" s="26" t="str">
        <f>VLOOKUP(E440,'MTS 2026 registrations'!B:B,1,false)</f>
        <v>marcelvanderheijden@live.com</v>
      </c>
      <c r="N440" s="26" t="str">
        <f>VLOOKUP(B440,'MTS 2026 registrations'!A:A,1,false)</f>
        <v>Marcel van der Heijden</v>
      </c>
      <c r="O440" s="38" t="str">
        <f t="shared" si="2"/>
        <v/>
      </c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</row>
    <row r="441" ht="12.75" customHeight="1">
      <c r="A441" s="19" t="str">
        <f t="shared" si="1"/>
        <v>Marcel Timmer capfit</v>
      </c>
      <c r="B441" s="19" t="s">
        <v>2642</v>
      </c>
      <c r="C441" s="20" t="s">
        <v>857</v>
      </c>
      <c r="D441" s="20" t="s">
        <v>2643</v>
      </c>
      <c r="E441" s="21" t="s">
        <v>2644</v>
      </c>
      <c r="F441" s="23" t="s">
        <v>2645</v>
      </c>
      <c r="G441" s="24" t="s">
        <v>163</v>
      </c>
      <c r="H441" s="13" t="s">
        <v>213</v>
      </c>
      <c r="I441" s="26"/>
      <c r="J441" s="35" t="s">
        <v>2646</v>
      </c>
      <c r="K441" s="27" t="s">
        <v>50</v>
      </c>
      <c r="L441" s="25" t="s">
        <v>10</v>
      </c>
      <c r="M441" s="26" t="str">
        <f>VLOOKUP(E441,'MTS 2026 registrations'!B:B,1,false)</f>
        <v>marcel@capfit.nl</v>
      </c>
      <c r="N441" s="26" t="str">
        <f>VLOOKUP(B441,'MTS 2026 registrations'!A:A,1,false)</f>
        <v>Marcel Timmer</v>
      </c>
      <c r="O441" s="38" t="str">
        <f t="shared" si="2"/>
        <v/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</row>
    <row r="442" ht="12.75" customHeight="1">
      <c r="A442" s="19" t="str">
        <f t="shared" si="1"/>
        <v>Maria Tapia Earthstar Investments</v>
      </c>
      <c r="B442" s="19" t="s">
        <v>2647</v>
      </c>
      <c r="C442" s="20" t="s">
        <v>2648</v>
      </c>
      <c r="D442" s="20" t="s">
        <v>2649</v>
      </c>
      <c r="E442" s="21" t="s">
        <v>2650</v>
      </c>
      <c r="F442" s="49" t="s">
        <v>2651</v>
      </c>
      <c r="G442" s="24" t="s">
        <v>163</v>
      </c>
      <c r="H442" s="26" t="s">
        <v>164</v>
      </c>
      <c r="I442" s="13"/>
      <c r="J442" s="35" t="s">
        <v>2652</v>
      </c>
      <c r="K442" s="27" t="s">
        <v>50</v>
      </c>
      <c r="L442" s="25" t="s">
        <v>10</v>
      </c>
      <c r="M442" s="26" t="str">
        <f>VLOOKUP(E442,'MTS 2026 registrations'!B:B,1,false)</f>
        <v>mariatapia@earthstarinvestments.com</v>
      </c>
      <c r="N442" s="26" t="str">
        <f>VLOOKUP(B442,'MTS 2026 registrations'!A:A,1,false)</f>
        <v>#N/A</v>
      </c>
      <c r="O442" s="38" t="str">
        <f t="shared" si="2"/>
        <v/>
      </c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</row>
    <row r="443" ht="12.75" customHeight="1">
      <c r="A443" s="19" t="str">
        <f t="shared" si="1"/>
        <v>Marko Teodorovic Independent</v>
      </c>
      <c r="B443" s="19" t="s">
        <v>2653</v>
      </c>
      <c r="C443" s="116" t="s">
        <v>2654</v>
      </c>
      <c r="D443" s="116" t="s">
        <v>2655</v>
      </c>
      <c r="E443" s="112" t="s">
        <v>2656</v>
      </c>
      <c r="F443" s="66" t="s">
        <v>1209</v>
      </c>
      <c r="G443" s="24" t="s">
        <v>225</v>
      </c>
      <c r="H443" s="25" t="s">
        <v>47</v>
      </c>
      <c r="I443" s="34"/>
      <c r="J443" s="35" t="s">
        <v>2657</v>
      </c>
      <c r="K443" s="27" t="s">
        <v>50</v>
      </c>
      <c r="L443" s="25" t="s">
        <v>10</v>
      </c>
      <c r="M443" s="26" t="str">
        <f>VLOOKUP(E443,'MTS 2026 registrations'!B:B,1,false)</f>
        <v>marko@optinno.eu</v>
      </c>
      <c r="N443" s="26" t="str">
        <f>VLOOKUP(B443,'MTS 2026 registrations'!A:A,1,false)</f>
        <v>Marko Teodorovic</v>
      </c>
      <c r="O443" s="38" t="str">
        <f t="shared" si="2"/>
        <v/>
      </c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</row>
    <row r="444" ht="12.75" customHeight="1">
      <c r="A444" s="19" t="str">
        <f t="shared" si="1"/>
        <v>Marlies Lukkes shell</v>
      </c>
      <c r="B444" s="19" t="s">
        <v>2658</v>
      </c>
      <c r="C444" s="20" t="s">
        <v>2659</v>
      </c>
      <c r="D444" s="20" t="s">
        <v>2660</v>
      </c>
      <c r="E444" s="21" t="s">
        <v>2661</v>
      </c>
      <c r="F444" s="23" t="s">
        <v>55</v>
      </c>
      <c r="G444" s="24" t="s">
        <v>56</v>
      </c>
      <c r="H444" s="13" t="s">
        <v>57</v>
      </c>
      <c r="I444" s="34"/>
      <c r="J444" s="35" t="s">
        <v>2662</v>
      </c>
      <c r="K444" s="27" t="s">
        <v>50</v>
      </c>
      <c r="L444" s="25" t="s">
        <v>10</v>
      </c>
      <c r="M444" s="26" t="str">
        <f>VLOOKUP(E444,'MTS 2026 registrations'!B:B,1,false)</f>
        <v>m.lukkes@shell.com</v>
      </c>
      <c r="N444" s="26" t="str">
        <f>VLOOKUP(B444,'MTS 2026 registrations'!A:A,1,false)</f>
        <v>Marlies Lukkes</v>
      </c>
      <c r="O444" s="38" t="str">
        <f t="shared" si="2"/>
        <v/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</row>
    <row r="445" ht="12.75" customHeight="1">
      <c r="A445" s="19" t="str">
        <f t="shared" si="1"/>
        <v>Martine Klijn tudelft</v>
      </c>
      <c r="B445" s="19" t="s">
        <v>2663</v>
      </c>
      <c r="C445" s="60" t="s">
        <v>1912</v>
      </c>
      <c r="D445" s="60" t="s">
        <v>2664</v>
      </c>
      <c r="E445" s="62" t="s">
        <v>2665</v>
      </c>
      <c r="F445" s="64" t="s">
        <v>184</v>
      </c>
      <c r="G445" s="42" t="s">
        <v>43</v>
      </c>
      <c r="H445" s="25" t="s">
        <v>139</v>
      </c>
      <c r="I445" s="34"/>
      <c r="J445" s="35" t="s">
        <v>2666</v>
      </c>
      <c r="K445" s="27" t="s">
        <v>50</v>
      </c>
      <c r="L445" s="25" t="s">
        <v>10</v>
      </c>
      <c r="M445" s="26" t="str">
        <f>VLOOKUP(E445,'MTS 2026 registrations'!B:B,1,false)</f>
        <v>m.klijn@tudelft.nl</v>
      </c>
      <c r="N445" s="26" t="str">
        <f>VLOOKUP(B445,'MTS 2026 registrations'!A:A,1,false)</f>
        <v>Martine Klijn</v>
      </c>
      <c r="O445" s="38" t="str">
        <f t="shared" si="2"/>
        <v/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 ht="12.75" customHeight="1">
      <c r="A446" s="19" t="str">
        <f t="shared" si="1"/>
        <v>Mathijs Van Der Knaap vpcapital</v>
      </c>
      <c r="B446" s="19" t="s">
        <v>2667</v>
      </c>
      <c r="C446" s="20" t="s">
        <v>2668</v>
      </c>
      <c r="D446" s="53" t="s">
        <v>2669</v>
      </c>
      <c r="E446" s="21" t="s">
        <v>2670</v>
      </c>
      <c r="F446" s="23" t="s">
        <v>2671</v>
      </c>
      <c r="G446" s="24" t="s">
        <v>163</v>
      </c>
      <c r="H446" s="25" t="s">
        <v>164</v>
      </c>
      <c r="I446" s="26"/>
      <c r="J446" s="35" t="s">
        <v>2672</v>
      </c>
      <c r="K446" s="27" t="s">
        <v>50</v>
      </c>
      <c r="L446" s="25" t="s">
        <v>10</v>
      </c>
      <c r="M446" s="26" t="str">
        <f>VLOOKUP(E446,'MTS 2026 registrations'!B:B,1,false)</f>
        <v>mathijs@vpcapital.eu</v>
      </c>
      <c r="N446" s="26" t="str">
        <f>VLOOKUP(B446,'MTS 2026 registrations'!A:A,1,false)</f>
        <v>Mathijs van der Knaap</v>
      </c>
      <c r="O446" s="38" t="str">
        <f t="shared" si="2"/>
        <v/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 ht="12.75" customHeight="1">
      <c r="A447" s="19" t="str">
        <f t="shared" si="1"/>
        <v>Matthew Burton Independent</v>
      </c>
      <c r="B447" s="19" t="s">
        <v>2673</v>
      </c>
      <c r="C447" s="116" t="s">
        <v>1916</v>
      </c>
      <c r="D447" s="116" t="s">
        <v>2674</v>
      </c>
      <c r="E447" s="112" t="s">
        <v>2675</v>
      </c>
      <c r="F447" s="66" t="s">
        <v>1209</v>
      </c>
      <c r="G447" s="24" t="s">
        <v>225</v>
      </c>
      <c r="H447" s="25" t="s">
        <v>47</v>
      </c>
      <c r="I447" s="34"/>
      <c r="J447" s="35" t="s">
        <v>2676</v>
      </c>
      <c r="K447" s="27" t="s">
        <v>50</v>
      </c>
      <c r="L447" s="25" t="s">
        <v>10</v>
      </c>
      <c r="M447" s="26" t="str">
        <f>VLOOKUP(E447,'MTS 2026 registrations'!B:B,1,false)</f>
        <v>matt@mfbconsulting.nl</v>
      </c>
      <c r="N447" s="26" t="str">
        <f>VLOOKUP(B447,'MTS 2026 registrations'!A:A,1,false)</f>
        <v>Matthew Burton</v>
      </c>
      <c r="O447" s="38" t="str">
        <f t="shared" si="2"/>
        <v/>
      </c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</row>
    <row r="448" ht="12.75" customHeight="1">
      <c r="A448" s="19" t="str">
        <f t="shared" si="1"/>
        <v>Mercedes Tuin HERAN Partners</v>
      </c>
      <c r="B448" s="19" t="s">
        <v>2677</v>
      </c>
      <c r="C448" s="20" t="s">
        <v>2678</v>
      </c>
      <c r="D448" s="20" t="s">
        <v>2679</v>
      </c>
      <c r="E448" s="21" t="s">
        <v>2680</v>
      </c>
      <c r="F448" s="49" t="s">
        <v>2681</v>
      </c>
      <c r="G448" s="24" t="s">
        <v>163</v>
      </c>
      <c r="H448" s="26" t="s">
        <v>164</v>
      </c>
      <c r="I448" s="13"/>
      <c r="J448" s="35" t="s">
        <v>2682</v>
      </c>
      <c r="K448" s="27" t="s">
        <v>50</v>
      </c>
      <c r="L448" s="25" t="s">
        <v>10</v>
      </c>
      <c r="M448" s="26" t="str">
        <f>VLOOKUP(E448,'MTS 2026 registrations'!B:B,1,false)</f>
        <v>mercedes.tuin@heranpartners.com</v>
      </c>
      <c r="N448" s="26" t="str">
        <f>VLOOKUP(B448,'MTS 2026 registrations'!A:A,1,false)</f>
        <v>Mercedes Tuin</v>
      </c>
      <c r="O448" s="38" t="str">
        <f t="shared" si="2"/>
        <v/>
      </c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</row>
    <row r="449" ht="12.75" customHeight="1">
      <c r="A449" s="19" t="str">
        <f t="shared" si="1"/>
        <v>Michael Wulfsen tudelft</v>
      </c>
      <c r="B449" s="19" t="s">
        <v>2683</v>
      </c>
      <c r="C449" s="29" t="s">
        <v>569</v>
      </c>
      <c r="D449" s="29" t="s">
        <v>2684</v>
      </c>
      <c r="E449" s="30" t="s">
        <v>2685</v>
      </c>
      <c r="F449" s="29" t="s">
        <v>184</v>
      </c>
      <c r="G449" s="32" t="s">
        <v>43</v>
      </c>
      <c r="H449" s="13" t="s">
        <v>213</v>
      </c>
      <c r="I449" s="34"/>
      <c r="J449" s="35" t="s">
        <v>2686</v>
      </c>
      <c r="K449" s="27" t="s">
        <v>50</v>
      </c>
      <c r="L449" s="25" t="s">
        <v>10</v>
      </c>
      <c r="M449" s="26" t="str">
        <f>VLOOKUP(E449,'MTS 2026 registrations'!B:B,1,false)</f>
        <v>m.wulfsen@tudelft.nl</v>
      </c>
      <c r="N449" s="26" t="str">
        <f>VLOOKUP(B449,'MTS 2026 registrations'!A:A,1,false)</f>
        <v>Michael Wulfsen</v>
      </c>
      <c r="O449" s="38" t="str">
        <f t="shared" si="2"/>
        <v/>
      </c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</row>
    <row r="450" ht="12.75" customHeight="1">
      <c r="A450" s="19" t="str">
        <f t="shared" si="1"/>
        <v>Michel van Schie sparkdesign</v>
      </c>
      <c r="B450" s="19" t="s">
        <v>2687</v>
      </c>
      <c r="C450" s="20" t="s">
        <v>2688</v>
      </c>
      <c r="D450" s="20" t="s">
        <v>910</v>
      </c>
      <c r="E450" s="21" t="s">
        <v>2689</v>
      </c>
      <c r="F450" s="23" t="s">
        <v>2690</v>
      </c>
      <c r="G450" s="42" t="s">
        <v>69</v>
      </c>
      <c r="H450" s="25" t="s">
        <v>47</v>
      </c>
      <c r="I450" s="34"/>
      <c r="J450" s="35" t="s">
        <v>2691</v>
      </c>
      <c r="K450" s="27" t="s">
        <v>50</v>
      </c>
      <c r="L450" s="25" t="s">
        <v>10</v>
      </c>
      <c r="M450" s="26" t="str">
        <f>VLOOKUP(E450,'MTS 2026 registrations'!B:B,1,false)</f>
        <v>m.vanschie@sparkdesign.nl</v>
      </c>
      <c r="N450" s="26" t="str">
        <f>VLOOKUP(B450,'MTS 2026 registrations'!A:A,1,false)</f>
        <v>Michel van Schie</v>
      </c>
      <c r="O450" s="38" t="str">
        <f t="shared" si="2"/>
        <v/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</row>
    <row r="451" ht="12.75" customHeight="1">
      <c r="A451" s="19" t="str">
        <f t="shared" si="1"/>
        <v>Michiel van Stapele rvo Octrooicentrum</v>
      </c>
      <c r="B451" s="19" t="s">
        <v>2692</v>
      </c>
      <c r="C451" s="20" t="s">
        <v>2693</v>
      </c>
      <c r="D451" s="20" t="s">
        <v>2694</v>
      </c>
      <c r="E451" s="168" t="s">
        <v>2695</v>
      </c>
      <c r="F451" s="49" t="s">
        <v>2696</v>
      </c>
      <c r="G451" s="42" t="s">
        <v>69</v>
      </c>
      <c r="H451" s="25" t="s">
        <v>47</v>
      </c>
      <c r="I451" s="34"/>
      <c r="J451" s="35" t="s">
        <v>2697</v>
      </c>
      <c r="K451" s="27" t="s">
        <v>50</v>
      </c>
      <c r="L451" s="25" t="s">
        <v>10</v>
      </c>
      <c r="M451" s="26" t="str">
        <f>VLOOKUP(E451,'MTS 2026 registrations'!B:B,1,false)</f>
        <v>michiel.vanstapele@octrooicentrum.nl</v>
      </c>
      <c r="N451" s="26" t="str">
        <f>VLOOKUP(B451,'MTS 2026 registrations'!A:A,1,false)</f>
        <v>Michiel van Stapele</v>
      </c>
      <c r="O451" s="38" t="str">
        <f t="shared" si="2"/>
        <v/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</row>
    <row r="452" ht="12.75" customHeight="1">
      <c r="A452" s="19" t="str">
        <f t="shared" si="1"/>
        <v>Mireille van Reenen tudelft</v>
      </c>
      <c r="B452" s="19" t="s">
        <v>2698</v>
      </c>
      <c r="C452" s="60" t="s">
        <v>2699</v>
      </c>
      <c r="D452" s="60" t="s">
        <v>2700</v>
      </c>
      <c r="E452" s="62" t="s">
        <v>2701</v>
      </c>
      <c r="F452" s="64" t="s">
        <v>184</v>
      </c>
      <c r="G452" s="42" t="s">
        <v>43</v>
      </c>
      <c r="H452" s="25" t="s">
        <v>139</v>
      </c>
      <c r="I452" s="34"/>
      <c r="J452" s="35" t="s">
        <v>2702</v>
      </c>
      <c r="K452" s="27" t="s">
        <v>50</v>
      </c>
      <c r="L452" s="25" t="s">
        <v>10</v>
      </c>
      <c r="M452" s="26" t="str">
        <f>VLOOKUP(E452,'MTS 2026 registrations'!B:B,1,false)</f>
        <v>m.j.vanreenen@tudelft.nl</v>
      </c>
      <c r="N452" s="26" t="str">
        <f>VLOOKUP(B452,'MTS 2026 registrations'!A:A,1,false)</f>
        <v>Mireille van Reenen</v>
      </c>
      <c r="O452" s="38" t="str">
        <f t="shared" si="2"/>
        <v/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</row>
    <row r="453" ht="12.75" customHeight="1">
      <c r="A453" s="19" t="str">
        <f t="shared" si="1"/>
        <v>Mirik Castro SimGas</v>
      </c>
      <c r="B453" s="19" t="s">
        <v>2703</v>
      </c>
      <c r="C453" s="43" t="s">
        <v>2704</v>
      </c>
      <c r="D453" s="43" t="s">
        <v>2705</v>
      </c>
      <c r="E453" s="128" t="s">
        <v>2706</v>
      </c>
      <c r="F453" s="33" t="s">
        <v>495</v>
      </c>
      <c r="G453" s="51" t="s">
        <v>46</v>
      </c>
      <c r="H453" s="25" t="s">
        <v>47</v>
      </c>
      <c r="I453" s="34"/>
      <c r="J453" s="35" t="s">
        <v>2707</v>
      </c>
      <c r="K453" s="27" t="s">
        <v>50</v>
      </c>
      <c r="L453" s="25" t="s">
        <v>10</v>
      </c>
      <c r="M453" s="26" t="str">
        <f>VLOOKUP(E453,'MTS 2026 registrations'!B:B,1,false)</f>
        <v>mirik@scaleupcompany.com</v>
      </c>
      <c r="N453" s="26" t="str">
        <f>VLOOKUP(B453,'MTS 2026 registrations'!A:A,1,false)</f>
        <v>#N/A</v>
      </c>
      <c r="O453" s="38" t="str">
        <f t="shared" si="2"/>
        <v/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</row>
    <row r="454" ht="12.75" customHeight="1">
      <c r="A454" s="19" t="str">
        <f t="shared" si="1"/>
        <v>Mohammed Hussein Hyer Power</v>
      </c>
      <c r="B454" s="19" t="s">
        <v>2708</v>
      </c>
      <c r="C454" s="13" t="s">
        <v>2709</v>
      </c>
      <c r="D454" s="13" t="s">
        <v>2487</v>
      </c>
      <c r="E454" s="115" t="s">
        <v>2710</v>
      </c>
      <c r="F454" s="60" t="s">
        <v>2711</v>
      </c>
      <c r="G454" s="32" t="s">
        <v>46</v>
      </c>
      <c r="H454" s="25" t="s">
        <v>47</v>
      </c>
      <c r="I454" s="34"/>
      <c r="J454" s="35" t="s">
        <v>2712</v>
      </c>
      <c r="K454" s="27" t="s">
        <v>50</v>
      </c>
      <c r="L454" s="25" t="s">
        <v>10</v>
      </c>
      <c r="M454" s="26" t="str">
        <f>VLOOKUP(E454,'MTS 2026 registrations'!B:B,1,false)</f>
        <v>#N/A</v>
      </c>
      <c r="N454" s="26" t="str">
        <f>VLOOKUP(B454,'MTS 2026 registrations'!A:A,1,false)</f>
        <v>Mohammed Hussein</v>
      </c>
      <c r="O454" s="38" t="str">
        <f t="shared" si="2"/>
        <v/>
      </c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</row>
    <row r="455" ht="12.75" customHeight="1">
      <c r="A455" s="19" t="str">
        <f t="shared" si="1"/>
        <v>Mohammed iaallala planet-b</v>
      </c>
      <c r="B455" s="19" t="s">
        <v>2713</v>
      </c>
      <c r="C455" s="72" t="s">
        <v>2709</v>
      </c>
      <c r="D455" s="72" t="s">
        <v>2714</v>
      </c>
      <c r="E455" s="30" t="s">
        <v>2715</v>
      </c>
      <c r="F455" s="29" t="s">
        <v>2716</v>
      </c>
      <c r="G455" s="32" t="s">
        <v>29</v>
      </c>
      <c r="H455" s="13" t="s">
        <v>45</v>
      </c>
      <c r="I455" s="34"/>
      <c r="J455" s="35" t="s">
        <v>2717</v>
      </c>
      <c r="K455" s="27" t="s">
        <v>50</v>
      </c>
      <c r="L455" s="25" t="s">
        <v>10</v>
      </c>
      <c r="M455" s="26" t="str">
        <f>VLOOKUP(E455,'MTS 2026 registrations'!B:B,1,false)</f>
        <v>#N/A</v>
      </c>
      <c r="N455" s="26" t="str">
        <f>VLOOKUP(B455,'MTS 2026 registrations'!A:A,1,false)</f>
        <v>Mohammed iaallala</v>
      </c>
      <c r="O455" s="38" t="str">
        <f t="shared" si="2"/>
        <v/>
      </c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</row>
    <row r="456" ht="12.75" customHeight="1">
      <c r="A456" s="19" t="str">
        <f t="shared" si="1"/>
        <v>Moritz Müller setventures</v>
      </c>
      <c r="B456" s="19" t="s">
        <v>2718</v>
      </c>
      <c r="C456" s="43" t="s">
        <v>2719</v>
      </c>
      <c r="D456" s="43" t="s">
        <v>2720</v>
      </c>
      <c r="E456" s="31" t="s">
        <v>2721</v>
      </c>
      <c r="F456" s="33" t="s">
        <v>2722</v>
      </c>
      <c r="G456" s="51" t="s">
        <v>163</v>
      </c>
      <c r="H456" s="25" t="s">
        <v>139</v>
      </c>
      <c r="I456" s="34"/>
      <c r="J456" s="35" t="s">
        <v>2723</v>
      </c>
      <c r="K456" s="27" t="s">
        <v>50</v>
      </c>
      <c r="L456" s="25" t="s">
        <v>10</v>
      </c>
      <c r="M456" s="26" t="str">
        <f>VLOOKUP(E456,'MTS 2026 registrations'!B:B,1,false)</f>
        <v>moritzmueller@setventures.com</v>
      </c>
      <c r="N456" s="26" t="str">
        <f>VLOOKUP(B456,'MTS 2026 registrations'!A:A,1,false)</f>
        <v>#N/A</v>
      </c>
      <c r="O456" s="38" t="str">
        <f t="shared" si="2"/>
        <v/>
      </c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</row>
    <row r="457" ht="12.75" customHeight="1">
      <c r="A457" s="19" t="str">
        <f t="shared" si="1"/>
        <v>Moshe Vered Independent</v>
      </c>
      <c r="B457" s="19" t="s">
        <v>2724</v>
      </c>
      <c r="C457" s="13" t="s">
        <v>2725</v>
      </c>
      <c r="D457" s="116" t="s">
        <v>2726</v>
      </c>
      <c r="E457" s="169" t="s">
        <v>2727</v>
      </c>
      <c r="F457" s="66" t="s">
        <v>1209</v>
      </c>
      <c r="G457" s="24" t="s">
        <v>2728</v>
      </c>
      <c r="H457" s="25" t="s">
        <v>47</v>
      </c>
      <c r="I457" s="34"/>
      <c r="J457" s="35" t="s">
        <v>2729</v>
      </c>
      <c r="K457" s="27" t="s">
        <v>50</v>
      </c>
      <c r="L457" s="25" t="s">
        <v>10</v>
      </c>
      <c r="M457" s="26" t="str">
        <f>VLOOKUP(E457,'MTS 2026 registrations'!B:B,1,false)</f>
        <v>moses@roses-services.com</v>
      </c>
      <c r="N457" s="26" t="str">
        <f>VLOOKUP(B457,'MTS 2026 registrations'!A:A,1,false)</f>
        <v>Moshe Vered</v>
      </c>
      <c r="O457" s="38" t="str">
        <f t="shared" si="2"/>
        <v/>
      </c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</row>
    <row r="458" ht="12.75" customHeight="1">
      <c r="A458" s="19" t="str">
        <f t="shared" si="1"/>
        <v>Naomi de Haas </v>
      </c>
      <c r="B458" s="19" t="s">
        <v>2730</v>
      </c>
      <c r="C458" s="72" t="s">
        <v>2731</v>
      </c>
      <c r="D458" s="72" t="s">
        <v>2732</v>
      </c>
      <c r="E458" s="30" t="s">
        <v>2733</v>
      </c>
      <c r="F458" s="29"/>
      <c r="G458" s="144"/>
      <c r="H458" s="13" t="s">
        <v>45</v>
      </c>
      <c r="I458" s="34"/>
      <c r="J458" s="35" t="s">
        <v>2734</v>
      </c>
      <c r="K458" s="27" t="s">
        <v>50</v>
      </c>
      <c r="L458" s="25" t="s">
        <v>10</v>
      </c>
      <c r="M458" s="26" t="str">
        <f>VLOOKUP(E458,'MTS 2026 registrations'!B:B,1,false)</f>
        <v>n.dehaas@nwo.nl</v>
      </c>
      <c r="N458" s="26" t="str">
        <f>VLOOKUP(B458,'MTS 2026 registrations'!A:A,1,false)</f>
        <v>Naomi de Haas</v>
      </c>
      <c r="O458" s="38" t="str">
        <f t="shared" si="2"/>
        <v/>
      </c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</row>
    <row r="459" ht="12.75" customHeight="1">
      <c r="A459" s="19" t="str">
        <f t="shared" si="1"/>
        <v>Nick Bos tudelft</v>
      </c>
      <c r="B459" s="19" t="s">
        <v>2735</v>
      </c>
      <c r="C459" s="43" t="s">
        <v>2736</v>
      </c>
      <c r="D459" s="43" t="s">
        <v>2737</v>
      </c>
      <c r="E459" s="31" t="s">
        <v>2738</v>
      </c>
      <c r="F459" s="33" t="s">
        <v>184</v>
      </c>
      <c r="G459" s="32" t="s">
        <v>43</v>
      </c>
      <c r="H459" s="25" t="s">
        <v>139</v>
      </c>
      <c r="I459" s="34"/>
      <c r="J459" s="35" t="s">
        <v>2739</v>
      </c>
      <c r="K459" s="27" t="s">
        <v>50</v>
      </c>
      <c r="L459" s="25" t="s">
        <v>10</v>
      </c>
      <c r="M459" s="26" t="str">
        <f>VLOOKUP(E459,'MTS 2026 registrations'!B:B,1,false)</f>
        <v>n.j.p.m.bos@tudelft.nl</v>
      </c>
      <c r="N459" s="26" t="str">
        <f>VLOOKUP(B459,'MTS 2026 registrations'!A:A,1,false)</f>
        <v>Nick Bos</v>
      </c>
      <c r="O459" s="38" t="str">
        <f t="shared" si="2"/>
        <v/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</row>
    <row r="460" ht="12.75" customHeight="1">
      <c r="A460" s="19" t="str">
        <f t="shared" si="1"/>
        <v>Niels Kooiman damen</v>
      </c>
      <c r="B460" s="19" t="s">
        <v>2740</v>
      </c>
      <c r="C460" s="29" t="s">
        <v>2741</v>
      </c>
      <c r="D460" s="29" t="s">
        <v>2742</v>
      </c>
      <c r="E460" s="30" t="s">
        <v>2743</v>
      </c>
      <c r="F460" s="29" t="s">
        <v>2744</v>
      </c>
      <c r="G460" s="32" t="s">
        <v>56</v>
      </c>
      <c r="H460" s="13" t="s">
        <v>45</v>
      </c>
      <c r="I460" s="34"/>
      <c r="J460" s="35" t="s">
        <v>2745</v>
      </c>
      <c r="K460" s="27" t="s">
        <v>50</v>
      </c>
      <c r="L460" s="25" t="s">
        <v>10</v>
      </c>
      <c r="M460" s="26" t="str">
        <f>VLOOKUP(E460,'MTS 2026 registrations'!B:B,1,false)</f>
        <v>niels.kooiman@damen.com</v>
      </c>
      <c r="N460" s="26" t="str">
        <f>VLOOKUP(B460,'MTS 2026 registrations'!A:A,1,false)</f>
        <v>Niels Kooiman</v>
      </c>
      <c r="O460" s="38" t="str">
        <f t="shared" si="2"/>
        <v/>
      </c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</row>
    <row r="461" ht="12.75" customHeight="1">
      <c r="A461" s="19" t="str">
        <f t="shared" si="1"/>
        <v>Nina Donker capitaltvc</v>
      </c>
      <c r="B461" s="19" t="s">
        <v>2746</v>
      </c>
      <c r="C461" s="116" t="s">
        <v>2747</v>
      </c>
      <c r="D461" s="116" t="s">
        <v>2748</v>
      </c>
      <c r="E461" s="112" t="s">
        <v>2749</v>
      </c>
      <c r="F461" s="23" t="s">
        <v>2750</v>
      </c>
      <c r="G461" s="24" t="s">
        <v>163</v>
      </c>
      <c r="H461" s="25" t="s">
        <v>164</v>
      </c>
      <c r="I461" s="26"/>
      <c r="J461" s="35" t="s">
        <v>2751</v>
      </c>
      <c r="K461" s="27" t="s">
        <v>50</v>
      </c>
      <c r="L461" s="25" t="s">
        <v>10</v>
      </c>
      <c r="M461" s="26" t="str">
        <f>VLOOKUP(E461,'MTS 2026 registrations'!B:B,1,false)</f>
        <v>nina@capitaltvc.com</v>
      </c>
      <c r="N461" s="26" t="str">
        <f>VLOOKUP(B461,'MTS 2026 registrations'!A:A,1,false)</f>
        <v>Nina Donker</v>
      </c>
      <c r="O461" s="38" t="str">
        <f t="shared" si="2"/>
        <v/>
      </c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34"/>
      <c r="AE461" s="34"/>
    </row>
    <row r="462" ht="12.75" customHeight="1">
      <c r="A462" s="19" t="str">
        <f t="shared" si="1"/>
        <v>Olivier Baas villari</v>
      </c>
      <c r="B462" s="19" t="s">
        <v>2752</v>
      </c>
      <c r="C462" s="20" t="s">
        <v>2753</v>
      </c>
      <c r="D462" s="20" t="s">
        <v>2754</v>
      </c>
      <c r="E462" s="21" t="s">
        <v>2755</v>
      </c>
      <c r="F462" s="23" t="s">
        <v>2756</v>
      </c>
      <c r="G462" s="32" t="s">
        <v>46</v>
      </c>
      <c r="H462" s="25" t="s">
        <v>47</v>
      </c>
      <c r="I462" s="26"/>
      <c r="J462" s="35" t="s">
        <v>2757</v>
      </c>
      <c r="K462" s="27" t="s">
        <v>50</v>
      </c>
      <c r="L462" s="25" t="s">
        <v>10</v>
      </c>
      <c r="M462" s="26" t="str">
        <f>VLOOKUP(E462,'MTS 2026 registrations'!B:B,1,false)</f>
        <v>#N/A</v>
      </c>
      <c r="N462" s="26" t="str">
        <f>VLOOKUP(B462,'MTS 2026 registrations'!A:A,1,false)</f>
        <v>Olivier Baas</v>
      </c>
      <c r="O462" s="38" t="str">
        <f t="shared" si="2"/>
        <v/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</row>
    <row r="463" ht="12.75" customHeight="1">
      <c r="A463" s="19" t="str">
        <f t="shared" si="1"/>
        <v>Patricia Klopf rsm</v>
      </c>
      <c r="B463" s="19" t="s">
        <v>2758</v>
      </c>
      <c r="C463" s="116" t="s">
        <v>2759</v>
      </c>
      <c r="D463" s="137" t="s">
        <v>2760</v>
      </c>
      <c r="E463" s="112" t="s">
        <v>2761</v>
      </c>
      <c r="F463" s="23" t="s">
        <v>931</v>
      </c>
      <c r="G463" s="32" t="s">
        <v>43</v>
      </c>
      <c r="H463" s="25" t="s">
        <v>47</v>
      </c>
      <c r="I463" s="34"/>
      <c r="J463" s="133" t="s">
        <v>2762</v>
      </c>
      <c r="K463" s="27" t="s">
        <v>50</v>
      </c>
      <c r="L463" s="25" t="s">
        <v>10</v>
      </c>
      <c r="M463" s="26" t="str">
        <f>VLOOKUP(E463,'MTS 2026 registrations'!B:B,1,false)</f>
        <v>klopf@rsm.nl</v>
      </c>
      <c r="N463" s="26" t="str">
        <f>VLOOKUP(B463,'MTS 2026 registrations'!A:A,1,false)</f>
        <v>Patricia Klopf</v>
      </c>
      <c r="O463" s="38" t="str">
        <f t="shared" si="2"/>
        <v/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</row>
    <row r="464" ht="12.75" customHeight="1">
      <c r="A464" s="19" t="str">
        <f t="shared" si="1"/>
        <v>Paul Althuis tudelft</v>
      </c>
      <c r="B464" s="19" t="s">
        <v>2763</v>
      </c>
      <c r="C464" s="60" t="s">
        <v>953</v>
      </c>
      <c r="D464" s="60" t="s">
        <v>2764</v>
      </c>
      <c r="E464" s="62" t="s">
        <v>2765</v>
      </c>
      <c r="F464" s="64" t="s">
        <v>184</v>
      </c>
      <c r="G464" s="42" t="s">
        <v>43</v>
      </c>
      <c r="H464" s="25" t="s">
        <v>139</v>
      </c>
      <c r="I464" s="34"/>
      <c r="J464" s="35" t="s">
        <v>2766</v>
      </c>
      <c r="K464" s="27" t="s">
        <v>50</v>
      </c>
      <c r="L464" s="25" t="s">
        <v>10</v>
      </c>
      <c r="M464" s="26" t="str">
        <f>VLOOKUP(E464,'MTS 2026 registrations'!B:B,1,false)</f>
        <v>h.p.s.althuis@tudelft.nl</v>
      </c>
      <c r="N464" s="26" t="str">
        <f>VLOOKUP(B464,'MTS 2026 registrations'!A:A,1,false)</f>
        <v>Paul Althuis</v>
      </c>
      <c r="O464" s="38" t="str">
        <f t="shared" si="2"/>
        <v/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2.75" customHeight="1">
      <c r="A465" s="19" t="str">
        <f t="shared" si="1"/>
        <v>Paul de Backker </v>
      </c>
      <c r="B465" s="19" t="s">
        <v>2767</v>
      </c>
      <c r="C465" s="20" t="s">
        <v>953</v>
      </c>
      <c r="D465" s="20" t="s">
        <v>2768</v>
      </c>
      <c r="E465" s="62" t="s">
        <v>2769</v>
      </c>
      <c r="F465" s="52"/>
      <c r="G465" s="24" t="s">
        <v>225</v>
      </c>
      <c r="H465" s="25" t="s">
        <v>47</v>
      </c>
      <c r="I465" s="26"/>
      <c r="J465" s="35" t="s">
        <v>2770</v>
      </c>
      <c r="K465" s="27" t="s">
        <v>50</v>
      </c>
      <c r="L465" s="25" t="s">
        <v>10</v>
      </c>
      <c r="M465" s="26" t="str">
        <f>VLOOKUP(E465,'MTS 2026 registrations'!B:B,1,false)</f>
        <v>paul.de.backker@doelgerichtbeter.nl</v>
      </c>
      <c r="N465" s="26" t="str">
        <f>VLOOKUP(B465,'MTS 2026 registrations'!A:A,1,false)</f>
        <v>Paul de Backker</v>
      </c>
      <c r="O465" s="38" t="str">
        <f t="shared" si="2"/>
        <v/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</row>
    <row r="466" ht="12.75" customHeight="1">
      <c r="A466" s="19" t="str">
        <f t="shared" si="1"/>
        <v>Philip mtsprout</v>
      </c>
      <c r="B466" s="19" t="s">
        <v>2771</v>
      </c>
      <c r="C466" s="43" t="s">
        <v>2771</v>
      </c>
      <c r="D466" s="43"/>
      <c r="E466" s="31" t="s">
        <v>2772</v>
      </c>
      <c r="F466" s="33" t="s">
        <v>2773</v>
      </c>
      <c r="G466" s="51" t="s">
        <v>2774</v>
      </c>
      <c r="H466" s="25" t="s">
        <v>139</v>
      </c>
      <c r="I466" s="34"/>
      <c r="J466" s="35" t="s">
        <v>2775</v>
      </c>
      <c r="K466" s="27" t="s">
        <v>50</v>
      </c>
      <c r="L466" s="25" t="s">
        <v>10</v>
      </c>
      <c r="M466" s="26" t="str">
        <f>VLOOKUP(E466,'MTS 2026 registrations'!B:B,1,false)</f>
        <v>philip@mtsprout.nl</v>
      </c>
      <c r="N466" s="26" t="str">
        <f>VLOOKUP(B466,'MTS 2026 registrations'!A:A,1,false)</f>
        <v>#N/A</v>
      </c>
      <c r="O466" s="38" t="str">
        <f t="shared" si="2"/>
        <v/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</row>
    <row r="467" ht="12.75" customHeight="1">
      <c r="A467" s="19" t="str">
        <f t="shared" si="1"/>
        <v>Philip Hess Rotterdam Factoring</v>
      </c>
      <c r="B467" s="19" t="s">
        <v>2776</v>
      </c>
      <c r="C467" s="29" t="s">
        <v>2771</v>
      </c>
      <c r="D467" s="29" t="s">
        <v>2777</v>
      </c>
      <c r="E467" s="62" t="s">
        <v>2778</v>
      </c>
      <c r="F467" s="50" t="s">
        <v>2779</v>
      </c>
      <c r="G467" s="32" t="s">
        <v>46</v>
      </c>
      <c r="H467" s="25" t="s">
        <v>139</v>
      </c>
      <c r="I467" s="34"/>
      <c r="J467" s="35" t="s">
        <v>2780</v>
      </c>
      <c r="K467" s="27" t="s">
        <v>50</v>
      </c>
      <c r="L467" s="25" t="s">
        <v>10</v>
      </c>
      <c r="M467" s="26" t="str">
        <f>VLOOKUP(E467,'MTS 2026 registrations'!B:B,1,false)</f>
        <v>p.hess@rotterdamfactoring.nl</v>
      </c>
      <c r="N467" s="26" t="str">
        <f>VLOOKUP(B467,'MTS 2026 registrations'!A:A,1,false)</f>
        <v>Philip Hess</v>
      </c>
      <c r="O467" s="38" t="str">
        <f t="shared" si="2"/>
        <v/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</row>
    <row r="468" ht="12.75" customHeight="1">
      <c r="A468" s="19" t="str">
        <f t="shared" si="1"/>
        <v>Philip Bueters sprout</v>
      </c>
      <c r="B468" s="19" t="s">
        <v>2781</v>
      </c>
      <c r="C468" s="20" t="s">
        <v>2771</v>
      </c>
      <c r="D468" s="53" t="s">
        <v>2782</v>
      </c>
      <c r="E468" s="21" t="s">
        <v>2783</v>
      </c>
      <c r="F468" s="23" t="s">
        <v>1864</v>
      </c>
      <c r="G468" s="24" t="s">
        <v>1593</v>
      </c>
      <c r="H468" s="13" t="s">
        <v>57</v>
      </c>
      <c r="I468" s="34"/>
      <c r="J468" s="35" t="s">
        <v>2784</v>
      </c>
      <c r="K468" s="27" t="s">
        <v>50</v>
      </c>
      <c r="L468" s="25" t="s">
        <v>10</v>
      </c>
      <c r="M468" s="26" t="str">
        <f>VLOOKUP(E468,'MTS 2026 registrations'!B:B,1,false)</f>
        <v>#N/A</v>
      </c>
      <c r="N468" s="26" t="str">
        <f>VLOOKUP(B468,'MTS 2026 registrations'!A:A,1,false)</f>
        <v>Philip Bueters</v>
      </c>
      <c r="O468" s="38" t="str">
        <f t="shared" si="2"/>
        <v/>
      </c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</row>
    <row r="469" ht="12.75" customHeight="1">
      <c r="A469" s="19" t="str">
        <f t="shared" si="1"/>
        <v>Pjotr van Schothorst pvs-investments</v>
      </c>
      <c r="B469" s="19" t="s">
        <v>2785</v>
      </c>
      <c r="C469" s="20" t="s">
        <v>2786</v>
      </c>
      <c r="D469" s="20" t="s">
        <v>2787</v>
      </c>
      <c r="E469" s="21" t="s">
        <v>2788</v>
      </c>
      <c r="F469" s="23" t="s">
        <v>2789</v>
      </c>
      <c r="G469" s="24" t="s">
        <v>163</v>
      </c>
      <c r="H469" s="25" t="s">
        <v>164</v>
      </c>
      <c r="I469" s="34"/>
      <c r="J469" s="35" t="s">
        <v>2790</v>
      </c>
      <c r="K469" s="27" t="s">
        <v>50</v>
      </c>
      <c r="L469" s="25" t="s">
        <v>10</v>
      </c>
      <c r="M469" s="26" t="str">
        <f>VLOOKUP(E469,'MTS 2026 registrations'!B:B,1,false)</f>
        <v>pjotr@pvs-investments.com</v>
      </c>
      <c r="N469" s="26" t="str">
        <f>VLOOKUP(B469,'MTS 2026 registrations'!A:A,1,false)</f>
        <v>Pjotr Van Schothorst</v>
      </c>
      <c r="O469" s="38" t="str">
        <f t="shared" si="2"/>
        <v/>
      </c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</row>
    <row r="470" ht="12.75" customHeight="1">
      <c r="A470" s="19" t="str">
        <f t="shared" si="1"/>
        <v>Prakul Pandit Elarix Labs</v>
      </c>
      <c r="B470" s="19" t="s">
        <v>2791</v>
      </c>
      <c r="C470" s="13" t="s">
        <v>2792</v>
      </c>
      <c r="D470" s="13" t="s">
        <v>2793</v>
      </c>
      <c r="E470" s="60" t="s">
        <v>2794</v>
      </c>
      <c r="F470" s="60" t="s">
        <v>2795</v>
      </c>
      <c r="G470" s="32" t="s">
        <v>46</v>
      </c>
      <c r="H470" s="25" t="s">
        <v>47</v>
      </c>
      <c r="I470" s="34"/>
      <c r="J470" s="35" t="s">
        <v>2796</v>
      </c>
      <c r="K470" s="27" t="s">
        <v>50</v>
      </c>
      <c r="L470" s="25" t="s">
        <v>10</v>
      </c>
      <c r="M470" s="26" t="str">
        <f>VLOOKUP(E470,'MTS 2026 registrations'!B:B,1,false)</f>
        <v>prakul.pandit@dlr.de</v>
      </c>
      <c r="N470" s="26" t="str">
        <f>VLOOKUP(B470,'MTS 2026 registrations'!A:A,1,false)</f>
        <v>Prakul Pandit</v>
      </c>
      <c r="O470" s="38" t="str">
        <f t="shared" si="2"/>
        <v/>
      </c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</row>
    <row r="471" ht="12.75" customHeight="1">
      <c r="A471" s="19" t="str">
        <f t="shared" si="1"/>
        <v>Prof. Dr. Ameya Rege Elarix Labs</v>
      </c>
      <c r="B471" s="19" t="s">
        <v>2797</v>
      </c>
      <c r="C471" s="13" t="s">
        <v>2798</v>
      </c>
      <c r="D471" s="13" t="s">
        <v>2799</v>
      </c>
      <c r="E471" s="60" t="s">
        <v>2800</v>
      </c>
      <c r="F471" s="60" t="s">
        <v>2795</v>
      </c>
      <c r="G471" s="32" t="s">
        <v>46</v>
      </c>
      <c r="H471" s="25" t="s">
        <v>47</v>
      </c>
      <c r="I471" s="34"/>
      <c r="J471" s="35" t="s">
        <v>2801</v>
      </c>
      <c r="K471" s="27" t="s">
        <v>50</v>
      </c>
      <c r="L471" s="25" t="s">
        <v>10</v>
      </c>
      <c r="M471" s="26" t="str">
        <f>VLOOKUP(E471,'MTS 2026 registrations'!B:B,1,false)</f>
        <v>ameya.rege@utwente.nl</v>
      </c>
      <c r="N471" s="26" t="str">
        <f>VLOOKUP(B471,'MTS 2026 registrations'!A:A,1,false)</f>
        <v>#N/A</v>
      </c>
      <c r="O471" s="38" t="str">
        <f t="shared" si="2"/>
        <v/>
      </c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</row>
    <row r="472" ht="12.75" customHeight="1">
      <c r="A472" s="19" t="str">
        <f t="shared" si="1"/>
        <v>Quintin van Driel innoenergy</v>
      </c>
      <c r="B472" s="19" t="s">
        <v>2802</v>
      </c>
      <c r="C472" s="72" t="s">
        <v>2803</v>
      </c>
      <c r="D472" s="72" t="s">
        <v>2804</v>
      </c>
      <c r="E472" s="160" t="s">
        <v>2805</v>
      </c>
      <c r="F472" s="23" t="s">
        <v>1459</v>
      </c>
      <c r="G472" s="24" t="s">
        <v>163</v>
      </c>
      <c r="H472" s="25" t="s">
        <v>164</v>
      </c>
      <c r="I472" s="34"/>
      <c r="J472" s="35" t="s">
        <v>2806</v>
      </c>
      <c r="K472" s="27" t="s">
        <v>50</v>
      </c>
      <c r="L472" s="25" t="s">
        <v>10</v>
      </c>
      <c r="M472" s="26" t="str">
        <f>VLOOKUP(E472,'MTS 2026 registrations'!B:B,1,false)</f>
        <v>quentin.vandriel@innoenergy.com</v>
      </c>
      <c r="N472" s="26" t="str">
        <f>VLOOKUP(B472,'MTS 2026 registrations'!A:A,1,false)</f>
        <v>#N/A</v>
      </c>
      <c r="O472" s="38" t="str">
        <f t="shared" si="2"/>
        <v/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170"/>
      <c r="AE472" s="170"/>
    </row>
    <row r="473" ht="12.75" customHeight="1">
      <c r="A473" s="19" t="str">
        <f t="shared" si="1"/>
        <v>Rabih Hamid Maxairea</v>
      </c>
      <c r="B473" s="19" t="s">
        <v>2807</v>
      </c>
      <c r="C473" s="13" t="s">
        <v>2808</v>
      </c>
      <c r="D473" s="13" t="s">
        <v>2809</v>
      </c>
      <c r="E473" s="60" t="s">
        <v>2810</v>
      </c>
      <c r="F473" s="60" t="s">
        <v>2811</v>
      </c>
      <c r="G473" s="32" t="s">
        <v>46</v>
      </c>
      <c r="H473" s="25" t="s">
        <v>47</v>
      </c>
      <c r="I473" s="34"/>
      <c r="J473" s="35" t="s">
        <v>2812</v>
      </c>
      <c r="K473" s="27" t="s">
        <v>50</v>
      </c>
      <c r="L473" s="25" t="s">
        <v>10</v>
      </c>
      <c r="M473" s="26" t="str">
        <f>VLOOKUP(E473,'MTS 2026 registrations'!B:B,1,false)</f>
        <v>r.hamid@maxairea.com</v>
      </c>
      <c r="N473" s="26" t="str">
        <f>VLOOKUP(B473,'MTS 2026 registrations'!A:A,1,false)</f>
        <v>#N/A</v>
      </c>
      <c r="O473" s="38" t="str">
        <f t="shared" si="2"/>
        <v/>
      </c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</row>
    <row r="474" ht="12.75" customHeight="1">
      <c r="A474" s="19" t="str">
        <f t="shared" si="1"/>
        <v>Ralf Heijkants Independent</v>
      </c>
      <c r="B474" s="19" t="s">
        <v>2813</v>
      </c>
      <c r="C474" s="116" t="s">
        <v>2814</v>
      </c>
      <c r="D474" s="116" t="s">
        <v>2815</v>
      </c>
      <c r="E474" s="112" t="s">
        <v>2816</v>
      </c>
      <c r="F474" s="66" t="s">
        <v>1209</v>
      </c>
      <c r="G474" s="24" t="s">
        <v>225</v>
      </c>
      <c r="H474" s="25" t="s">
        <v>47</v>
      </c>
      <c r="I474" s="34"/>
      <c r="J474" s="35" t="s">
        <v>2817</v>
      </c>
      <c r="K474" s="27" t="s">
        <v>50</v>
      </c>
      <c r="L474" s="25" t="s">
        <v>10</v>
      </c>
      <c r="M474" s="26" t="str">
        <f>VLOOKUP(E474,'MTS 2026 registrations'!B:B,1,false)</f>
        <v>ralf@ralfheijkants.nl</v>
      </c>
      <c r="N474" s="26" t="str">
        <f>VLOOKUP(B474,'MTS 2026 registrations'!A:A,1,false)</f>
        <v>#N/A</v>
      </c>
      <c r="O474" s="38" t="str">
        <f t="shared" si="2"/>
        <v/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</row>
    <row r="475" ht="12.75" customHeight="1">
      <c r="A475" s="19" t="str">
        <f t="shared" si="1"/>
        <v>Ralph Van Dam Achmea Impact Ventures</v>
      </c>
      <c r="B475" s="19" t="s">
        <v>2818</v>
      </c>
      <c r="C475" s="20" t="s">
        <v>2819</v>
      </c>
      <c r="D475" s="20" t="s">
        <v>2820</v>
      </c>
      <c r="E475" s="21" t="s">
        <v>2821</v>
      </c>
      <c r="F475" s="49" t="s">
        <v>2822</v>
      </c>
      <c r="G475" s="24" t="s">
        <v>163</v>
      </c>
      <c r="H475" s="26" t="s">
        <v>164</v>
      </c>
      <c r="I475" s="25" t="s">
        <v>139</v>
      </c>
      <c r="J475" s="35" t="s">
        <v>2823</v>
      </c>
      <c r="K475" s="27" t="s">
        <v>50</v>
      </c>
      <c r="L475" s="25" t="s">
        <v>10</v>
      </c>
      <c r="M475" s="26" t="str">
        <f>VLOOKUP(E475,'MTS 2026 registrations'!B:B,1,false)</f>
        <v>ralph.van.dam@achmea.nl</v>
      </c>
      <c r="N475" s="26" t="str">
        <f>VLOOKUP(B475,'MTS 2026 registrations'!A:A,1,false)</f>
        <v>Ralph van Dam</v>
      </c>
      <c r="O475" s="38" t="str">
        <f t="shared" si="2"/>
        <v/>
      </c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</row>
    <row r="476" ht="12.75" customHeight="1">
      <c r="A476" s="19" t="str">
        <f t="shared" si="1"/>
        <v>Régis Cazenave mindforward</v>
      </c>
      <c r="B476" s="19" t="s">
        <v>2824</v>
      </c>
      <c r="C476" s="13" t="s">
        <v>2825</v>
      </c>
      <c r="D476" s="116" t="s">
        <v>2826</v>
      </c>
      <c r="E476" s="13" t="s">
        <v>2827</v>
      </c>
      <c r="F476" s="66" t="s">
        <v>2828</v>
      </c>
      <c r="G476" s="24" t="s">
        <v>225</v>
      </c>
      <c r="H476" s="25" t="s">
        <v>47</v>
      </c>
      <c r="I476" s="34"/>
      <c r="J476" s="35" t="s">
        <v>2829</v>
      </c>
      <c r="K476" s="27" t="s">
        <v>50</v>
      </c>
      <c r="L476" s="25" t="s">
        <v>10</v>
      </c>
      <c r="M476" s="26" t="str">
        <f>VLOOKUP(E476,'MTS 2026 registrations'!B:B,1,false)</f>
        <v>regis@mindforward.eu</v>
      </c>
      <c r="N476" s="26" t="str">
        <f>VLOOKUP(B476,'MTS 2026 registrations'!A:A,1,false)</f>
        <v>Régis Cazenave</v>
      </c>
      <c r="O476" s="38" t="str">
        <f t="shared" si="2"/>
        <v/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</row>
    <row r="477" ht="12.75" customHeight="1">
      <c r="A477" s="19" t="str">
        <f t="shared" si="1"/>
        <v>Reka Gugan Earthstar Investments</v>
      </c>
      <c r="B477" s="19" t="s">
        <v>2830</v>
      </c>
      <c r="C477" s="20" t="s">
        <v>2831</v>
      </c>
      <c r="D477" s="20" t="s">
        <v>2832</v>
      </c>
      <c r="E477" s="21" t="s">
        <v>2833</v>
      </c>
      <c r="F477" s="49" t="s">
        <v>2651</v>
      </c>
      <c r="G477" s="24" t="s">
        <v>163</v>
      </c>
      <c r="H477" s="26" t="s">
        <v>164</v>
      </c>
      <c r="I477" s="13"/>
      <c r="J477" s="35" t="s">
        <v>2834</v>
      </c>
      <c r="K477" s="27" t="s">
        <v>50</v>
      </c>
      <c r="L477" s="25" t="s">
        <v>10</v>
      </c>
      <c r="M477" s="26" t="str">
        <f>VLOOKUP(E477,'MTS 2026 registrations'!B:B,1,false)</f>
        <v>rekagugan@earthstarinvestments.com</v>
      </c>
      <c r="N477" s="26" t="str">
        <f>VLOOKUP(B477,'MTS 2026 registrations'!A:A,1,false)</f>
        <v>Reka Gugan</v>
      </c>
      <c r="O477" s="38" t="str">
        <f t="shared" si="2"/>
        <v/>
      </c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</row>
    <row r="478" ht="12.75" customHeight="1">
      <c r="A478" s="19" t="str">
        <f t="shared" si="1"/>
        <v>Remy Kesrouani Kadmos Capital Ltd</v>
      </c>
      <c r="B478" s="19" t="s">
        <v>2835</v>
      </c>
      <c r="C478" s="20" t="s">
        <v>2836</v>
      </c>
      <c r="D478" s="20" t="s">
        <v>2837</v>
      </c>
      <c r="E478" s="21" t="s">
        <v>2838</v>
      </c>
      <c r="F478" s="49" t="s">
        <v>2558</v>
      </c>
      <c r="G478" s="24" t="s">
        <v>163</v>
      </c>
      <c r="H478" s="26" t="s">
        <v>164</v>
      </c>
      <c r="I478" s="13"/>
      <c r="J478" s="35" t="s">
        <v>2839</v>
      </c>
      <c r="K478" s="27" t="s">
        <v>50</v>
      </c>
      <c r="L478" s="25" t="s">
        <v>10</v>
      </c>
      <c r="M478" s="26" t="str">
        <f>VLOOKUP(E478,'MTS 2026 registrations'!B:B,1,false)</f>
        <v>remy@kadmoscapital.com</v>
      </c>
      <c r="N478" s="26" t="str">
        <f>VLOOKUP(B478,'MTS 2026 registrations'!A:A,1,false)</f>
        <v>Remy Kesrouani</v>
      </c>
      <c r="O478" s="38" t="str">
        <f t="shared" si="2"/>
        <v/>
      </c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</row>
    <row r="479" ht="12.75" customHeight="1">
      <c r="A479" s="19" t="str">
        <f t="shared" si="1"/>
        <v>Rens Schoenmakers fyeo</v>
      </c>
      <c r="B479" s="19" t="s">
        <v>2840</v>
      </c>
      <c r="C479" s="20" t="s">
        <v>2841</v>
      </c>
      <c r="D479" s="120" t="s">
        <v>2842</v>
      </c>
      <c r="E479" s="171" t="s">
        <v>2843</v>
      </c>
      <c r="F479" s="23" t="s">
        <v>2844</v>
      </c>
      <c r="G479" s="24" t="s">
        <v>225</v>
      </c>
      <c r="H479" s="25" t="s">
        <v>47</v>
      </c>
      <c r="I479" s="34"/>
      <c r="J479" s="35" t="s">
        <v>2845</v>
      </c>
      <c r="K479" s="27" t="s">
        <v>50</v>
      </c>
      <c r="L479" s="25" t="s">
        <v>10</v>
      </c>
      <c r="M479" s="26" t="str">
        <f>VLOOKUP(E479,'MTS 2026 registrations'!B:B,1,false)</f>
        <v>rens@fyeo.nl</v>
      </c>
      <c r="N479" s="26" t="str">
        <f>VLOOKUP(B479,'MTS 2026 registrations'!A:A,1,false)</f>
        <v>Rens Schoenmakers</v>
      </c>
      <c r="O479" s="38" t="str">
        <f t="shared" si="2"/>
        <v/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</row>
    <row r="480" ht="12.75" customHeight="1">
      <c r="A480" s="19" t="str">
        <f t="shared" si="1"/>
        <v>Renze Blokland FME</v>
      </c>
      <c r="B480" s="19" t="s">
        <v>2846</v>
      </c>
      <c r="C480" s="134" t="s">
        <v>2847</v>
      </c>
      <c r="D480" s="102" t="s">
        <v>2848</v>
      </c>
      <c r="E480" s="48" t="s">
        <v>2849</v>
      </c>
      <c r="F480" s="135" t="s">
        <v>2850</v>
      </c>
      <c r="G480" s="24" t="s">
        <v>56</v>
      </c>
      <c r="H480" s="25" t="s">
        <v>139</v>
      </c>
      <c r="I480" s="34"/>
      <c r="J480" s="35" t="s">
        <v>2851</v>
      </c>
      <c r="K480" s="27" t="s">
        <v>50</v>
      </c>
      <c r="L480" s="25" t="s">
        <v>10</v>
      </c>
      <c r="M480" s="26" t="str">
        <f>VLOOKUP(E480,'MTS 2026 registrations'!B:B,1,false)</f>
        <v>renze.blokland@fme.nl</v>
      </c>
      <c r="N480" s="26" t="str">
        <f>VLOOKUP(B480,'MTS 2026 registrations'!A:A,1,false)</f>
        <v>renze blokland</v>
      </c>
      <c r="O480" s="38" t="str">
        <f t="shared" si="2"/>
        <v/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</row>
    <row r="481" ht="12.75" customHeight="1">
      <c r="A481" s="19" t="str">
        <f t="shared" si="1"/>
        <v>Richard Holleman caricecars</v>
      </c>
      <c r="B481" s="19" t="s">
        <v>2852</v>
      </c>
      <c r="C481" s="20" t="s">
        <v>1451</v>
      </c>
      <c r="D481" s="20" t="s">
        <v>2853</v>
      </c>
      <c r="E481" s="21" t="s">
        <v>2854</v>
      </c>
      <c r="F481" s="23" t="s">
        <v>2855</v>
      </c>
      <c r="G481" s="32" t="s">
        <v>46</v>
      </c>
      <c r="H481" s="25" t="s">
        <v>47</v>
      </c>
      <c r="I481" s="26"/>
      <c r="J481" s="35" t="s">
        <v>2856</v>
      </c>
      <c r="K481" s="27" t="s">
        <v>50</v>
      </c>
      <c r="L481" s="25" t="s">
        <v>10</v>
      </c>
      <c r="M481" s="26" t="str">
        <f>VLOOKUP(E481,'MTS 2026 registrations'!B:B,1,false)</f>
        <v>richard@caricecars.com</v>
      </c>
      <c r="N481" s="26" t="str">
        <f>VLOOKUP(B481,'MTS 2026 registrations'!A:A,1,false)</f>
        <v>Richard Holleman</v>
      </c>
      <c r="O481" s="38" t="str">
        <f t="shared" si="2"/>
        <v/>
      </c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</row>
    <row r="482" ht="12.75" customHeight="1">
      <c r="A482" s="19" t="str">
        <f t="shared" si="1"/>
        <v>Richard van der Vegt mindef</v>
      </c>
      <c r="B482" s="19" t="s">
        <v>2857</v>
      </c>
      <c r="C482" s="134" t="s">
        <v>1451</v>
      </c>
      <c r="D482" s="60" t="s">
        <v>2858</v>
      </c>
      <c r="E482" s="62" t="s">
        <v>2859</v>
      </c>
      <c r="F482" s="64" t="s">
        <v>1527</v>
      </c>
      <c r="G482" s="42" t="s">
        <v>69</v>
      </c>
      <c r="H482" s="25" t="s">
        <v>139</v>
      </c>
      <c r="I482" s="34"/>
      <c r="J482" s="35" t="s">
        <v>2860</v>
      </c>
      <c r="K482" s="27" t="s">
        <v>50</v>
      </c>
      <c r="L482" s="25" t="s">
        <v>10</v>
      </c>
      <c r="M482" s="26" t="str">
        <f>VLOOKUP(E482,'MTS 2026 registrations'!B:B,1,false)</f>
        <v>rg.vd.vegt@mindef.nl</v>
      </c>
      <c r="N482" s="26" t="str">
        <f>VLOOKUP(B482,'MTS 2026 registrations'!A:A,1,false)</f>
        <v>#N/A</v>
      </c>
      <c r="O482" s="38" t="str">
        <f t="shared" si="2"/>
        <v/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</row>
    <row r="483" ht="12.75" customHeight="1">
      <c r="A483" s="19" t="str">
        <f t="shared" si="1"/>
        <v>Richard Illes oxoholdings</v>
      </c>
      <c r="B483" s="19" t="s">
        <v>2861</v>
      </c>
      <c r="C483" s="20" t="s">
        <v>1451</v>
      </c>
      <c r="D483" s="20" t="s">
        <v>2862</v>
      </c>
      <c r="E483" s="21" t="s">
        <v>2863</v>
      </c>
      <c r="F483" s="23" t="s">
        <v>2864</v>
      </c>
      <c r="G483" s="24" t="s">
        <v>163</v>
      </c>
      <c r="H483" s="25" t="s">
        <v>164</v>
      </c>
      <c r="I483" s="34"/>
      <c r="J483" s="35" t="s">
        <v>2865</v>
      </c>
      <c r="K483" s="27" t="s">
        <v>50</v>
      </c>
      <c r="L483" s="25" t="s">
        <v>10</v>
      </c>
      <c r="M483" s="26" t="str">
        <f>VLOOKUP(E483,'MTS 2026 registrations'!B:B,1,false)</f>
        <v>#N/A</v>
      </c>
      <c r="N483" s="26" t="str">
        <f>VLOOKUP(B483,'MTS 2026 registrations'!A:A,1,false)</f>
        <v>Richard Illes</v>
      </c>
      <c r="O483" s="38" t="str">
        <f t="shared" si="2"/>
        <v/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</row>
    <row r="484" ht="12.75" customHeight="1">
      <c r="A484" s="19" t="str">
        <f t="shared" si="1"/>
        <v>Robert P. Huijsmans Independent</v>
      </c>
      <c r="B484" s="19" t="s">
        <v>2866</v>
      </c>
      <c r="C484" s="116" t="s">
        <v>2867</v>
      </c>
      <c r="D484" s="116" t="s">
        <v>2868</v>
      </c>
      <c r="E484" s="112" t="s">
        <v>2869</v>
      </c>
      <c r="F484" s="66" t="s">
        <v>1209</v>
      </c>
      <c r="G484" s="24" t="s">
        <v>225</v>
      </c>
      <c r="H484" s="25" t="s">
        <v>47</v>
      </c>
      <c r="I484" s="34"/>
      <c r="J484" s="35" t="s">
        <v>2870</v>
      </c>
      <c r="K484" s="27" t="s">
        <v>50</v>
      </c>
      <c r="L484" s="25" t="s">
        <v>10</v>
      </c>
      <c r="M484" s="26" t="str">
        <f>VLOOKUP(E484,'MTS 2026 registrations'!B:B,1,false)</f>
        <v>rhuijsmans@ipcentric.nl</v>
      </c>
      <c r="N484" s="26" t="str">
        <f>VLOOKUP(B484,'MTS 2026 registrations'!A:A,1,false)</f>
        <v>#N/A</v>
      </c>
      <c r="O484" s="38" t="str">
        <f t="shared" si="2"/>
        <v/>
      </c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</row>
    <row r="485" ht="12.75" customHeight="1">
      <c r="A485" s="19" t="str">
        <f t="shared" si="1"/>
        <v>Rogier Barents InteSpring</v>
      </c>
      <c r="B485" s="19" t="s">
        <v>2871</v>
      </c>
      <c r="C485" s="29" t="s">
        <v>2872</v>
      </c>
      <c r="D485" s="29" t="s">
        <v>2873</v>
      </c>
      <c r="E485" s="62" t="s">
        <v>2874</v>
      </c>
      <c r="F485" s="50" t="s">
        <v>2875</v>
      </c>
      <c r="G485" s="32" t="s">
        <v>46</v>
      </c>
      <c r="H485" s="25" t="s">
        <v>139</v>
      </c>
      <c r="I485" s="34"/>
      <c r="J485" s="35" t="s">
        <v>2876</v>
      </c>
      <c r="K485" s="27" t="s">
        <v>50</v>
      </c>
      <c r="L485" s="25" t="s">
        <v>10</v>
      </c>
      <c r="M485" s="26" t="str">
        <f>VLOOKUP(E485,'MTS 2026 registrations'!B:B,1,false)</f>
        <v>rogier@intespring.nl</v>
      </c>
      <c r="N485" s="26" t="str">
        <f>VLOOKUP(B485,'MTS 2026 registrations'!A:A,1,false)</f>
        <v>Rogier Barents</v>
      </c>
      <c r="O485" s="38" t="str">
        <f t="shared" si="2"/>
        <v/>
      </c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 ht="14.25" customHeight="1">
      <c r="A486" s="19" t="str">
        <f t="shared" si="1"/>
        <v>Rogier Klimbie </v>
      </c>
      <c r="B486" s="19" t="s">
        <v>2877</v>
      </c>
      <c r="C486" s="60" t="s">
        <v>2872</v>
      </c>
      <c r="D486" s="60" t="s">
        <v>2878</v>
      </c>
      <c r="E486" s="31" t="s">
        <v>2879</v>
      </c>
      <c r="F486" s="64"/>
      <c r="G486" s="42" t="s">
        <v>1306</v>
      </c>
      <c r="H486" s="25" t="s">
        <v>139</v>
      </c>
      <c r="I486" s="34"/>
      <c r="J486" s="35" t="s">
        <v>2880</v>
      </c>
      <c r="K486" s="27" t="s">
        <v>50</v>
      </c>
      <c r="L486" s="25" t="s">
        <v>10</v>
      </c>
      <c r="M486" s="26" t="str">
        <f>VLOOKUP(E486,'MTS 2026 registrations'!B:B,1,false)</f>
        <v>#N/A</v>
      </c>
      <c r="N486" s="26" t="str">
        <f>VLOOKUP(B486,'MTS 2026 registrations'!A:A,1,false)</f>
        <v>Rogier Klimbie</v>
      </c>
      <c r="O486" s="38" t="str">
        <f t="shared" si="2"/>
        <v/>
      </c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34"/>
      <c r="AE486" s="34"/>
    </row>
    <row r="487" ht="12.75" customHeight="1">
      <c r="A487" s="19" t="str">
        <f t="shared" si="1"/>
        <v>Ronald Gelderblom tudelft</v>
      </c>
      <c r="B487" s="19" t="s">
        <v>2881</v>
      </c>
      <c r="C487" s="20" t="s">
        <v>2882</v>
      </c>
      <c r="D487" s="20" t="s">
        <v>2883</v>
      </c>
      <c r="E487" s="31" t="s">
        <v>2884</v>
      </c>
      <c r="F487" s="52" t="s">
        <v>184</v>
      </c>
      <c r="G487" s="32" t="s">
        <v>43</v>
      </c>
      <c r="H487" s="25" t="s">
        <v>139</v>
      </c>
      <c r="I487" s="26"/>
      <c r="J487" s="35" t="s">
        <v>2885</v>
      </c>
      <c r="K487" s="27" t="s">
        <v>50</v>
      </c>
      <c r="L487" s="25" t="s">
        <v>10</v>
      </c>
      <c r="M487" s="26" t="str">
        <f>VLOOKUP(E487,'MTS 2026 registrations'!B:B,1,false)</f>
        <v>r.gelderblom@tudelft.nl</v>
      </c>
      <c r="N487" s="26" t="str">
        <f>VLOOKUP(B487,'MTS 2026 registrations'!A:A,1,false)</f>
        <v>Ronald Gelderblom</v>
      </c>
      <c r="O487" s="38" t="str">
        <f t="shared" si="2"/>
        <v/>
      </c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</row>
    <row r="488" ht="12.75" customHeight="1">
      <c r="A488" s="19" t="str">
        <f t="shared" si="1"/>
        <v>Rudmer Hoekstra npex</v>
      </c>
      <c r="B488" s="19" t="s">
        <v>2886</v>
      </c>
      <c r="C488" s="20" t="s">
        <v>2887</v>
      </c>
      <c r="D488" s="20" t="s">
        <v>2888</v>
      </c>
      <c r="E488" s="31" t="s">
        <v>2889</v>
      </c>
      <c r="F488" s="23" t="s">
        <v>2890</v>
      </c>
      <c r="G488" s="24" t="s">
        <v>163</v>
      </c>
      <c r="H488" s="25" t="s">
        <v>164</v>
      </c>
      <c r="I488" s="34"/>
      <c r="J488" s="35" t="s">
        <v>2891</v>
      </c>
      <c r="K488" s="27" t="s">
        <v>50</v>
      </c>
      <c r="L488" s="25" t="s">
        <v>10</v>
      </c>
      <c r="M488" s="26" t="str">
        <f>VLOOKUP(E488,'MTS 2026 registrations'!B:B,1,false)</f>
        <v>r.hoekstra@npex.nl</v>
      </c>
      <c r="N488" s="26" t="str">
        <f>VLOOKUP(B488,'MTS 2026 registrations'!A:A,1,false)</f>
        <v>Rudmer Hoekstra</v>
      </c>
      <c r="O488" s="38" t="str">
        <f t="shared" si="2"/>
        <v/>
      </c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</row>
    <row r="489" ht="12.75" customHeight="1">
      <c r="A489" s="19" t="str">
        <f t="shared" si="1"/>
        <v>Rui Li graduate</v>
      </c>
      <c r="B489" s="19" t="s">
        <v>2892</v>
      </c>
      <c r="C489" s="138" t="s">
        <v>2893</v>
      </c>
      <c r="D489" s="138" t="s">
        <v>2894</v>
      </c>
      <c r="E489" s="139" t="s">
        <v>2895</v>
      </c>
      <c r="F489" s="75" t="s">
        <v>1964</v>
      </c>
      <c r="G489" s="24" t="s">
        <v>163</v>
      </c>
      <c r="H489" s="25" t="s">
        <v>139</v>
      </c>
      <c r="I489" s="34"/>
      <c r="J489" s="35" t="s">
        <v>2896</v>
      </c>
      <c r="K489" s="27" t="s">
        <v>50</v>
      </c>
      <c r="L489" s="25" t="s">
        <v>10</v>
      </c>
      <c r="M489" s="26" t="str">
        <f>VLOOKUP(E489,'MTS 2026 registrations'!B:B,1,false)</f>
        <v>rui.li@graduate.nl</v>
      </c>
      <c r="N489" s="26" t="str">
        <f>VLOOKUP(B489,'MTS 2026 registrations'!A:A,1,false)</f>
        <v>Rui Li</v>
      </c>
      <c r="O489" s="38" t="str">
        <f t="shared" si="2"/>
        <v/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</row>
    <row r="490" ht="12.75" customHeight="1">
      <c r="A490" s="19" t="str">
        <f t="shared" si="1"/>
        <v>Rutger de Graaf. Blue21 (DeltaSync)</v>
      </c>
      <c r="B490" s="19" t="s">
        <v>2897</v>
      </c>
      <c r="C490" s="29" t="s">
        <v>2898</v>
      </c>
      <c r="D490" s="72" t="s">
        <v>2899</v>
      </c>
      <c r="E490" s="80" t="s">
        <v>2900</v>
      </c>
      <c r="F490" s="33" t="s">
        <v>2901</v>
      </c>
      <c r="G490" s="32" t="s">
        <v>46</v>
      </c>
      <c r="H490" s="25" t="s">
        <v>47</v>
      </c>
      <c r="I490" s="34"/>
      <c r="J490" s="35" t="s">
        <v>2902</v>
      </c>
      <c r="K490" s="27" t="s">
        <v>50</v>
      </c>
      <c r="L490" s="25" t="s">
        <v>10</v>
      </c>
      <c r="M490" s="26" t="str">
        <f>VLOOKUP(E490,'MTS 2026 registrations'!B:B,1,false)</f>
        <v>rutger@blue21.nl</v>
      </c>
      <c r="N490" s="26" t="str">
        <f>VLOOKUP(B490,'MTS 2026 registrations'!A:A,1,false)</f>
        <v>#N/A</v>
      </c>
      <c r="O490" s="38" t="str">
        <f t="shared" si="2"/>
        <v/>
      </c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</row>
    <row r="491" ht="12.75" customHeight="1">
      <c r="A491" s="19" t="str">
        <f t="shared" si="1"/>
        <v>Rutger de Graaf rvo</v>
      </c>
      <c r="B491" s="19" t="s">
        <v>2903</v>
      </c>
      <c r="C491" s="20" t="s">
        <v>2898</v>
      </c>
      <c r="D491" s="20" t="s">
        <v>2904</v>
      </c>
      <c r="E491" s="21" t="s">
        <v>2905</v>
      </c>
      <c r="F491" s="23" t="s">
        <v>689</v>
      </c>
      <c r="G491" s="42" t="s">
        <v>69</v>
      </c>
      <c r="H491" s="25" t="s">
        <v>139</v>
      </c>
      <c r="I491" s="34"/>
      <c r="J491" s="35" t="s">
        <v>2906</v>
      </c>
      <c r="K491" s="27" t="s">
        <v>50</v>
      </c>
      <c r="L491" s="25" t="s">
        <v>10</v>
      </c>
      <c r="M491" s="26" t="str">
        <f>VLOOKUP(E491,'MTS 2026 registrations'!B:B,1,false)</f>
        <v>#N/A</v>
      </c>
      <c r="N491" s="26" t="str">
        <f>VLOOKUP(B491,'MTS 2026 registrations'!A:A,1,false)</f>
        <v>Rutger De Graaf</v>
      </c>
      <c r="O491" s="38" t="str">
        <f t="shared" si="2"/>
        <v/>
      </c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</row>
    <row r="492" ht="12.75" customHeight="1">
      <c r="A492" s="19" t="str">
        <f t="shared" si="1"/>
        <v>Rutger Arisz </v>
      </c>
      <c r="B492" s="19" t="s">
        <v>2907</v>
      </c>
      <c r="C492" s="20" t="s">
        <v>2898</v>
      </c>
      <c r="D492" s="20" t="s">
        <v>2908</v>
      </c>
      <c r="E492" s="21" t="s">
        <v>2909</v>
      </c>
      <c r="F492" s="52"/>
      <c r="G492" s="24" t="s">
        <v>225</v>
      </c>
      <c r="H492" s="25" t="s">
        <v>47</v>
      </c>
      <c r="I492" s="26"/>
      <c r="J492" s="35" t="s">
        <v>2910</v>
      </c>
      <c r="K492" s="27" t="s">
        <v>50</v>
      </c>
      <c r="L492" s="25" t="s">
        <v>10</v>
      </c>
      <c r="M492" s="26" t="str">
        <f>VLOOKUP(E492,'MTS 2026 registrations'!B:B,1,false)</f>
        <v>rutger.arisz@gmail.com</v>
      </c>
      <c r="N492" s="26" t="str">
        <f>VLOOKUP(B492,'MTS 2026 registrations'!A:A,1,false)</f>
        <v>Rutger Arisz</v>
      </c>
      <c r="O492" s="38" t="str">
        <f t="shared" si="2"/>
        <v/>
      </c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</row>
    <row r="493" ht="12.75" customHeight="1">
      <c r="A493" s="19" t="str">
        <f t="shared" si="1"/>
        <v>Salima Oualite denhaag</v>
      </c>
      <c r="B493" s="19" t="s">
        <v>2911</v>
      </c>
      <c r="C493" s="72" t="s">
        <v>2912</v>
      </c>
      <c r="D493" s="72" t="s">
        <v>2913</v>
      </c>
      <c r="E493" s="30" t="s">
        <v>2914</v>
      </c>
      <c r="F493" s="29" t="s">
        <v>738</v>
      </c>
      <c r="G493" s="32" t="s">
        <v>323</v>
      </c>
      <c r="H493" s="13" t="s">
        <v>45</v>
      </c>
      <c r="I493" s="34"/>
      <c r="J493" s="35" t="s">
        <v>2915</v>
      </c>
      <c r="K493" s="27" t="s">
        <v>50</v>
      </c>
      <c r="L493" s="25" t="s">
        <v>10</v>
      </c>
      <c r="M493" s="26" t="str">
        <f>VLOOKUP(E493,'MTS 2026 registrations'!B:B,1,false)</f>
        <v>salima.oualite@denhaag.nl</v>
      </c>
      <c r="N493" s="26" t="str">
        <f>VLOOKUP(B493,'MTS 2026 registrations'!A:A,1,false)</f>
        <v>Salima Oualite</v>
      </c>
      <c r="O493" s="38" t="str">
        <f t="shared" si="2"/>
        <v/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</row>
    <row r="494" ht="12.75" customHeight="1">
      <c r="A494" s="19" t="str">
        <f t="shared" si="1"/>
        <v>Sander Peltenburg Rabobank</v>
      </c>
      <c r="B494" s="19" t="s">
        <v>2916</v>
      </c>
      <c r="C494" s="29" t="s">
        <v>1391</v>
      </c>
      <c r="D494" s="29" t="s">
        <v>2917</v>
      </c>
      <c r="E494" s="76" t="s">
        <v>2918</v>
      </c>
      <c r="F494" s="49" t="s">
        <v>66</v>
      </c>
      <c r="G494" s="42" t="s">
        <v>69</v>
      </c>
      <c r="H494" s="25" t="s">
        <v>139</v>
      </c>
      <c r="I494" s="34"/>
      <c r="J494" s="35" t="s">
        <v>2919</v>
      </c>
      <c r="K494" s="27" t="s">
        <v>50</v>
      </c>
      <c r="L494" s="25" t="s">
        <v>10</v>
      </c>
      <c r="M494" s="26" t="str">
        <f>VLOOKUP(E494,'MTS 2026 registrations'!B:B,1,false)</f>
        <v>sander.peltenburg@rabobank.nl</v>
      </c>
      <c r="N494" s="26" t="str">
        <f>VLOOKUP(B494,'MTS 2026 registrations'!A:A,1,false)</f>
        <v>Sander Peltenburg</v>
      </c>
      <c r="O494" s="38" t="str">
        <f t="shared" si="2"/>
        <v/>
      </c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</row>
    <row r="495" ht="12.75" customHeight="1">
      <c r="A495" s="19" t="str">
        <f t="shared" si="1"/>
        <v>Sander Vroom Rabobank</v>
      </c>
      <c r="B495" s="19" t="s">
        <v>2920</v>
      </c>
      <c r="C495" s="116" t="s">
        <v>2921</v>
      </c>
      <c r="D495" s="117" t="s">
        <v>2922</v>
      </c>
      <c r="E495" s="48" t="s">
        <v>2923</v>
      </c>
      <c r="F495" s="135" t="s">
        <v>66</v>
      </c>
      <c r="G495" s="42" t="s">
        <v>69</v>
      </c>
      <c r="H495" s="25" t="s">
        <v>139</v>
      </c>
      <c r="I495" s="34"/>
      <c r="J495" s="35" t="s">
        <v>2924</v>
      </c>
      <c r="K495" s="27" t="s">
        <v>50</v>
      </c>
      <c r="L495" s="25" t="s">
        <v>10</v>
      </c>
      <c r="M495" s="26" t="str">
        <f>VLOOKUP(E495,'MTS 2026 registrations'!B:B,1,false)</f>
        <v>#N/A</v>
      </c>
      <c r="N495" s="26" t="str">
        <f>VLOOKUP(B495,'MTS 2026 registrations'!A:A,1,false)</f>
        <v>Sander Vroom</v>
      </c>
      <c r="O495" s="38" t="str">
        <f t="shared" si="2"/>
        <v/>
      </c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</row>
    <row r="496" ht="12.75" customHeight="1">
      <c r="A496" s="19" t="str">
        <f t="shared" si="1"/>
        <v>Silvia ten Houten Goodhout BV</v>
      </c>
      <c r="B496" s="19" t="s">
        <v>2925</v>
      </c>
      <c r="C496" s="29" t="s">
        <v>2926</v>
      </c>
      <c r="D496" s="29" t="s">
        <v>2927</v>
      </c>
      <c r="E496" s="62" t="s">
        <v>2928</v>
      </c>
      <c r="F496" s="50" t="s">
        <v>2929</v>
      </c>
      <c r="G496" s="32" t="s">
        <v>46</v>
      </c>
      <c r="H496" s="25" t="s">
        <v>139</v>
      </c>
      <c r="I496" s="34"/>
      <c r="J496" s="35" t="s">
        <v>2930</v>
      </c>
      <c r="K496" s="27" t="s">
        <v>50</v>
      </c>
      <c r="L496" s="25" t="s">
        <v>10</v>
      </c>
      <c r="M496" s="26" t="str">
        <f>VLOOKUP(E496,'MTS 2026 registrations'!B:B,1,false)</f>
        <v>stenhouten@hotmail.com</v>
      </c>
      <c r="N496" s="26" t="str">
        <f>VLOOKUP(B496,'MTS 2026 registrations'!A:A,1,false)</f>
        <v>Silvia Ten Houten</v>
      </c>
      <c r="O496" s="38" t="str">
        <f t="shared" si="2"/>
        <v/>
      </c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</row>
    <row r="497" ht="12.75" customHeight="1">
      <c r="A497" s="19" t="str">
        <f t="shared" si="1"/>
        <v>Simone van Schijndel tudelft</v>
      </c>
      <c r="B497" s="19" t="s">
        <v>2931</v>
      </c>
      <c r="C497" s="60" t="s">
        <v>1040</v>
      </c>
      <c r="D497" s="60" t="s">
        <v>2932</v>
      </c>
      <c r="E497" s="62" t="s">
        <v>2933</v>
      </c>
      <c r="F497" s="64" t="s">
        <v>184</v>
      </c>
      <c r="G497" s="32" t="s">
        <v>43</v>
      </c>
      <c r="H497" s="25" t="s">
        <v>139</v>
      </c>
      <c r="I497" s="34"/>
      <c r="J497" s="35" t="s">
        <v>2934</v>
      </c>
      <c r="K497" s="27" t="s">
        <v>50</v>
      </c>
      <c r="L497" s="25" t="s">
        <v>10</v>
      </c>
      <c r="M497" s="26" t="str">
        <f>VLOOKUP(E497,'MTS 2026 registrations'!B:B,1,false)</f>
        <v>s.a.h.vanschijndel@tudelft.nl</v>
      </c>
      <c r="N497" s="26" t="str">
        <f>VLOOKUP(B497,'MTS 2026 registrations'!A:A,1,false)</f>
        <v>Simone van Schijndel</v>
      </c>
      <c r="O497" s="38" t="str">
        <f t="shared" si="2"/>
        <v/>
      </c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</row>
    <row r="498" ht="12.75" customHeight="1">
      <c r="A498" s="19" t="str">
        <f t="shared" si="1"/>
        <v>Sjoerd Mol benvalor</v>
      </c>
      <c r="B498" s="19" t="s">
        <v>2935</v>
      </c>
      <c r="C498" s="134" t="s">
        <v>1052</v>
      </c>
      <c r="D498" s="60" t="s">
        <v>2936</v>
      </c>
      <c r="E498" s="62" t="s">
        <v>2937</v>
      </c>
      <c r="F498" s="64" t="s">
        <v>2938</v>
      </c>
      <c r="G498" s="42" t="s">
        <v>69</v>
      </c>
      <c r="H498" s="25" t="s">
        <v>139</v>
      </c>
      <c r="I498" s="13" t="s">
        <v>2939</v>
      </c>
      <c r="J498" s="35" t="s">
        <v>2940</v>
      </c>
      <c r="K498" s="27" t="s">
        <v>50</v>
      </c>
      <c r="L498" s="25" t="s">
        <v>10</v>
      </c>
      <c r="M498" s="26" t="str">
        <f>VLOOKUP(E498,'MTS 2026 registrations'!B:B,1,false)</f>
        <v>mol@benvalor.com</v>
      </c>
      <c r="N498" s="26" t="str">
        <f>VLOOKUP(B498,'MTS 2026 registrations'!A:A,1,false)</f>
        <v>sjoerd mol</v>
      </c>
      <c r="O498" s="38" t="str">
        <f t="shared" si="2"/>
        <v/>
      </c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</row>
    <row r="499" ht="12.75" customHeight="1">
      <c r="A499" s="19" t="str">
        <f t="shared" si="1"/>
        <v>Sjoerd Stevens Norrsken VC</v>
      </c>
      <c r="B499" s="19" t="s">
        <v>2941</v>
      </c>
      <c r="C499" s="20" t="s">
        <v>1052</v>
      </c>
      <c r="D499" s="20" t="s">
        <v>2942</v>
      </c>
      <c r="E499" s="21" t="s">
        <v>2943</v>
      </c>
      <c r="F499" s="49" t="s">
        <v>2944</v>
      </c>
      <c r="G499" s="24" t="s">
        <v>163</v>
      </c>
      <c r="H499" s="26" t="s">
        <v>164</v>
      </c>
      <c r="I499" s="13"/>
      <c r="J499" s="35" t="s">
        <v>2945</v>
      </c>
      <c r="K499" s="27" t="s">
        <v>50</v>
      </c>
      <c r="L499" s="25" t="s">
        <v>10</v>
      </c>
      <c r="M499" s="26" t="str">
        <f>VLOOKUP(E499,'MTS 2026 registrations'!B:B,1,false)</f>
        <v>#N/A</v>
      </c>
      <c r="N499" s="26" t="str">
        <f>VLOOKUP(B499,'MTS 2026 registrations'!A:A,1,false)</f>
        <v>Sjoerd Stevens</v>
      </c>
      <c r="O499" s="38" t="str">
        <f t="shared" si="2"/>
        <v/>
      </c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</row>
    <row r="500" ht="12.75" customHeight="1">
      <c r="A500" s="19" t="str">
        <f t="shared" si="1"/>
        <v>Stan Jeanty Volta Ventures</v>
      </c>
      <c r="B500" s="19" t="s">
        <v>2946</v>
      </c>
      <c r="C500" s="116" t="s">
        <v>2947</v>
      </c>
      <c r="D500" s="117" t="s">
        <v>2948</v>
      </c>
      <c r="E500" s="112" t="s">
        <v>2949</v>
      </c>
      <c r="F500" s="66" t="s">
        <v>2950</v>
      </c>
      <c r="G500" s="42" t="s">
        <v>163</v>
      </c>
      <c r="H500" s="25" t="s">
        <v>164</v>
      </c>
      <c r="I500" s="26"/>
      <c r="J500" s="35" t="s">
        <v>2951</v>
      </c>
      <c r="K500" s="27" t="s">
        <v>50</v>
      </c>
      <c r="L500" s="25" t="s">
        <v>10</v>
      </c>
      <c r="M500" s="26" t="str">
        <f>VLOOKUP(E500,'MTS 2026 registrations'!B:B,1,false)</f>
        <v>stan@voltaventures.eu</v>
      </c>
      <c r="N500" s="26" t="str">
        <f>VLOOKUP(B500,'MTS 2026 registrations'!A:A,1,false)</f>
        <v>Stan Jeanty</v>
      </c>
      <c r="O500" s="38" t="str">
        <f t="shared" si="2"/>
        <v/>
      </c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</row>
    <row r="501" ht="12.75" customHeight="1">
      <c r="A501" s="19" t="str">
        <f t="shared" si="1"/>
        <v>Stef Prinsen tno</v>
      </c>
      <c r="B501" s="19" t="s">
        <v>2952</v>
      </c>
      <c r="C501" s="60" t="s">
        <v>2953</v>
      </c>
      <c r="D501" s="60" t="s">
        <v>2954</v>
      </c>
      <c r="E501" s="62" t="s">
        <v>2955</v>
      </c>
      <c r="F501" s="64" t="s">
        <v>2956</v>
      </c>
      <c r="G501" s="32" t="s">
        <v>43</v>
      </c>
      <c r="H501" s="25" t="s">
        <v>139</v>
      </c>
      <c r="I501" s="34"/>
      <c r="J501" s="35" t="s">
        <v>2957</v>
      </c>
      <c r="K501" s="27" t="s">
        <v>50</v>
      </c>
      <c r="L501" s="25" t="s">
        <v>10</v>
      </c>
      <c r="M501" s="26" t="str">
        <f>VLOOKUP(E501,'MTS 2026 registrations'!B:B,1,false)</f>
        <v>stef.prinsen@tno.nl</v>
      </c>
      <c r="N501" s="26" t="str">
        <f>VLOOKUP(B501,'MTS 2026 registrations'!A:A,1,false)</f>
        <v>Stef Prinsen</v>
      </c>
      <c r="O501" s="38" t="str">
        <f t="shared" si="2"/>
        <v/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</row>
    <row r="502" ht="12.75" customHeight="1">
      <c r="A502" s="19" t="str">
        <f t="shared" si="1"/>
        <v>Steinar Henskes hensk.es</v>
      </c>
      <c r="B502" s="19" t="s">
        <v>2958</v>
      </c>
      <c r="C502" s="20" t="s">
        <v>2959</v>
      </c>
      <c r="D502" s="20" t="s">
        <v>2960</v>
      </c>
      <c r="E502" s="21" t="s">
        <v>2961</v>
      </c>
      <c r="F502" s="23" t="s">
        <v>2962</v>
      </c>
      <c r="G502" s="32" t="s">
        <v>46</v>
      </c>
      <c r="H502" s="25" t="s">
        <v>47</v>
      </c>
      <c r="I502" s="34"/>
      <c r="J502" s="35" t="s">
        <v>2963</v>
      </c>
      <c r="K502" s="27" t="s">
        <v>50</v>
      </c>
      <c r="L502" s="25" t="s">
        <v>10</v>
      </c>
      <c r="M502" s="26" t="str">
        <f>VLOOKUP(E502,'MTS 2026 registrations'!B:B,1,false)</f>
        <v>steinar@hensk.es</v>
      </c>
      <c r="N502" s="26" t="str">
        <f>VLOOKUP(B502,'MTS 2026 registrations'!A:A,1,false)</f>
        <v>#N/A</v>
      </c>
      <c r="O502" s="38" t="str">
        <f t="shared" si="2"/>
        <v/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</row>
    <row r="503" ht="12.75" customHeight="1">
      <c r="A503" s="19" t="str">
        <f t="shared" si="1"/>
        <v>Sven Bakkes iOpener</v>
      </c>
      <c r="B503" s="19" t="s">
        <v>2964</v>
      </c>
      <c r="C503" s="29" t="s">
        <v>1408</v>
      </c>
      <c r="D503" s="29" t="s">
        <v>2965</v>
      </c>
      <c r="E503" s="31" t="s">
        <v>2966</v>
      </c>
      <c r="F503" s="33" t="s">
        <v>2967</v>
      </c>
      <c r="G503" s="24" t="s">
        <v>46</v>
      </c>
      <c r="H503" s="25" t="s">
        <v>47</v>
      </c>
      <c r="I503" s="34"/>
      <c r="J503" s="35" t="s">
        <v>2968</v>
      </c>
      <c r="K503" s="27" t="s">
        <v>50</v>
      </c>
      <c r="L503" s="25" t="s">
        <v>10</v>
      </c>
      <c r="M503" s="26" t="str">
        <f>VLOOKUP(E503,'MTS 2026 registrations'!B:B,1,false)</f>
        <v>sven@lumolabs.io</v>
      </c>
      <c r="N503" s="26" t="str">
        <f>VLOOKUP(B503,'MTS 2026 registrations'!A:A,1,false)</f>
        <v>Sven Bakkes</v>
      </c>
      <c r="O503" s="38" t="str">
        <f t="shared" si="2"/>
        <v/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</row>
    <row r="504" ht="12.75" customHeight="1">
      <c r="A504" s="19" t="str">
        <f t="shared" si="1"/>
        <v>Sven Hamelink Police</v>
      </c>
      <c r="B504" s="19" t="s">
        <v>2969</v>
      </c>
      <c r="C504" s="156" t="s">
        <v>1408</v>
      </c>
      <c r="D504" s="156" t="s">
        <v>2970</v>
      </c>
      <c r="E504" s="50" t="s">
        <v>2971</v>
      </c>
      <c r="F504" s="50" t="s">
        <v>2972</v>
      </c>
      <c r="G504" s="32" t="s">
        <v>69</v>
      </c>
      <c r="H504" s="25" t="s">
        <v>47</v>
      </c>
      <c r="I504" s="34"/>
      <c r="J504" s="35" t="s">
        <v>2973</v>
      </c>
      <c r="K504" s="27" t="s">
        <v>50</v>
      </c>
      <c r="L504" s="25" t="s">
        <v>10</v>
      </c>
      <c r="M504" s="26" t="str">
        <f>VLOOKUP(E504,'MTS 2026 registrations'!B:B,1,false)</f>
        <v>sven.hamelink@politie.nl</v>
      </c>
      <c r="N504" s="26" t="str">
        <f>VLOOKUP(B504,'MTS 2026 registrations'!A:A,1,false)</f>
        <v>Sven Hamelink</v>
      </c>
      <c r="O504" s="38" t="str">
        <f t="shared" si="2"/>
        <v/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</row>
    <row r="505" ht="12.75" customHeight="1">
      <c r="A505" s="19" t="str">
        <f t="shared" si="1"/>
        <v>Tamas Puski Iseeq</v>
      </c>
      <c r="B505" s="19" t="s">
        <v>2974</v>
      </c>
      <c r="C505" s="172" t="s">
        <v>2975</v>
      </c>
      <c r="D505" s="117" t="s">
        <v>2976</v>
      </c>
      <c r="E505" s="76" t="s">
        <v>2977</v>
      </c>
      <c r="F505" s="135" t="s">
        <v>2978</v>
      </c>
      <c r="G505" s="42" t="s">
        <v>69</v>
      </c>
      <c r="H505" s="25" t="s">
        <v>47</v>
      </c>
      <c r="I505" s="34"/>
      <c r="J505" s="35" t="s">
        <v>2979</v>
      </c>
      <c r="K505" s="27" t="s">
        <v>50</v>
      </c>
      <c r="L505" s="25" t="s">
        <v>10</v>
      </c>
      <c r="M505" s="26" t="str">
        <f>VLOOKUP(E505,'MTS 2026 registrations'!B:B,1,false)</f>
        <v>#N/A</v>
      </c>
      <c r="N505" s="26" t="str">
        <f>VLOOKUP(B505,'MTS 2026 registrations'!A:A,1,false)</f>
        <v>tamas puski</v>
      </c>
      <c r="O505" s="38" t="str">
        <f t="shared" si="2"/>
        <v/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</row>
    <row r="506" ht="12.75" customHeight="1">
      <c r="A506" s="19" t="str">
        <f t="shared" si="1"/>
        <v>Tom Jonker pzh</v>
      </c>
      <c r="B506" s="19" t="s">
        <v>2980</v>
      </c>
      <c r="C506" s="138" t="s">
        <v>1128</v>
      </c>
      <c r="D506" s="138" t="s">
        <v>2981</v>
      </c>
      <c r="E506" s="139" t="s">
        <v>2982</v>
      </c>
      <c r="F506" s="75" t="s">
        <v>1532</v>
      </c>
      <c r="G506" s="24" t="s">
        <v>323</v>
      </c>
      <c r="H506" s="25" t="s">
        <v>139</v>
      </c>
      <c r="I506" s="34"/>
      <c r="J506" s="35" t="s">
        <v>2983</v>
      </c>
      <c r="K506" s="27" t="s">
        <v>50</v>
      </c>
      <c r="L506" s="25" t="s">
        <v>10</v>
      </c>
      <c r="M506" s="26" t="str">
        <f>VLOOKUP(E506,'MTS 2026 registrations'!B:B,1,false)</f>
        <v>t.jonker@pzh.nl</v>
      </c>
      <c r="N506" s="26" t="str">
        <f>VLOOKUP(B506,'MTS 2026 registrations'!A:A,1,false)</f>
        <v>#N/A</v>
      </c>
      <c r="O506" s="38" t="str">
        <f t="shared" si="2"/>
        <v/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</row>
    <row r="507" ht="12.75" customHeight="1">
      <c r="A507" s="19" t="str">
        <f t="shared" si="1"/>
        <v>Tsuyoshi Yamashita Wonderstone Ventures (Murata Electronics)</v>
      </c>
      <c r="B507" s="19" t="s">
        <v>2984</v>
      </c>
      <c r="C507" s="20" t="s">
        <v>2985</v>
      </c>
      <c r="D507" s="20" t="s">
        <v>2986</v>
      </c>
      <c r="E507" s="21" t="s">
        <v>2987</v>
      </c>
      <c r="F507" s="49" t="s">
        <v>2988</v>
      </c>
      <c r="G507" s="24" t="s">
        <v>163</v>
      </c>
      <c r="H507" s="26" t="s">
        <v>164</v>
      </c>
      <c r="I507" s="13"/>
      <c r="J507" s="35" t="s">
        <v>2989</v>
      </c>
      <c r="K507" s="27" t="s">
        <v>50</v>
      </c>
      <c r="L507" s="25" t="s">
        <v>10</v>
      </c>
      <c r="M507" s="26" t="str">
        <f>VLOOKUP(E507,'MTS 2026 registrations'!B:B,1,false)</f>
        <v>tsuyoshi_yamashita@murata.com</v>
      </c>
      <c r="N507" s="26" t="str">
        <f>VLOOKUP(B507,'MTS 2026 registrations'!A:A,1,false)</f>
        <v>Tsuyoshi Yamashita</v>
      </c>
      <c r="O507" s="38" t="str">
        <f t="shared" si="2"/>
        <v/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</row>
    <row r="508" ht="12.75" customHeight="1">
      <c r="A508" s="19" t="str">
        <f t="shared" si="1"/>
        <v>Vareska van de Vrande RSM</v>
      </c>
      <c r="B508" s="19" t="s">
        <v>2990</v>
      </c>
      <c r="C508" s="20" t="s">
        <v>2991</v>
      </c>
      <c r="D508" s="20" t="s">
        <v>2992</v>
      </c>
      <c r="E508" s="21" t="s">
        <v>2993</v>
      </c>
      <c r="F508" s="49" t="s">
        <v>2994</v>
      </c>
      <c r="G508" s="32" t="s">
        <v>43</v>
      </c>
      <c r="H508" s="25" t="s">
        <v>139</v>
      </c>
      <c r="I508" s="34"/>
      <c r="J508" s="35" t="s">
        <v>2995</v>
      </c>
      <c r="K508" s="27" t="s">
        <v>50</v>
      </c>
      <c r="L508" s="25" t="s">
        <v>10</v>
      </c>
      <c r="M508" s="26" t="str">
        <f>VLOOKUP(E508,'MTS 2026 registrations'!B:B,1,false)</f>
        <v>vvrande@rsm.nl</v>
      </c>
      <c r="N508" s="26" t="str">
        <f>VLOOKUP(B508,'MTS 2026 registrations'!A:A,1,false)</f>
        <v>Vareska van de Vrande</v>
      </c>
      <c r="O508" s="38" t="str">
        <f t="shared" si="2"/>
        <v/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</row>
    <row r="509" ht="12.75" customHeight="1">
      <c r="A509" s="19" t="str">
        <f t="shared" si="1"/>
        <v>Vincent Ruijter Independent</v>
      </c>
      <c r="B509" s="19" t="s">
        <v>2996</v>
      </c>
      <c r="C509" s="116" t="s">
        <v>1149</v>
      </c>
      <c r="D509" s="116" t="s">
        <v>2997</v>
      </c>
      <c r="E509" s="112" t="s">
        <v>2998</v>
      </c>
      <c r="F509" s="66" t="s">
        <v>1209</v>
      </c>
      <c r="G509" s="24" t="s">
        <v>225</v>
      </c>
      <c r="H509" s="25" t="s">
        <v>47</v>
      </c>
      <c r="I509" s="34"/>
      <c r="J509" s="35" t="s">
        <v>2999</v>
      </c>
      <c r="K509" s="27" t="s">
        <v>50</v>
      </c>
      <c r="L509" s="25" t="s">
        <v>10</v>
      </c>
      <c r="M509" s="26" t="str">
        <f>VLOOKUP(E509,'MTS 2026 registrations'!B:B,1,false)</f>
        <v>vincent.ruijter@gmail.com</v>
      </c>
      <c r="N509" s="26" t="str">
        <f>VLOOKUP(B509,'MTS 2026 registrations'!A:A,1,false)</f>
        <v>Vincent Ruijter</v>
      </c>
      <c r="O509" s="38" t="str">
        <f t="shared" si="2"/>
        <v/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</row>
    <row r="510" ht="12.75" customHeight="1">
      <c r="A510" s="19" t="str">
        <f t="shared" si="1"/>
        <v>Vincent Wijdeveld tarnoc</v>
      </c>
      <c r="B510" s="19" t="s">
        <v>3000</v>
      </c>
      <c r="C510" s="20" t="s">
        <v>1149</v>
      </c>
      <c r="D510" s="20" t="s">
        <v>3001</v>
      </c>
      <c r="E510" s="21" t="s">
        <v>3002</v>
      </c>
      <c r="F510" s="23" t="s">
        <v>3003</v>
      </c>
      <c r="G510" s="32" t="s">
        <v>46</v>
      </c>
      <c r="H510" s="25" t="s">
        <v>47</v>
      </c>
      <c r="I510" s="34"/>
      <c r="J510" s="35" t="s">
        <v>3004</v>
      </c>
      <c r="K510" s="27" t="s">
        <v>50</v>
      </c>
      <c r="L510" s="25" t="s">
        <v>10</v>
      </c>
      <c r="M510" s="26" t="str">
        <f>VLOOKUP(E510,'MTS 2026 registrations'!B:B,1,false)</f>
        <v>vincent@tarnoc.nl</v>
      </c>
      <c r="N510" s="26" t="str">
        <f>VLOOKUP(B510,'MTS 2026 registrations'!A:A,1,false)</f>
        <v>Vincent Wijdeveld</v>
      </c>
      <c r="O510" s="38" t="str">
        <f t="shared" si="2"/>
        <v/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 ht="12.75" customHeight="1">
      <c r="A511" s="19" t="str">
        <f t="shared" si="1"/>
        <v>Willem van Winkoop watermanventures</v>
      </c>
      <c r="B511" s="19" t="s">
        <v>3005</v>
      </c>
      <c r="C511" s="20" t="s">
        <v>1160</v>
      </c>
      <c r="D511" s="20" t="s">
        <v>3006</v>
      </c>
      <c r="E511" s="21" t="s">
        <v>3007</v>
      </c>
      <c r="F511" s="23" t="s">
        <v>3008</v>
      </c>
      <c r="G511" s="24" t="s">
        <v>163</v>
      </c>
      <c r="H511" s="25" t="s">
        <v>164</v>
      </c>
      <c r="I511" s="26"/>
      <c r="J511" s="35" t="s">
        <v>3009</v>
      </c>
      <c r="K511" s="27" t="s">
        <v>50</v>
      </c>
      <c r="L511" s="25" t="s">
        <v>10</v>
      </c>
      <c r="M511" s="26" t="str">
        <f>VLOOKUP(E511,'MTS 2026 registrations'!B:B,1,false)</f>
        <v>willem@watermanventures.nl</v>
      </c>
      <c r="N511" s="26" t="str">
        <f>VLOOKUP(B511,'MTS 2026 registrations'!A:A,1,false)</f>
        <v>Willem van Winkoop</v>
      </c>
      <c r="O511" s="38" t="str">
        <f t="shared" si="2"/>
        <v/>
      </c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</row>
    <row r="512" ht="12.75" customHeight="1">
      <c r="A512" s="19" t="str">
        <f t="shared" si="1"/>
        <v>William Janssen Maxairea</v>
      </c>
      <c r="B512" s="19" t="s">
        <v>3010</v>
      </c>
      <c r="C512" s="13" t="s">
        <v>3011</v>
      </c>
      <c r="D512" s="13" t="s">
        <v>2285</v>
      </c>
      <c r="E512" s="60" t="s">
        <v>3012</v>
      </c>
      <c r="F512" s="60" t="s">
        <v>2811</v>
      </c>
      <c r="G512" s="32" t="s">
        <v>46</v>
      </c>
      <c r="H512" s="25" t="s">
        <v>47</v>
      </c>
      <c r="I512" s="34"/>
      <c r="J512" s="35" t="s">
        <v>3013</v>
      </c>
      <c r="K512" s="27" t="s">
        <v>50</v>
      </c>
      <c r="L512" s="25" t="s">
        <v>10</v>
      </c>
      <c r="M512" s="26" t="str">
        <f>VLOOKUP(E512,'MTS 2026 registrations'!B:B,1,false)</f>
        <v>w.janssen@maxairea.com</v>
      </c>
      <c r="N512" s="26" t="str">
        <f>VLOOKUP(B512,'MTS 2026 registrations'!A:A,1,false)</f>
        <v>William Janssen</v>
      </c>
      <c r="O512" s="38" t="str">
        <f t="shared" si="2"/>
        <v/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</row>
    <row r="513" ht="12.75" customHeight="1">
      <c r="A513" s="19" t="str">
        <f t="shared" si="1"/>
        <v>Wouter Robers YES!Delft, Epyon</v>
      </c>
      <c r="B513" s="19" t="s">
        <v>3014</v>
      </c>
      <c r="C513" s="29" t="s">
        <v>1165</v>
      </c>
      <c r="D513" s="29" t="s">
        <v>3015</v>
      </c>
      <c r="E513" s="62" t="s">
        <v>3016</v>
      </c>
      <c r="F513" s="132" t="s">
        <v>3017</v>
      </c>
      <c r="G513" s="32" t="s">
        <v>46</v>
      </c>
      <c r="H513" s="25" t="s">
        <v>139</v>
      </c>
      <c r="I513" s="34"/>
      <c r="J513" s="35" t="s">
        <v>3018</v>
      </c>
      <c r="K513" s="27" t="s">
        <v>50</v>
      </c>
      <c r="L513" s="25" t="s">
        <v>10</v>
      </c>
      <c r="M513" s="26" t="str">
        <f>VLOOKUP(E513,'MTS 2026 registrations'!B:B,1,false)</f>
        <v>#N/A</v>
      </c>
      <c r="N513" s="26" t="str">
        <f>VLOOKUP(B513,'MTS 2026 registrations'!A:A,1,false)</f>
        <v>Wouter Robers</v>
      </c>
      <c r="O513" s="38" t="str">
        <f t="shared" si="2"/>
        <v/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</row>
    <row r="514" ht="12.75" customHeight="1">
      <c r="A514" s="19" t="str">
        <f t="shared" si="1"/>
        <v>Yannick Hopf Sonosilicon</v>
      </c>
      <c r="B514" s="19" t="s">
        <v>3019</v>
      </c>
      <c r="C514" s="29" t="s">
        <v>2116</v>
      </c>
      <c r="D514" s="29" t="s">
        <v>3020</v>
      </c>
      <c r="E514" s="62" t="s">
        <v>3021</v>
      </c>
      <c r="F514" s="115" t="s">
        <v>3022</v>
      </c>
      <c r="G514" s="32" t="s">
        <v>46</v>
      </c>
      <c r="H514" s="25" t="s">
        <v>139</v>
      </c>
      <c r="I514" s="34"/>
      <c r="J514" s="35" t="s">
        <v>3023</v>
      </c>
      <c r="K514" s="27" t="s">
        <v>50</v>
      </c>
      <c r="L514" s="25" t="s">
        <v>10</v>
      </c>
      <c r="M514" s="26" t="str">
        <f>VLOOKUP(E514,'MTS 2026 registrations'!B:B,1,false)</f>
        <v>yhopf@sonosilicon.com</v>
      </c>
      <c r="N514" s="26" t="str">
        <f>VLOOKUP(B514,'MTS 2026 registrations'!A:A,1,false)</f>
        <v>Yannick Hopf</v>
      </c>
      <c r="O514" s="38" t="str">
        <f t="shared" si="2"/>
        <v/>
      </c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</row>
    <row r="515" ht="12.75" customHeight="1">
      <c r="A515" s="19" t="str">
        <f t="shared" si="1"/>
        <v>Yves Prevoo Independent</v>
      </c>
      <c r="B515" s="19" t="s">
        <v>3024</v>
      </c>
      <c r="C515" s="116" t="s">
        <v>3025</v>
      </c>
      <c r="D515" s="116" t="s">
        <v>3026</v>
      </c>
      <c r="E515" s="112" t="s">
        <v>3027</v>
      </c>
      <c r="F515" s="66" t="s">
        <v>1209</v>
      </c>
      <c r="G515" s="24" t="s">
        <v>225</v>
      </c>
      <c r="H515" s="25" t="s">
        <v>47</v>
      </c>
      <c r="I515" s="34"/>
      <c r="J515" s="35" t="s">
        <v>3028</v>
      </c>
      <c r="K515" s="27" t="s">
        <v>50</v>
      </c>
      <c r="L515" s="25" t="s">
        <v>10</v>
      </c>
      <c r="M515" s="26" t="str">
        <f>VLOOKUP(E515,'MTS 2026 registrations'!B:B,1,false)</f>
        <v>#N/A</v>
      </c>
      <c r="N515" s="26" t="str">
        <f>VLOOKUP(B515,'MTS 2026 registrations'!A:A,1,false)</f>
        <v>Yves Prevoo</v>
      </c>
      <c r="O515" s="38" t="str">
        <f t="shared" si="2"/>
        <v/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</row>
    <row r="516" ht="12.75" customHeight="1">
      <c r="A516" s="19" t="str">
        <f t="shared" si="1"/>
        <v>Aad van der Geest angel investor</v>
      </c>
      <c r="B516" s="19" t="s">
        <v>3029</v>
      </c>
      <c r="C516" s="20" t="s">
        <v>3030</v>
      </c>
      <c r="D516" s="20" t="s">
        <v>3031</v>
      </c>
      <c r="E516" s="21" t="s">
        <v>3032</v>
      </c>
      <c r="F516" s="49" t="s">
        <v>3033</v>
      </c>
      <c r="G516" s="24" t="s">
        <v>3034</v>
      </c>
      <c r="H516" s="25" t="s">
        <v>164</v>
      </c>
      <c r="I516" s="26"/>
      <c r="J516" s="35" t="s">
        <v>3035</v>
      </c>
      <c r="K516" s="27" t="s">
        <v>50</v>
      </c>
      <c r="L516" s="13" t="s">
        <v>3036</v>
      </c>
      <c r="M516" s="26" t="str">
        <f>VLOOKUP(E516,'MTS 2026 registrations'!B:B,1,false)</f>
        <v>spitstec@wxs.nl</v>
      </c>
      <c r="N516" s="26" t="str">
        <f>VLOOKUP(B516,'MTS 2026 registrations'!A:A,1,false)</f>
        <v>Aad van der Geest</v>
      </c>
      <c r="O516" s="38" t="str">
        <f t="shared" si="2"/>
        <v/>
      </c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23"/>
      <c r="AE516" s="23"/>
    </row>
    <row r="517" ht="12.75" customHeight="1">
      <c r="A517" s="19" t="str">
        <f t="shared" si="1"/>
        <v>Aaike van Vugt VSPARTICLE</v>
      </c>
      <c r="B517" s="19" t="s">
        <v>3037</v>
      </c>
      <c r="C517" s="29" t="s">
        <v>3038</v>
      </c>
      <c r="D517" s="29" t="s">
        <v>3039</v>
      </c>
      <c r="E517" s="31" t="s">
        <v>3040</v>
      </c>
      <c r="F517" s="33" t="s">
        <v>3041</v>
      </c>
      <c r="G517" s="24" t="s">
        <v>46</v>
      </c>
      <c r="H517" s="25" t="s">
        <v>47</v>
      </c>
      <c r="I517" s="34"/>
      <c r="J517" s="35" t="s">
        <v>3042</v>
      </c>
      <c r="K517" s="27" t="s">
        <v>50</v>
      </c>
      <c r="L517" s="13" t="s">
        <v>3043</v>
      </c>
      <c r="M517" s="26" t="str">
        <f>VLOOKUP(E517,'MTS 2026 registrations'!B:B,1,false)</f>
        <v>#N/A</v>
      </c>
      <c r="N517" s="26" t="str">
        <f>VLOOKUP(B517,'MTS 2026 registrations'!A:A,1,false)</f>
        <v>#N/A</v>
      </c>
      <c r="O517" s="38" t="str">
        <f t="shared" si="2"/>
        <v>Marked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23"/>
      <c r="AE517" s="23"/>
    </row>
    <row r="518" ht="12.75" customHeight="1">
      <c r="A518" s="19" t="str">
        <f t="shared" si="1"/>
        <v>Aart Willem Saly vintura</v>
      </c>
      <c r="B518" s="19" t="s">
        <v>3044</v>
      </c>
      <c r="C518" s="20" t="s">
        <v>3045</v>
      </c>
      <c r="D518" s="20" t="s">
        <v>3046</v>
      </c>
      <c r="E518" s="21" t="s">
        <v>3047</v>
      </c>
      <c r="F518" s="23" t="s">
        <v>3048</v>
      </c>
      <c r="G518" s="24" t="s">
        <v>225</v>
      </c>
      <c r="H518" s="25" t="s">
        <v>47</v>
      </c>
      <c r="I518" s="26"/>
      <c r="J518" s="35" t="s">
        <v>3049</v>
      </c>
      <c r="K518" s="27" t="s">
        <v>50</v>
      </c>
      <c r="L518" s="13" t="s">
        <v>3050</v>
      </c>
      <c r="M518" s="26" t="str">
        <f>VLOOKUP(E518,'MTS 2026 registrations'!B:B,1,false)</f>
        <v>#N/A</v>
      </c>
      <c r="N518" s="26" t="str">
        <f>VLOOKUP(B518,'MTS 2026 registrations'!A:A,1,false)</f>
        <v>#N/A</v>
      </c>
      <c r="O518" s="38" t="str">
        <f t="shared" si="2"/>
        <v>Marked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2.75" customHeight="1">
      <c r="A519" s="19" t="str">
        <f t="shared" si="1"/>
        <v>Abe Bonnema isispace</v>
      </c>
      <c r="B519" s="19" t="s">
        <v>3051</v>
      </c>
      <c r="C519" s="20" t="s">
        <v>3052</v>
      </c>
      <c r="D519" s="20" t="s">
        <v>3053</v>
      </c>
      <c r="E519" s="112" t="s">
        <v>3054</v>
      </c>
      <c r="F519" s="23" t="s">
        <v>3055</v>
      </c>
      <c r="G519" s="44" t="s">
        <v>46</v>
      </c>
      <c r="H519" s="25" t="s">
        <v>47</v>
      </c>
      <c r="I519" s="23"/>
      <c r="J519" s="35" t="s">
        <v>3056</v>
      </c>
      <c r="K519" s="27" t="s">
        <v>50</v>
      </c>
      <c r="L519" s="13" t="s">
        <v>3057</v>
      </c>
      <c r="M519" s="26" t="str">
        <f>VLOOKUP(E519,'MTS 2026 registrations'!B:B,1,false)</f>
        <v>#N/A</v>
      </c>
      <c r="N519" s="26" t="str">
        <f>VLOOKUP(B519,'MTS 2026 registrations'!A:A,1,false)</f>
        <v>#N/A</v>
      </c>
      <c r="O519" s="38" t="str">
        <f t="shared" si="2"/>
        <v>Marked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2.75" customHeight="1">
      <c r="A520" s="19" t="str">
        <f t="shared" si="1"/>
        <v>Abhinav Jain Prognoix</v>
      </c>
      <c r="B520" s="19" t="s">
        <v>3058</v>
      </c>
      <c r="C520" s="29" t="s">
        <v>3059</v>
      </c>
      <c r="D520" s="29" t="s">
        <v>3060</v>
      </c>
      <c r="E520" s="62" t="s">
        <v>3061</v>
      </c>
      <c r="F520" s="115" t="s">
        <v>3062</v>
      </c>
      <c r="G520" s="32" t="s">
        <v>46</v>
      </c>
      <c r="H520" s="25" t="s">
        <v>139</v>
      </c>
      <c r="I520" s="23"/>
      <c r="J520" s="35" t="s">
        <v>3063</v>
      </c>
      <c r="K520" s="27" t="s">
        <v>50</v>
      </c>
      <c r="L520" s="13" t="s">
        <v>3064</v>
      </c>
      <c r="M520" s="26" t="str">
        <f>VLOOKUP(E520,'MTS 2026 registrations'!B:B,1,false)</f>
        <v>#N/A</v>
      </c>
      <c r="N520" s="26" t="str">
        <f>VLOOKUP(B520,'MTS 2026 registrations'!A:A,1,false)</f>
        <v>#N/A</v>
      </c>
      <c r="O520" s="38" t="str">
        <f t="shared" si="2"/>
        <v>Marked</v>
      </c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2.75" customHeight="1">
      <c r="A521" s="19" t="str">
        <f t="shared" si="1"/>
        <v>Abla Chaoui bom</v>
      </c>
      <c r="B521" s="173" t="s">
        <v>3065</v>
      </c>
      <c r="C521" s="29" t="s">
        <v>3066</v>
      </c>
      <c r="D521" s="29" t="s">
        <v>3067</v>
      </c>
      <c r="E521" s="174" t="s">
        <v>3068</v>
      </c>
      <c r="F521" s="29" t="s">
        <v>3069</v>
      </c>
      <c r="G521" s="24" t="s">
        <v>29</v>
      </c>
      <c r="H521" s="13" t="s">
        <v>213</v>
      </c>
      <c r="I521" s="34"/>
      <c r="J521" s="35" t="s">
        <v>3070</v>
      </c>
      <c r="K521" s="27" t="s">
        <v>50</v>
      </c>
      <c r="L521" s="13" t="s">
        <v>3071</v>
      </c>
      <c r="M521" s="26" t="str">
        <f>VLOOKUP(E521,'MTS 2026 registrations'!B:B,1,false)</f>
        <v>#N/A</v>
      </c>
      <c r="N521" s="26" t="str">
        <f>VLOOKUP(B521,'MTS 2026 registrations'!A:A,1,false)</f>
        <v>#N/A</v>
      </c>
      <c r="O521" s="38" t="str">
        <f t="shared" si="2"/>
        <v>Marked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2.75" customHeight="1">
      <c r="A522" s="19" t="str">
        <f t="shared" si="1"/>
        <v>Abo Rassa topsectorenergie</v>
      </c>
      <c r="B522" s="19" t="s">
        <v>3072</v>
      </c>
      <c r="C522" s="29" t="s">
        <v>3073</v>
      </c>
      <c r="D522" s="29" t="s">
        <v>3074</v>
      </c>
      <c r="E522" s="150" t="s">
        <v>3075</v>
      </c>
      <c r="F522" s="29" t="s">
        <v>3076</v>
      </c>
      <c r="G522" s="32" t="s">
        <v>323</v>
      </c>
      <c r="H522" s="13" t="s">
        <v>213</v>
      </c>
      <c r="I522" s="23"/>
      <c r="J522" s="35" t="s">
        <v>3077</v>
      </c>
      <c r="K522" s="27" t="s">
        <v>50</v>
      </c>
      <c r="L522" s="13" t="s">
        <v>3078</v>
      </c>
      <c r="M522" s="26" t="str">
        <f>VLOOKUP(E522,'MTS 2026 registrations'!B:B,1,false)</f>
        <v>#N/A</v>
      </c>
      <c r="N522" s="26" t="str">
        <f>VLOOKUP(B522,'MTS 2026 registrations'!A:A,1,false)</f>
        <v>#N/A</v>
      </c>
      <c r="O522" s="38" t="str">
        <f t="shared" si="2"/>
        <v>Marked</v>
      </c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2.75" customHeight="1">
      <c r="A523" s="19" t="str">
        <f t="shared" si="1"/>
        <v>Adil Aarouss Respyre</v>
      </c>
      <c r="B523" s="19" t="s">
        <v>3079</v>
      </c>
      <c r="C523" s="29" t="s">
        <v>3080</v>
      </c>
      <c r="D523" s="29" t="s">
        <v>3081</v>
      </c>
      <c r="E523" s="31" t="s">
        <v>3082</v>
      </c>
      <c r="F523" s="33" t="s">
        <v>3083</v>
      </c>
      <c r="G523" s="24" t="s">
        <v>46</v>
      </c>
      <c r="H523" s="25" t="s">
        <v>47</v>
      </c>
      <c r="I523" s="34"/>
      <c r="J523" s="35" t="s">
        <v>3084</v>
      </c>
      <c r="K523" s="27" t="s">
        <v>50</v>
      </c>
      <c r="L523" s="13" t="s">
        <v>3085</v>
      </c>
      <c r="M523" s="26" t="str">
        <f>VLOOKUP(E523,'MTS 2026 registrations'!B:B,1,false)</f>
        <v>#N/A</v>
      </c>
      <c r="N523" s="26" t="str">
        <f>VLOOKUP(B523,'MTS 2026 registrations'!A:A,1,false)</f>
        <v>#N/A</v>
      </c>
      <c r="O523" s="38" t="str">
        <f t="shared" si="2"/>
        <v>Marked</v>
      </c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23"/>
      <c r="AE523" s="23"/>
    </row>
    <row r="524" ht="12.75" customHeight="1">
      <c r="A524" s="19" t="str">
        <f t="shared" si="1"/>
        <v>Adriaan van Donk Corbotics B.V.</v>
      </c>
      <c r="B524" s="19" t="s">
        <v>3086</v>
      </c>
      <c r="C524" s="13" t="s">
        <v>3087</v>
      </c>
      <c r="D524" s="13" t="s">
        <v>3088</v>
      </c>
      <c r="E524" s="60" t="s">
        <v>3089</v>
      </c>
      <c r="F524" s="60" t="s">
        <v>3090</v>
      </c>
      <c r="G524" s="32" t="s">
        <v>46</v>
      </c>
      <c r="H524" s="25" t="s">
        <v>47</v>
      </c>
      <c r="I524" s="34"/>
      <c r="J524" s="35" t="s">
        <v>3091</v>
      </c>
      <c r="K524" s="27" t="s">
        <v>50</v>
      </c>
      <c r="L524" s="13" t="s">
        <v>3092</v>
      </c>
      <c r="M524" s="26" t="str">
        <f>VLOOKUP(E524,'MTS 2026 registrations'!B:B,1,false)</f>
        <v>#N/A</v>
      </c>
      <c r="N524" s="26" t="str">
        <f>VLOOKUP(B524,'MTS 2026 registrations'!A:A,1,false)</f>
        <v>#N/A</v>
      </c>
      <c r="O524" s="38" t="str">
        <f t="shared" si="2"/>
        <v>Marked</v>
      </c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23"/>
      <c r="AE524" s="23"/>
    </row>
    <row r="525" ht="12.75" customHeight="1">
      <c r="A525" s="19" t="str">
        <f t="shared" si="1"/>
        <v>Adriaan Wijten Percival Participations</v>
      </c>
      <c r="B525" s="19" t="s">
        <v>3093</v>
      </c>
      <c r="C525" s="116" t="s">
        <v>3087</v>
      </c>
      <c r="D525" s="117" t="s">
        <v>3094</v>
      </c>
      <c r="E525" s="128" t="s">
        <v>3095</v>
      </c>
      <c r="F525" s="66" t="s">
        <v>3096</v>
      </c>
      <c r="G525" s="42" t="s">
        <v>163</v>
      </c>
      <c r="H525" s="25" t="s">
        <v>164</v>
      </c>
      <c r="I525" s="34"/>
      <c r="J525" s="35" t="s">
        <v>3097</v>
      </c>
      <c r="K525" s="27" t="s">
        <v>50</v>
      </c>
      <c r="L525" s="13" t="s">
        <v>3098</v>
      </c>
      <c r="M525" s="26" t="str">
        <f>VLOOKUP(E525,'MTS 2026 registrations'!B:B,1,false)</f>
        <v>#N/A</v>
      </c>
      <c r="N525" s="26" t="str">
        <f>VLOOKUP(B525,'MTS 2026 registrations'!A:A,1,false)</f>
        <v>#N/A</v>
      </c>
      <c r="O525" s="38" t="str">
        <f t="shared" si="2"/>
        <v>Marked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23"/>
      <c r="AE525" s="23"/>
    </row>
    <row r="526" ht="12.75" customHeight="1">
      <c r="A526" s="19" t="str">
        <f t="shared" si="1"/>
        <v>Adriaan Rijkens warp.industries</v>
      </c>
      <c r="B526" s="19" t="s">
        <v>3099</v>
      </c>
      <c r="C526" s="20" t="s">
        <v>3087</v>
      </c>
      <c r="D526" s="20" t="s">
        <v>3100</v>
      </c>
      <c r="E526" s="21" t="s">
        <v>3101</v>
      </c>
      <c r="F526" s="23" t="s">
        <v>3102</v>
      </c>
      <c r="G526" s="32" t="s">
        <v>46</v>
      </c>
      <c r="H526" s="25" t="s">
        <v>47</v>
      </c>
      <c r="I526" s="26"/>
      <c r="J526" s="35" t="s">
        <v>3103</v>
      </c>
      <c r="K526" s="27" t="s">
        <v>50</v>
      </c>
      <c r="L526" s="13" t="s">
        <v>3104</v>
      </c>
      <c r="M526" s="26" t="str">
        <f>VLOOKUP(E526,'MTS 2026 registrations'!B:B,1,false)</f>
        <v>#N/A</v>
      </c>
      <c r="N526" s="26" t="str">
        <f>VLOOKUP(B526,'MTS 2026 registrations'!A:A,1,false)</f>
        <v>#N/A</v>
      </c>
      <c r="O526" s="38" t="str">
        <f t="shared" si="2"/>
        <v>Marked</v>
      </c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2.75" customHeight="1">
      <c r="A527" s="19" t="str">
        <f t="shared" si="1"/>
        <v>Adriano Desideri solho</v>
      </c>
      <c r="B527" s="19" t="s">
        <v>3105</v>
      </c>
      <c r="C527" s="20" t="s">
        <v>3106</v>
      </c>
      <c r="D527" s="20" t="s">
        <v>3107</v>
      </c>
      <c r="E527" s="21" t="s">
        <v>3108</v>
      </c>
      <c r="F527" s="23" t="s">
        <v>1043</v>
      </c>
      <c r="G527" s="32" t="s">
        <v>46</v>
      </c>
      <c r="H527" s="25" t="s">
        <v>47</v>
      </c>
      <c r="I527" s="23"/>
      <c r="J527" s="35" t="s">
        <v>3109</v>
      </c>
      <c r="K527" s="27" t="s">
        <v>50</v>
      </c>
      <c r="L527" s="13" t="s">
        <v>3110</v>
      </c>
      <c r="M527" s="26" t="str">
        <f>VLOOKUP(E527,'MTS 2026 registrations'!B:B,1,false)</f>
        <v>#N/A</v>
      </c>
      <c r="N527" s="26" t="str">
        <f>VLOOKUP(B527,'MTS 2026 registrations'!A:A,1,false)</f>
        <v>#N/A</v>
      </c>
      <c r="O527" s="38" t="str">
        <f t="shared" si="2"/>
        <v>Marked</v>
      </c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2.75" customHeight="1">
      <c r="A528" s="19" t="str">
        <f t="shared" si="1"/>
        <v>Aernoud Jongepier mail</v>
      </c>
      <c r="B528" s="19" t="s">
        <v>3111</v>
      </c>
      <c r="C528" s="20" t="s">
        <v>3112</v>
      </c>
      <c r="D528" s="20" t="s">
        <v>3113</v>
      </c>
      <c r="E528" s="21" t="s">
        <v>3114</v>
      </c>
      <c r="F528" s="23" t="s">
        <v>6</v>
      </c>
      <c r="G528" s="24" t="s">
        <v>225</v>
      </c>
      <c r="H528" s="25" t="s">
        <v>47</v>
      </c>
      <c r="I528" s="23"/>
      <c r="J528" s="35" t="s">
        <v>3115</v>
      </c>
      <c r="K528" s="27" t="s">
        <v>50</v>
      </c>
      <c r="L528" s="13" t="s">
        <v>3116</v>
      </c>
      <c r="M528" s="26" t="str">
        <f>VLOOKUP(E528,'MTS 2026 registrations'!B:B,1,false)</f>
        <v>#N/A</v>
      </c>
      <c r="N528" s="26" t="str">
        <f>VLOOKUP(B528,'MTS 2026 registrations'!A:A,1,false)</f>
        <v>#N/A</v>
      </c>
      <c r="O528" s="38" t="str">
        <f t="shared" si="2"/>
        <v>Marked</v>
      </c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2.75" customHeight="1">
      <c r="A529" s="19" t="str">
        <f t="shared" si="1"/>
        <v>Ahmed Hussein mindshiftventures</v>
      </c>
      <c r="B529" s="19" t="s">
        <v>3117</v>
      </c>
      <c r="C529" s="20" t="s">
        <v>80</v>
      </c>
      <c r="D529" s="20" t="s">
        <v>2487</v>
      </c>
      <c r="E529" s="21" t="s">
        <v>3118</v>
      </c>
      <c r="F529" s="23" t="s">
        <v>3119</v>
      </c>
      <c r="G529" s="24" t="s">
        <v>163</v>
      </c>
      <c r="H529" s="25" t="s">
        <v>164</v>
      </c>
      <c r="I529" s="23"/>
      <c r="J529" s="35" t="s">
        <v>3120</v>
      </c>
      <c r="K529" s="27" t="s">
        <v>50</v>
      </c>
      <c r="L529" s="13" t="s">
        <v>3121</v>
      </c>
      <c r="M529" s="26" t="str">
        <f>VLOOKUP(E529,'MTS 2026 registrations'!B:B,1,false)</f>
        <v>#N/A</v>
      </c>
      <c r="N529" s="26" t="str">
        <f>VLOOKUP(B529,'MTS 2026 registrations'!A:A,1,false)</f>
        <v>#N/A</v>
      </c>
      <c r="O529" s="38" t="str">
        <f t="shared" si="2"/>
        <v>Marked</v>
      </c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2.75" customHeight="1">
      <c r="A530" s="19" t="str">
        <f t="shared" si="1"/>
        <v>Aine Dolan f.institute</v>
      </c>
      <c r="B530" s="19" t="s">
        <v>3122</v>
      </c>
      <c r="C530" s="93" t="s">
        <v>3123</v>
      </c>
      <c r="D530" s="93" t="s">
        <v>3124</v>
      </c>
      <c r="E530" s="21" t="s">
        <v>3125</v>
      </c>
      <c r="F530" s="23" t="s">
        <v>3126</v>
      </c>
      <c r="G530" s="42" t="s">
        <v>69</v>
      </c>
      <c r="H530" s="25" t="s">
        <v>47</v>
      </c>
      <c r="I530" s="23"/>
      <c r="J530" s="35" t="s">
        <v>3127</v>
      </c>
      <c r="K530" s="27" t="s">
        <v>50</v>
      </c>
      <c r="L530" s="13" t="s">
        <v>3128</v>
      </c>
      <c r="M530" s="26" t="str">
        <f>VLOOKUP(E530,'MTS 2026 registrations'!B:B,1,false)</f>
        <v>#N/A</v>
      </c>
      <c r="N530" s="26" t="str">
        <f>VLOOKUP(B530,'MTS 2026 registrations'!A:A,1,false)</f>
        <v>#N/A</v>
      </c>
      <c r="O530" s="38" t="str">
        <f t="shared" si="2"/>
        <v>Marked</v>
      </c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2.75" customHeight="1">
      <c r="A531" s="19" t="str">
        <f t="shared" si="1"/>
        <v>Alain le Loux cottonwood</v>
      </c>
      <c r="B531" s="19" t="s">
        <v>3129</v>
      </c>
      <c r="C531" s="20" t="s">
        <v>3130</v>
      </c>
      <c r="D531" s="20" t="s">
        <v>3131</v>
      </c>
      <c r="E531" s="21" t="s">
        <v>3132</v>
      </c>
      <c r="F531" s="23" t="s">
        <v>3133</v>
      </c>
      <c r="G531" s="24" t="s">
        <v>163</v>
      </c>
      <c r="H531" s="25" t="s">
        <v>164</v>
      </c>
      <c r="I531" s="26"/>
      <c r="J531" s="35" t="s">
        <v>3134</v>
      </c>
      <c r="K531" s="27" t="s">
        <v>50</v>
      </c>
      <c r="L531" s="13" t="s">
        <v>3135</v>
      </c>
      <c r="M531" s="26" t="str">
        <f>VLOOKUP(E531,'MTS 2026 registrations'!B:B,1,false)</f>
        <v>#N/A</v>
      </c>
      <c r="N531" s="26" t="str">
        <f>VLOOKUP(B531,'MTS 2026 registrations'!A:A,1,false)</f>
        <v>#N/A</v>
      </c>
      <c r="O531" s="38" t="str">
        <f t="shared" si="2"/>
        <v>Marked</v>
      </c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34"/>
      <c r="AE531" s="34"/>
    </row>
    <row r="532" ht="12.75" customHeight="1">
      <c r="A532" s="19" t="str">
        <f t="shared" si="1"/>
        <v>Aldebert Wiersinga valuecreationcapital</v>
      </c>
      <c r="B532" s="19" t="s">
        <v>3136</v>
      </c>
      <c r="C532" s="20" t="s">
        <v>3137</v>
      </c>
      <c r="D532" s="20" t="s">
        <v>3138</v>
      </c>
      <c r="E532" s="21" t="s">
        <v>3139</v>
      </c>
      <c r="F532" s="23" t="s">
        <v>3140</v>
      </c>
      <c r="G532" s="24" t="s">
        <v>163</v>
      </c>
      <c r="H532" s="25" t="s">
        <v>164</v>
      </c>
      <c r="I532" s="26"/>
      <c r="J532" s="35" t="s">
        <v>3141</v>
      </c>
      <c r="K532" s="27" t="s">
        <v>50</v>
      </c>
      <c r="L532" s="13" t="s">
        <v>3142</v>
      </c>
      <c r="M532" s="26" t="str">
        <f>VLOOKUP(E532,'MTS 2026 registrations'!B:B,1,false)</f>
        <v>#N/A</v>
      </c>
      <c r="N532" s="26" t="str">
        <f>VLOOKUP(B532,'MTS 2026 registrations'!A:A,1,false)</f>
        <v>#N/A</v>
      </c>
      <c r="O532" s="38" t="str">
        <f t="shared" si="2"/>
        <v>Marked</v>
      </c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2.75" customHeight="1">
      <c r="A533" s="19" t="str">
        <f t="shared" si="1"/>
        <v>Alejandro Daniel Noel LatentWorlds AI</v>
      </c>
      <c r="B533" s="19" t="s">
        <v>3143</v>
      </c>
      <c r="C533" s="13" t="s">
        <v>3144</v>
      </c>
      <c r="D533" s="13" t="s">
        <v>3145</v>
      </c>
      <c r="E533" s="60" t="s">
        <v>3146</v>
      </c>
      <c r="F533" s="60" t="s">
        <v>3147</v>
      </c>
      <c r="G533" s="32" t="s">
        <v>46</v>
      </c>
      <c r="H533" s="25" t="s">
        <v>47</v>
      </c>
      <c r="I533" s="34"/>
      <c r="J533" s="35" t="s">
        <v>3148</v>
      </c>
      <c r="K533" s="27" t="s">
        <v>50</v>
      </c>
      <c r="L533" s="13" t="s">
        <v>3149</v>
      </c>
      <c r="M533" s="26" t="str">
        <f>VLOOKUP(E533,'MTS 2026 registrations'!B:B,1,false)</f>
        <v>#N/A</v>
      </c>
      <c r="N533" s="26" t="str">
        <f>VLOOKUP(B533,'MTS 2026 registrations'!A:A,1,false)</f>
        <v>#N/A</v>
      </c>
      <c r="O533" s="38" t="str">
        <f t="shared" si="2"/>
        <v>Marked</v>
      </c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23"/>
      <c r="AE533" s="23"/>
    </row>
    <row r="534" ht="12.75" customHeight="1">
      <c r="A534" s="19" t="str">
        <f t="shared" si="1"/>
        <v>Aleksandar Giga tudelft</v>
      </c>
      <c r="B534" s="19" t="s">
        <v>3150</v>
      </c>
      <c r="C534" s="29" t="s">
        <v>3151</v>
      </c>
      <c r="D534" s="29" t="s">
        <v>3152</v>
      </c>
      <c r="E534" s="30" t="s">
        <v>3153</v>
      </c>
      <c r="F534" s="29" t="s">
        <v>184</v>
      </c>
      <c r="G534" s="32" t="s">
        <v>43</v>
      </c>
      <c r="H534" s="13" t="s">
        <v>213</v>
      </c>
      <c r="I534" s="34"/>
      <c r="J534" s="35" t="s">
        <v>3154</v>
      </c>
      <c r="K534" s="27" t="s">
        <v>50</v>
      </c>
      <c r="L534" s="13" t="s">
        <v>3155</v>
      </c>
      <c r="M534" s="26" t="str">
        <f>VLOOKUP(E534,'MTS 2026 registrations'!B:B,1,false)</f>
        <v>#N/A</v>
      </c>
      <c r="N534" s="26" t="str">
        <f>VLOOKUP(B534,'MTS 2026 registrations'!A:A,1,false)</f>
        <v>#N/A</v>
      </c>
      <c r="O534" s="38" t="str">
        <f t="shared" si="2"/>
        <v>Marked</v>
      </c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34"/>
      <c r="AE534" s="34"/>
    </row>
    <row r="535" ht="12.75" customHeight="1">
      <c r="A535" s="19" t="str">
        <f t="shared" si="1"/>
        <v>Aleksandra Wrobel </v>
      </c>
      <c r="B535" s="19" t="s">
        <v>3156</v>
      </c>
      <c r="C535" s="20" t="s">
        <v>3157</v>
      </c>
      <c r="D535" s="20" t="s">
        <v>3158</v>
      </c>
      <c r="E535" s="21" t="s">
        <v>3159</v>
      </c>
      <c r="F535" s="52"/>
      <c r="G535" s="24" t="s">
        <v>225</v>
      </c>
      <c r="H535" s="25" t="s">
        <v>47</v>
      </c>
      <c r="I535" s="26"/>
      <c r="J535" s="35" t="s">
        <v>3160</v>
      </c>
      <c r="K535" s="27" t="s">
        <v>50</v>
      </c>
      <c r="L535" s="13" t="s">
        <v>3161</v>
      </c>
      <c r="M535" s="26" t="str">
        <f>VLOOKUP(E535,'MTS 2026 registrations'!B:B,1,false)</f>
        <v>#N/A</v>
      </c>
      <c r="N535" s="26" t="str">
        <f>VLOOKUP(B535,'MTS 2026 registrations'!A:A,1,false)</f>
        <v>#N/A</v>
      </c>
      <c r="O535" s="38" t="str">
        <f t="shared" si="2"/>
        <v>Marked</v>
      </c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2.75" customHeight="1">
      <c r="A536" s="19" t="str">
        <f t="shared" si="1"/>
        <v>Aleksandre Japaridze soundcell</v>
      </c>
      <c r="B536" s="19" t="s">
        <v>3162</v>
      </c>
      <c r="C536" s="20" t="s">
        <v>3163</v>
      </c>
      <c r="D536" s="20" t="s">
        <v>3164</v>
      </c>
      <c r="E536" s="21" t="s">
        <v>3165</v>
      </c>
      <c r="F536" s="23" t="s">
        <v>3166</v>
      </c>
      <c r="G536" s="32" t="s">
        <v>46</v>
      </c>
      <c r="H536" s="25" t="s">
        <v>47</v>
      </c>
      <c r="I536" s="23"/>
      <c r="J536" s="35" t="s">
        <v>3167</v>
      </c>
      <c r="K536" s="27" t="s">
        <v>50</v>
      </c>
      <c r="L536" s="13" t="s">
        <v>3168</v>
      </c>
      <c r="M536" s="26" t="str">
        <f>VLOOKUP(E536,'MTS 2026 registrations'!B:B,1,false)</f>
        <v>#N/A</v>
      </c>
      <c r="N536" s="26" t="str">
        <f>VLOOKUP(B536,'MTS 2026 registrations'!A:A,1,false)</f>
        <v>#N/A</v>
      </c>
      <c r="O536" s="38" t="str">
        <f t="shared" si="2"/>
        <v>Marked</v>
      </c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2.75" customHeight="1">
      <c r="A537" s="19" t="str">
        <f t="shared" si="1"/>
        <v>Alessandro Zaccaria 360cap</v>
      </c>
      <c r="B537" s="19" t="s">
        <v>3169</v>
      </c>
      <c r="C537" s="20" t="s">
        <v>357</v>
      </c>
      <c r="D537" s="20" t="s">
        <v>3170</v>
      </c>
      <c r="E537" s="21" t="s">
        <v>3171</v>
      </c>
      <c r="F537" s="23" t="s">
        <v>3172</v>
      </c>
      <c r="G537" s="24" t="s">
        <v>163</v>
      </c>
      <c r="H537" s="25" t="s">
        <v>164</v>
      </c>
      <c r="I537" s="26"/>
      <c r="J537" s="35" t="s">
        <v>3173</v>
      </c>
      <c r="K537" s="27" t="s">
        <v>50</v>
      </c>
      <c r="L537" s="13" t="s">
        <v>3174</v>
      </c>
      <c r="M537" s="26" t="str">
        <f>VLOOKUP(E537,'MTS 2026 registrations'!B:B,1,false)</f>
        <v>#N/A</v>
      </c>
      <c r="N537" s="26" t="str">
        <f>VLOOKUP(B537,'MTS 2026 registrations'!A:A,1,false)</f>
        <v>#N/A</v>
      </c>
      <c r="O537" s="38" t="str">
        <f t="shared" si="2"/>
        <v>Marked</v>
      </c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2.75" customHeight="1">
      <c r="A538" s="19" t="str">
        <f t="shared" si="1"/>
        <v>Alessandro Mancinelli AerogridUAV</v>
      </c>
      <c r="B538" s="19" t="s">
        <v>3175</v>
      </c>
      <c r="C538" s="13" t="s">
        <v>357</v>
      </c>
      <c r="D538" s="13" t="s">
        <v>3176</v>
      </c>
      <c r="E538" s="60" t="s">
        <v>3177</v>
      </c>
      <c r="F538" s="60" t="s">
        <v>3178</v>
      </c>
      <c r="G538" s="32" t="s">
        <v>46</v>
      </c>
      <c r="H538" s="25" t="s">
        <v>47</v>
      </c>
      <c r="I538" s="34"/>
      <c r="J538" s="35" t="s">
        <v>3179</v>
      </c>
      <c r="K538" s="27" t="s">
        <v>50</v>
      </c>
      <c r="L538" s="13" t="s">
        <v>3180</v>
      </c>
      <c r="M538" s="26" t="str">
        <f>VLOOKUP(E538,'MTS 2026 registrations'!B:B,1,false)</f>
        <v>#N/A</v>
      </c>
      <c r="N538" s="26" t="str">
        <f>VLOOKUP(B538,'MTS 2026 registrations'!A:A,1,false)</f>
        <v>#N/A</v>
      </c>
      <c r="O538" s="38" t="str">
        <f t="shared" si="2"/>
        <v>Marked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23"/>
      <c r="AE538" s="23"/>
    </row>
    <row r="539" ht="12.75" customHeight="1">
      <c r="A539" s="19" t="str">
        <f t="shared" si="1"/>
        <v>Aletta Stas-Bax </v>
      </c>
      <c r="B539" s="19" t="s">
        <v>3181</v>
      </c>
      <c r="C539" s="20" t="s">
        <v>3182</v>
      </c>
      <c r="D539" s="20" t="s">
        <v>3183</v>
      </c>
      <c r="E539" s="21" t="s">
        <v>3184</v>
      </c>
      <c r="F539" s="52"/>
      <c r="G539" s="24" t="s">
        <v>29</v>
      </c>
      <c r="H539" s="25" t="s">
        <v>47</v>
      </c>
      <c r="I539" s="26"/>
      <c r="J539" s="35" t="s">
        <v>3185</v>
      </c>
      <c r="K539" s="27" t="s">
        <v>50</v>
      </c>
      <c r="L539" s="27" t="s">
        <v>3186</v>
      </c>
      <c r="M539" s="26" t="str">
        <f>VLOOKUP(E539,'MTS 2026 registrations'!B:B,1,false)</f>
        <v>#N/A</v>
      </c>
      <c r="N539" s="26" t="str">
        <f>VLOOKUP(B539,'MTS 2026 registrations'!A:A,1,false)</f>
        <v>#N/A</v>
      </c>
      <c r="O539" s="38" t="str">
        <f t="shared" si="2"/>
        <v>Marked</v>
      </c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34"/>
      <c r="AE539" s="34"/>
    </row>
    <row r="540" ht="12.75" customHeight="1">
      <c r="A540" s="19" t="str">
        <f t="shared" si="1"/>
        <v>Alex Koch freigeist</v>
      </c>
      <c r="B540" s="19" t="s">
        <v>3187</v>
      </c>
      <c r="C540" s="20" t="s">
        <v>3188</v>
      </c>
      <c r="D540" s="20" t="s">
        <v>3189</v>
      </c>
      <c r="E540" s="21" t="s">
        <v>3190</v>
      </c>
      <c r="F540" s="23" t="s">
        <v>3191</v>
      </c>
      <c r="G540" s="24" t="s">
        <v>163</v>
      </c>
      <c r="H540" s="25" t="s">
        <v>164</v>
      </c>
      <c r="I540" s="23"/>
      <c r="J540" s="35" t="s">
        <v>3192</v>
      </c>
      <c r="K540" s="27" t="s">
        <v>50</v>
      </c>
      <c r="L540" s="13" t="s">
        <v>3193</v>
      </c>
      <c r="M540" s="26" t="str">
        <f>VLOOKUP(E540,'MTS 2026 registrations'!B:B,1,false)</f>
        <v>alex@freigeist.com</v>
      </c>
      <c r="N540" s="26" t="str">
        <f>VLOOKUP(B540,'MTS 2026 registrations'!A:A,1,false)</f>
        <v>Alex Koch</v>
      </c>
      <c r="O540" s="38" t="str">
        <f t="shared" si="2"/>
        <v/>
      </c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2.75" customHeight="1">
      <c r="A541" s="19" t="str">
        <f t="shared" si="1"/>
        <v>Alex Bakir Norrsken VC</v>
      </c>
      <c r="B541" s="19" t="s">
        <v>3194</v>
      </c>
      <c r="C541" s="20" t="s">
        <v>3188</v>
      </c>
      <c r="D541" s="20" t="s">
        <v>3195</v>
      </c>
      <c r="E541" s="21" t="s">
        <v>3196</v>
      </c>
      <c r="F541" s="49" t="s">
        <v>2944</v>
      </c>
      <c r="G541" s="24" t="s">
        <v>163</v>
      </c>
      <c r="H541" s="26" t="s">
        <v>164</v>
      </c>
      <c r="I541" s="13"/>
      <c r="J541" s="35" t="s">
        <v>3197</v>
      </c>
      <c r="K541" s="27" t="s">
        <v>50</v>
      </c>
      <c r="L541" s="25" t="s">
        <v>3198</v>
      </c>
      <c r="M541" s="26" t="str">
        <f>VLOOKUP(E541,'MTS 2026 registrations'!B:B,1,false)</f>
        <v>#N/A</v>
      </c>
      <c r="N541" s="26" t="str">
        <f>VLOOKUP(B541,'MTS 2026 registrations'!A:A,1,false)</f>
        <v>#N/A</v>
      </c>
      <c r="O541" s="38" t="str">
        <f t="shared" si="2"/>
        <v>Marked</v>
      </c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</row>
    <row r="542" ht="12.75" customHeight="1">
      <c r="A542" s="19" t="str">
        <f t="shared" si="1"/>
        <v>Alex Langguth uebermorgen</v>
      </c>
      <c r="B542" s="19" t="s">
        <v>3199</v>
      </c>
      <c r="C542" s="20" t="s">
        <v>3188</v>
      </c>
      <c r="D542" s="20" t="s">
        <v>3200</v>
      </c>
      <c r="E542" s="21" t="s">
        <v>3201</v>
      </c>
      <c r="F542" s="23" t="s">
        <v>3202</v>
      </c>
      <c r="G542" s="24" t="s">
        <v>163</v>
      </c>
      <c r="H542" s="25" t="s">
        <v>164</v>
      </c>
      <c r="I542" s="26"/>
      <c r="J542" s="35" t="s">
        <v>3203</v>
      </c>
      <c r="K542" s="27" t="s">
        <v>50</v>
      </c>
      <c r="L542" s="13" t="s">
        <v>3204</v>
      </c>
      <c r="M542" s="26" t="str">
        <f>VLOOKUP(E542,'MTS 2026 registrations'!B:B,1,false)</f>
        <v>#N/A</v>
      </c>
      <c r="N542" s="26" t="str">
        <f>VLOOKUP(B542,'MTS 2026 registrations'!A:A,1,false)</f>
        <v>#N/A</v>
      </c>
      <c r="O542" s="38" t="str">
        <f t="shared" si="2"/>
        <v>Marked</v>
      </c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2.75" customHeight="1">
      <c r="A543" s="19" t="str">
        <f t="shared" si="1"/>
        <v>Alexander Ribbink keenventurepartners</v>
      </c>
      <c r="B543" s="19" t="s">
        <v>3205</v>
      </c>
      <c r="C543" s="20" t="s">
        <v>1502</v>
      </c>
      <c r="D543" s="20" t="s">
        <v>3206</v>
      </c>
      <c r="E543" s="21" t="s">
        <v>3207</v>
      </c>
      <c r="F543" s="23" t="s">
        <v>3208</v>
      </c>
      <c r="G543" s="24" t="s">
        <v>163</v>
      </c>
      <c r="H543" s="25" t="s">
        <v>164</v>
      </c>
      <c r="I543" s="23"/>
      <c r="J543" s="124" t="s">
        <v>3209</v>
      </c>
      <c r="K543" s="27" t="s">
        <v>50</v>
      </c>
      <c r="L543" s="13" t="s">
        <v>3210</v>
      </c>
      <c r="M543" s="26" t="str">
        <f>VLOOKUP(E543,'MTS 2026 registrations'!B:B,1,false)</f>
        <v>#N/A</v>
      </c>
      <c r="N543" s="26" t="str">
        <f>VLOOKUP(B543,'MTS 2026 registrations'!A:A,1,false)</f>
        <v>#N/A</v>
      </c>
      <c r="O543" s="38" t="str">
        <f t="shared" si="2"/>
        <v>Marked</v>
      </c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2.75" customHeight="1">
      <c r="A544" s="19" t="str">
        <f t="shared" si="1"/>
        <v>Alexander Gunkel </v>
      </c>
      <c r="B544" s="19" t="s">
        <v>3211</v>
      </c>
      <c r="C544" s="20" t="s">
        <v>1502</v>
      </c>
      <c r="D544" s="20" t="s">
        <v>3212</v>
      </c>
      <c r="E544" s="21" t="s">
        <v>3213</v>
      </c>
      <c r="F544" s="52"/>
      <c r="G544" s="24" t="s">
        <v>29</v>
      </c>
      <c r="H544" s="25" t="s">
        <v>47</v>
      </c>
      <c r="I544" s="26"/>
      <c r="J544" s="35" t="s">
        <v>3214</v>
      </c>
      <c r="K544" s="27" t="s">
        <v>50</v>
      </c>
      <c r="L544" s="27" t="s">
        <v>3215</v>
      </c>
      <c r="M544" s="26" t="str">
        <f>VLOOKUP(E544,'MTS 2026 registrations'!B:B,1,false)</f>
        <v>#N/A</v>
      </c>
      <c r="N544" s="26" t="str">
        <f>VLOOKUP(B544,'MTS 2026 registrations'!A:A,1,false)</f>
        <v>#N/A</v>
      </c>
      <c r="O544" s="38" t="str">
        <f t="shared" si="2"/>
        <v>Marked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2.75" customHeight="1">
      <c r="A545" s="19" t="str">
        <f t="shared" si="1"/>
        <v>Alexandra Pinto hoursec.</v>
      </c>
      <c r="B545" s="19" t="s">
        <v>3216</v>
      </c>
      <c r="C545" s="20" t="s">
        <v>1507</v>
      </c>
      <c r="D545" s="20" t="s">
        <v>3217</v>
      </c>
      <c r="E545" s="112" t="s">
        <v>3218</v>
      </c>
      <c r="F545" s="26" t="s">
        <v>3219</v>
      </c>
      <c r="G545" s="44" t="s">
        <v>46</v>
      </c>
      <c r="H545" s="25" t="s">
        <v>47</v>
      </c>
      <c r="I545" s="23"/>
      <c r="J545" s="35" t="s">
        <v>3220</v>
      </c>
      <c r="K545" s="27" t="s">
        <v>50</v>
      </c>
      <c r="L545" s="13" t="s">
        <v>3221</v>
      </c>
      <c r="M545" s="26" t="str">
        <f>VLOOKUP(E545,'MTS 2026 registrations'!B:B,1,false)</f>
        <v>alexandra.pinto@hoursec.tech</v>
      </c>
      <c r="N545" s="26" t="str">
        <f>VLOOKUP(B545,'MTS 2026 registrations'!A:A,1,false)</f>
        <v>Alexandra Pinto</v>
      </c>
      <c r="O545" s="38" t="str">
        <f t="shared" si="2"/>
        <v/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2.75" customHeight="1">
      <c r="A546" s="19" t="str">
        <f t="shared" si="1"/>
        <v>Alfred Lam chrysalix</v>
      </c>
      <c r="B546" s="19" t="s">
        <v>3222</v>
      </c>
      <c r="C546" s="20" t="s">
        <v>3223</v>
      </c>
      <c r="D546" s="20" t="s">
        <v>3224</v>
      </c>
      <c r="E546" s="21" t="s">
        <v>3225</v>
      </c>
      <c r="F546" s="23" t="s">
        <v>3226</v>
      </c>
      <c r="G546" s="24" t="s">
        <v>163</v>
      </c>
      <c r="H546" s="25" t="s">
        <v>164</v>
      </c>
      <c r="I546" s="26"/>
      <c r="J546" s="35" t="s">
        <v>3227</v>
      </c>
      <c r="K546" s="27" t="s">
        <v>50</v>
      </c>
      <c r="L546" s="13" t="s">
        <v>3228</v>
      </c>
      <c r="M546" s="26" t="str">
        <f>VLOOKUP(E546,'MTS 2026 registrations'!B:B,1,false)</f>
        <v>#N/A</v>
      </c>
      <c r="N546" s="26" t="str">
        <f>VLOOKUP(B546,'MTS 2026 registrations'!A:A,1,false)</f>
        <v>#N/A</v>
      </c>
      <c r="O546" s="38" t="str">
        <f t="shared" si="2"/>
        <v>Marked</v>
      </c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2.75" customHeight="1">
      <c r="A547" s="19" t="str">
        <f t="shared" si="1"/>
        <v>Ali Hosseini innoboom</v>
      </c>
      <c r="B547" s="19" t="s">
        <v>3229</v>
      </c>
      <c r="C547" s="116" t="s">
        <v>3230</v>
      </c>
      <c r="D547" s="20" t="s">
        <v>3231</v>
      </c>
      <c r="E547" s="21" t="s">
        <v>3232</v>
      </c>
      <c r="F547" s="23" t="s">
        <v>3233</v>
      </c>
      <c r="G547" s="32" t="s">
        <v>46</v>
      </c>
      <c r="H547" s="25" t="s">
        <v>47</v>
      </c>
      <c r="I547" s="23"/>
      <c r="J547" s="35" t="s">
        <v>3234</v>
      </c>
      <c r="K547" s="27" t="s">
        <v>50</v>
      </c>
      <c r="L547" s="13" t="s">
        <v>3235</v>
      </c>
      <c r="M547" s="26" t="str">
        <f>VLOOKUP(E547,'MTS 2026 registrations'!B:B,1,false)</f>
        <v>#N/A</v>
      </c>
      <c r="N547" s="26" t="str">
        <f>VLOOKUP(B547,'MTS 2026 registrations'!A:A,1,false)</f>
        <v>#N/A</v>
      </c>
      <c r="O547" s="38" t="str">
        <f t="shared" si="2"/>
        <v>Marked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2.75" customHeight="1">
      <c r="A548" s="19" t="str">
        <f t="shared" si="1"/>
        <v>Ali Najafbagy 4impact</v>
      </c>
      <c r="B548" s="19" t="s">
        <v>3236</v>
      </c>
      <c r="C548" s="20" t="s">
        <v>3230</v>
      </c>
      <c r="D548" s="20" t="s">
        <v>3237</v>
      </c>
      <c r="E548" s="21" t="s">
        <v>3238</v>
      </c>
      <c r="F548" s="23" t="s">
        <v>3239</v>
      </c>
      <c r="G548" s="24" t="s">
        <v>163</v>
      </c>
      <c r="H548" s="25" t="s">
        <v>164</v>
      </c>
      <c r="I548" s="26"/>
      <c r="J548" s="35" t="s">
        <v>3240</v>
      </c>
      <c r="K548" s="27" t="s">
        <v>50</v>
      </c>
      <c r="L548" s="13" t="s">
        <v>3241</v>
      </c>
      <c r="M548" s="26" t="str">
        <f>VLOOKUP(E548,'MTS 2026 registrations'!B:B,1,false)</f>
        <v>#N/A</v>
      </c>
      <c r="N548" s="26" t="str">
        <f>VLOOKUP(B548,'MTS 2026 registrations'!A:A,1,false)</f>
        <v>#N/A</v>
      </c>
      <c r="O548" s="38" t="str">
        <f t="shared" si="2"/>
        <v>Marked</v>
      </c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2.75" customHeight="1">
      <c r="A549" s="19" t="str">
        <f t="shared" si="1"/>
        <v>Alice Schutter EDAPHON</v>
      </c>
      <c r="B549" s="19" t="s">
        <v>3242</v>
      </c>
      <c r="C549" s="20" t="s">
        <v>3243</v>
      </c>
      <c r="D549" s="20" t="s">
        <v>3244</v>
      </c>
      <c r="E549" s="21" t="s">
        <v>3245</v>
      </c>
      <c r="F549" s="49" t="s">
        <v>3246</v>
      </c>
      <c r="G549" s="24" t="s">
        <v>163</v>
      </c>
      <c r="H549" s="26" t="s">
        <v>164</v>
      </c>
      <c r="I549" s="13"/>
      <c r="J549" s="35" t="s">
        <v>3247</v>
      </c>
      <c r="K549" s="27" t="s">
        <v>50</v>
      </c>
      <c r="L549" s="25" t="s">
        <v>3248</v>
      </c>
      <c r="M549" s="26" t="str">
        <f>VLOOKUP(E549,'MTS 2026 registrations'!B:B,1,false)</f>
        <v>#N/A</v>
      </c>
      <c r="N549" s="26" t="str">
        <f>VLOOKUP(B549,'MTS 2026 registrations'!A:A,1,false)</f>
        <v>#N/A</v>
      </c>
      <c r="O549" s="38" t="str">
        <f t="shared" si="2"/>
        <v>Marked</v>
      </c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</row>
    <row r="550" ht="12.75" customHeight="1">
      <c r="A550" s="19" t="str">
        <f t="shared" si="1"/>
        <v>Alina Chanaewa Skytree (Giaura)</v>
      </c>
      <c r="B550" s="19" t="s">
        <v>3249</v>
      </c>
      <c r="C550" s="29" t="s">
        <v>3250</v>
      </c>
      <c r="D550" s="29" t="s">
        <v>3251</v>
      </c>
      <c r="E550" s="31" t="s">
        <v>3252</v>
      </c>
      <c r="F550" s="33" t="s">
        <v>3253</v>
      </c>
      <c r="G550" s="24" t="s">
        <v>46</v>
      </c>
      <c r="H550" s="25" t="s">
        <v>47</v>
      </c>
      <c r="I550" s="34"/>
      <c r="J550" s="35" t="s">
        <v>3254</v>
      </c>
      <c r="K550" s="27" t="s">
        <v>50</v>
      </c>
      <c r="L550" s="13" t="s">
        <v>3255</v>
      </c>
      <c r="M550" s="26" t="str">
        <f>VLOOKUP(E550,'MTS 2026 registrations'!B:B,1,false)</f>
        <v>#N/A</v>
      </c>
      <c r="N550" s="26" t="str">
        <f>VLOOKUP(B550,'MTS 2026 registrations'!A:A,1,false)</f>
        <v>#N/A</v>
      </c>
      <c r="O550" s="38" t="str">
        <f t="shared" si="2"/>
        <v>Marked</v>
      </c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23"/>
      <c r="AE550" s="23"/>
    </row>
    <row r="551" ht="12.75" customHeight="1">
      <c r="A551" s="19" t="str">
        <f t="shared" si="1"/>
        <v>Alireza Samiei </v>
      </c>
      <c r="B551" s="19" t="s">
        <v>3256</v>
      </c>
      <c r="C551" s="20" t="s">
        <v>3257</v>
      </c>
      <c r="D551" s="93" t="s">
        <v>3258</v>
      </c>
      <c r="E551" s="21" t="s">
        <v>3259</v>
      </c>
      <c r="F551" s="52"/>
      <c r="G551" s="32" t="s">
        <v>46</v>
      </c>
      <c r="H551" s="25" t="s">
        <v>47</v>
      </c>
      <c r="I551" s="26"/>
      <c r="J551" s="35" t="s">
        <v>3260</v>
      </c>
      <c r="K551" s="27" t="s">
        <v>50</v>
      </c>
      <c r="L551" s="13" t="s">
        <v>3261</v>
      </c>
      <c r="M551" s="26" t="str">
        <f>VLOOKUP(E551,'MTS 2026 registrations'!B:B,1,false)</f>
        <v>#N/A</v>
      </c>
      <c r="N551" s="26" t="str">
        <f>VLOOKUP(B551,'MTS 2026 registrations'!A:A,1,false)</f>
        <v>#N/A</v>
      </c>
      <c r="O551" s="38" t="str">
        <f t="shared" si="2"/>
        <v>Marked</v>
      </c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23"/>
      <c r="AE551" s="23"/>
    </row>
    <row r="552" ht="12.75" customHeight="1">
      <c r="A552" s="19" t="str">
        <f t="shared" si="1"/>
        <v>Aljosja Beije blocklab</v>
      </c>
      <c r="B552" s="19" t="s">
        <v>3262</v>
      </c>
      <c r="C552" s="20" t="s">
        <v>3263</v>
      </c>
      <c r="D552" s="20" t="s">
        <v>3264</v>
      </c>
      <c r="E552" s="21" t="s">
        <v>3265</v>
      </c>
      <c r="F552" s="23" t="s">
        <v>3266</v>
      </c>
      <c r="G552" s="42" t="s">
        <v>69</v>
      </c>
      <c r="H552" s="25" t="s">
        <v>47</v>
      </c>
      <c r="I552" s="26"/>
      <c r="J552" s="35" t="s">
        <v>3267</v>
      </c>
      <c r="K552" s="27" t="s">
        <v>50</v>
      </c>
      <c r="L552" s="13" t="s">
        <v>3268</v>
      </c>
      <c r="M552" s="26" t="str">
        <f>VLOOKUP(E552,'MTS 2026 registrations'!B:B,1,false)</f>
        <v>#N/A</v>
      </c>
      <c r="N552" s="26" t="str">
        <f>VLOOKUP(B552,'MTS 2026 registrations'!A:A,1,false)</f>
        <v>#N/A</v>
      </c>
      <c r="O552" s="38" t="str">
        <f t="shared" si="2"/>
        <v>Marked</v>
      </c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2.75" customHeight="1">
      <c r="A553" s="19" t="str">
        <f t="shared" si="1"/>
        <v>Allard van Velzen Netsam participaties</v>
      </c>
      <c r="B553" s="19" t="s">
        <v>3269</v>
      </c>
      <c r="C553" s="161" t="s">
        <v>3270</v>
      </c>
      <c r="D553" s="161" t="s">
        <v>3271</v>
      </c>
      <c r="E553" s="128" t="s">
        <v>3272</v>
      </c>
      <c r="F553" s="66" t="s">
        <v>3273</v>
      </c>
      <c r="G553" s="42" t="s">
        <v>163</v>
      </c>
      <c r="H553" s="25" t="s">
        <v>164</v>
      </c>
      <c r="I553" s="34"/>
      <c r="J553" s="35" t="s">
        <v>3274</v>
      </c>
      <c r="K553" s="27" t="s">
        <v>50</v>
      </c>
      <c r="L553" s="13" t="s">
        <v>3275</v>
      </c>
      <c r="M553" s="26" t="str">
        <f>VLOOKUP(E553,'MTS 2026 registrations'!B:B,1,false)</f>
        <v>#N/A</v>
      </c>
      <c r="N553" s="26" t="str">
        <f>VLOOKUP(B553,'MTS 2026 registrations'!A:A,1,false)</f>
        <v>#N/A</v>
      </c>
      <c r="O553" s="38" t="str">
        <f t="shared" si="2"/>
        <v>Marked</v>
      </c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23"/>
      <c r="AE553" s="23"/>
    </row>
    <row r="554" ht="12.75" customHeight="1">
      <c r="A554" s="19" t="str">
        <f t="shared" si="1"/>
        <v>Allegra Kowalewski-Ferreira b-t.energy</v>
      </c>
      <c r="B554" s="19" t="s">
        <v>3276</v>
      </c>
      <c r="C554" s="20" t="s">
        <v>3277</v>
      </c>
      <c r="D554" s="20" t="s">
        <v>3278</v>
      </c>
      <c r="E554" s="21" t="s">
        <v>3279</v>
      </c>
      <c r="F554" s="23" t="s">
        <v>3280</v>
      </c>
      <c r="G554" s="24" t="s">
        <v>163</v>
      </c>
      <c r="H554" s="25" t="s">
        <v>164</v>
      </c>
      <c r="I554" s="26"/>
      <c r="J554" s="35" t="s">
        <v>3281</v>
      </c>
      <c r="K554" s="27" t="s">
        <v>50</v>
      </c>
      <c r="L554" s="13" t="s">
        <v>3282</v>
      </c>
      <c r="M554" s="26" t="str">
        <f>VLOOKUP(E554,'MTS 2026 registrations'!B:B,1,false)</f>
        <v>#N/A</v>
      </c>
      <c r="N554" s="26" t="str">
        <f>VLOOKUP(B554,'MTS 2026 registrations'!A:A,1,false)</f>
        <v>#N/A</v>
      </c>
      <c r="O554" s="38" t="str">
        <f t="shared" si="2"/>
        <v>Marked</v>
      </c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2.75" customHeight="1">
      <c r="A555" s="19" t="str">
        <f t="shared" si="1"/>
        <v>Amanda Birkenholz uvcpartners</v>
      </c>
      <c r="B555" s="19" t="s">
        <v>3283</v>
      </c>
      <c r="C555" s="116" t="s">
        <v>3284</v>
      </c>
      <c r="D555" s="116" t="s">
        <v>3285</v>
      </c>
      <c r="E555" s="112" t="s">
        <v>3286</v>
      </c>
      <c r="F555" s="23" t="s">
        <v>3287</v>
      </c>
      <c r="G555" s="24" t="s">
        <v>163</v>
      </c>
      <c r="H555" s="25" t="s">
        <v>164</v>
      </c>
      <c r="I555" s="26"/>
      <c r="J555" s="35" t="s">
        <v>3288</v>
      </c>
      <c r="K555" s="27" t="s">
        <v>50</v>
      </c>
      <c r="L555" s="13" t="s">
        <v>3289</v>
      </c>
      <c r="M555" s="26" t="str">
        <f>VLOOKUP(E555,'MTS 2026 registrations'!B:B,1,false)</f>
        <v>#N/A</v>
      </c>
      <c r="N555" s="26" t="str">
        <f>VLOOKUP(B555,'MTS 2026 registrations'!A:A,1,false)</f>
        <v>#N/A</v>
      </c>
      <c r="O555" s="38" t="str">
        <f t="shared" si="2"/>
        <v>Marked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23"/>
      <c r="AE555" s="23"/>
    </row>
    <row r="556" ht="12.75" customHeight="1">
      <c r="A556" s="19" t="str">
        <f t="shared" si="1"/>
        <v>AmberTest2 Marijs yesdelft</v>
      </c>
      <c r="B556" s="19" t="s">
        <v>3290</v>
      </c>
      <c r="C556" s="116" t="s">
        <v>3291</v>
      </c>
      <c r="D556" s="20" t="s">
        <v>3292</v>
      </c>
      <c r="E556" s="21" t="s">
        <v>3293</v>
      </c>
      <c r="F556" s="23" t="s">
        <v>2267</v>
      </c>
      <c r="G556" s="24" t="s">
        <v>29</v>
      </c>
      <c r="H556" s="25" t="s">
        <v>139</v>
      </c>
      <c r="I556" s="26"/>
      <c r="J556" s="35" t="s">
        <v>3294</v>
      </c>
      <c r="K556" s="27" t="s">
        <v>50</v>
      </c>
      <c r="L556" s="25" t="s">
        <v>3295</v>
      </c>
      <c r="M556" s="26" t="str">
        <f>VLOOKUP(E556,'MTS 2026 registrations'!B:B,1,false)</f>
        <v>amber@yesdelft.nl</v>
      </c>
      <c r="N556" s="26" t="str">
        <f>VLOOKUP(B556,'MTS 2026 registrations'!A:A,1,false)</f>
        <v>#N/A</v>
      </c>
      <c r="O556" s="38" t="str">
        <f t="shared" si="2"/>
        <v/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2.75" customHeight="1">
      <c r="A557" s="19" t="str">
        <f t="shared" si="1"/>
        <v>Andra Stanciu hometeam</v>
      </c>
      <c r="B557" s="19" t="s">
        <v>3296</v>
      </c>
      <c r="C557" s="20" t="s">
        <v>3297</v>
      </c>
      <c r="D557" s="20" t="s">
        <v>3298</v>
      </c>
      <c r="E557" s="21" t="s">
        <v>3299</v>
      </c>
      <c r="F557" s="23" t="s">
        <v>3300</v>
      </c>
      <c r="G557" s="24" t="s">
        <v>163</v>
      </c>
      <c r="H557" s="25" t="s">
        <v>164</v>
      </c>
      <c r="I557" s="49"/>
      <c r="J557" s="35" t="s">
        <v>3301</v>
      </c>
      <c r="K557" s="27" t="s">
        <v>50</v>
      </c>
      <c r="L557" s="13" t="s">
        <v>3302</v>
      </c>
      <c r="M557" s="26" t="str">
        <f>VLOOKUP(E557,'MTS 2026 registrations'!B:B,1,false)</f>
        <v>#N/A</v>
      </c>
      <c r="N557" s="26" t="str">
        <f>VLOOKUP(B557,'MTS 2026 registrations'!A:A,1,false)</f>
        <v>#N/A</v>
      </c>
      <c r="O557" s="38" t="str">
        <f t="shared" si="2"/>
        <v>Marked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2.75" customHeight="1">
      <c r="A558" s="19" t="str">
        <f t="shared" si="1"/>
        <v>Andras Palffy perciv</v>
      </c>
      <c r="B558" s="19" t="s">
        <v>3303</v>
      </c>
      <c r="C558" s="20" t="s">
        <v>3304</v>
      </c>
      <c r="D558" s="20" t="s">
        <v>3305</v>
      </c>
      <c r="E558" s="62" t="s">
        <v>3306</v>
      </c>
      <c r="F558" s="23" t="s">
        <v>3307</v>
      </c>
      <c r="G558" s="32" t="s">
        <v>46</v>
      </c>
      <c r="H558" s="25" t="s">
        <v>47</v>
      </c>
      <c r="I558" s="23"/>
      <c r="J558" s="35" t="s">
        <v>3308</v>
      </c>
      <c r="K558" s="27" t="s">
        <v>50</v>
      </c>
      <c r="L558" s="13" t="s">
        <v>3309</v>
      </c>
      <c r="M558" s="26" t="str">
        <f>VLOOKUP(E558,'MTS 2026 registrations'!B:B,1,false)</f>
        <v>#N/A</v>
      </c>
      <c r="N558" s="26" t="str">
        <f>VLOOKUP(B558,'MTS 2026 registrations'!A:A,1,false)</f>
        <v>#N/A</v>
      </c>
      <c r="O558" s="38" t="str">
        <f t="shared" si="2"/>
        <v>Marked</v>
      </c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2.75" customHeight="1">
      <c r="A559" s="19" t="str">
        <f t="shared" si="1"/>
        <v>András Fehér dayonecapital</v>
      </c>
      <c r="B559" s="19" t="s">
        <v>3310</v>
      </c>
      <c r="C559" s="20" t="s">
        <v>3311</v>
      </c>
      <c r="D559" s="20" t="s">
        <v>3312</v>
      </c>
      <c r="E559" s="21" t="s">
        <v>3313</v>
      </c>
      <c r="F559" s="23" t="s">
        <v>3314</v>
      </c>
      <c r="G559" s="24" t="s">
        <v>163</v>
      </c>
      <c r="H559" s="25" t="s">
        <v>164</v>
      </c>
      <c r="I559" s="23"/>
      <c r="J559" s="35" t="s">
        <v>3315</v>
      </c>
      <c r="K559" s="27" t="s">
        <v>50</v>
      </c>
      <c r="L559" s="13" t="s">
        <v>3316</v>
      </c>
      <c r="M559" s="26" t="str">
        <f>VLOOKUP(E559,'MTS 2026 registrations'!B:B,1,false)</f>
        <v>#N/A</v>
      </c>
      <c r="N559" s="26" t="str">
        <f>VLOOKUP(B559,'MTS 2026 registrations'!A:A,1,false)</f>
        <v>#N/A</v>
      </c>
      <c r="O559" s="38" t="str">
        <f t="shared" si="2"/>
        <v>Marked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2.75" customHeight="1">
      <c r="A560" s="19" t="str">
        <f t="shared" si="1"/>
        <v>Andrea Van De Beek Scala Projects</v>
      </c>
      <c r="B560" s="19" t="s">
        <v>3317</v>
      </c>
      <c r="C560" s="20" t="s">
        <v>3318</v>
      </c>
      <c r="D560" s="20" t="s">
        <v>3319</v>
      </c>
      <c r="E560" s="21" t="s">
        <v>3320</v>
      </c>
      <c r="F560" s="49" t="s">
        <v>3321</v>
      </c>
      <c r="G560" s="24" t="s">
        <v>163</v>
      </c>
      <c r="H560" s="26" t="s">
        <v>164</v>
      </c>
      <c r="I560" s="13"/>
      <c r="J560" s="35" t="s">
        <v>3322</v>
      </c>
      <c r="K560" s="27" t="s">
        <v>50</v>
      </c>
      <c r="L560" s="25" t="s">
        <v>3323</v>
      </c>
      <c r="M560" s="26" t="str">
        <f>VLOOKUP(E560,'MTS 2026 registrations'!B:B,1,false)</f>
        <v>#N/A</v>
      </c>
      <c r="N560" s="26" t="str">
        <f>VLOOKUP(B560,'MTS 2026 registrations'!A:A,1,false)</f>
        <v>#N/A</v>
      </c>
      <c r="O560" s="38" t="str">
        <f t="shared" si="2"/>
        <v>Marked</v>
      </c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</row>
    <row r="561" ht="12.75" customHeight="1">
      <c r="A561" s="19" t="str">
        <f t="shared" si="1"/>
        <v>Andreas Verbruggen Fiducial (Bladesense)</v>
      </c>
      <c r="B561" s="19" t="s">
        <v>3324</v>
      </c>
      <c r="C561" s="115" t="s">
        <v>194</v>
      </c>
      <c r="D561" s="115" t="s">
        <v>3325</v>
      </c>
      <c r="E561" s="31" t="s">
        <v>3326</v>
      </c>
      <c r="F561" s="21" t="s">
        <v>3327</v>
      </c>
      <c r="G561" s="32" t="s">
        <v>46</v>
      </c>
      <c r="H561" s="25" t="s">
        <v>47</v>
      </c>
      <c r="I561" s="34"/>
      <c r="J561" s="35" t="s">
        <v>3328</v>
      </c>
      <c r="K561" s="27" t="s">
        <v>50</v>
      </c>
      <c r="L561" s="13" t="s">
        <v>3329</v>
      </c>
      <c r="M561" s="26" t="str">
        <f>VLOOKUP(E561,'MTS 2026 registrations'!B:B,1,false)</f>
        <v>#N/A</v>
      </c>
      <c r="N561" s="26" t="str">
        <f>VLOOKUP(B561,'MTS 2026 registrations'!A:A,1,false)</f>
        <v>#N/A</v>
      </c>
      <c r="O561" s="38" t="str">
        <f t="shared" si="2"/>
        <v>Marked</v>
      </c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</row>
    <row r="562" ht="12.75" customHeight="1">
      <c r="A562" s="19" t="str">
        <f t="shared" si="1"/>
        <v>Andreas Lundgren newhaven-investments</v>
      </c>
      <c r="B562" s="19" t="s">
        <v>3330</v>
      </c>
      <c r="C562" s="20" t="s">
        <v>194</v>
      </c>
      <c r="D562" s="20" t="s">
        <v>3331</v>
      </c>
      <c r="E562" s="21" t="s">
        <v>3332</v>
      </c>
      <c r="F562" s="23" t="s">
        <v>3333</v>
      </c>
      <c r="G562" s="24" t="s">
        <v>225</v>
      </c>
      <c r="H562" s="25" t="s">
        <v>47</v>
      </c>
      <c r="I562" s="34"/>
      <c r="J562" s="35" t="s">
        <v>3334</v>
      </c>
      <c r="K562" s="27" t="s">
        <v>50</v>
      </c>
      <c r="L562" s="13" t="s">
        <v>3335</v>
      </c>
      <c r="M562" s="26" t="str">
        <f>VLOOKUP(E562,'MTS 2026 registrations'!B:B,1,false)</f>
        <v>#N/A</v>
      </c>
      <c r="N562" s="26" t="str">
        <f>VLOOKUP(B562,'MTS 2026 registrations'!A:A,1,false)</f>
        <v>#N/A</v>
      </c>
      <c r="O562" s="38" t="str">
        <f t="shared" si="2"/>
        <v>Marked</v>
      </c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23"/>
      <c r="AE562" s="23"/>
    </row>
    <row r="563" ht="12.75" customHeight="1">
      <c r="A563" s="19" t="str">
        <f t="shared" si="1"/>
        <v>Andrew Buskens delft</v>
      </c>
      <c r="B563" s="19" t="s">
        <v>3336</v>
      </c>
      <c r="C563" s="60" t="s">
        <v>3337</v>
      </c>
      <c r="D563" s="136" t="s">
        <v>3338</v>
      </c>
      <c r="E563" s="62" t="s">
        <v>3339</v>
      </c>
      <c r="F563" s="64" t="s">
        <v>3340</v>
      </c>
      <c r="G563" s="24" t="s">
        <v>323</v>
      </c>
      <c r="H563" s="25" t="s">
        <v>139</v>
      </c>
      <c r="I563" s="23"/>
      <c r="J563" s="35" t="s">
        <v>3341</v>
      </c>
      <c r="K563" s="27" t="s">
        <v>50</v>
      </c>
      <c r="L563" s="13" t="s">
        <v>3342</v>
      </c>
      <c r="M563" s="26" t="str">
        <f>VLOOKUP(E563,'MTS 2026 registrations'!B:B,1,false)</f>
        <v>#N/A</v>
      </c>
      <c r="N563" s="26" t="str">
        <f>VLOOKUP(B563,'MTS 2026 registrations'!A:A,1,false)</f>
        <v>#N/A</v>
      </c>
      <c r="O563" s="38" t="str">
        <f t="shared" si="2"/>
        <v>Marked</v>
      </c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2.75" customHeight="1">
      <c r="A564" s="19" t="str">
        <f t="shared" si="1"/>
        <v>Andrew Appleby Liion Power B.V.</v>
      </c>
      <c r="B564" s="19" t="s">
        <v>3343</v>
      </c>
      <c r="C564" s="13" t="s">
        <v>3337</v>
      </c>
      <c r="D564" s="13" t="s">
        <v>3344</v>
      </c>
      <c r="E564" s="60" t="s">
        <v>3345</v>
      </c>
      <c r="F564" s="60" t="s">
        <v>3346</v>
      </c>
      <c r="G564" s="32" t="s">
        <v>46</v>
      </c>
      <c r="H564" s="25" t="s">
        <v>47</v>
      </c>
      <c r="I564" s="34"/>
      <c r="J564" s="35" t="s">
        <v>3347</v>
      </c>
      <c r="K564" s="27" t="s">
        <v>50</v>
      </c>
      <c r="L564" s="13" t="s">
        <v>3348</v>
      </c>
      <c r="M564" s="26" t="str">
        <f>VLOOKUP(E564,'MTS 2026 registrations'!B:B,1,false)</f>
        <v>#N/A</v>
      </c>
      <c r="N564" s="26" t="str">
        <f>VLOOKUP(B564,'MTS 2026 registrations'!A:A,1,false)</f>
        <v>#N/A</v>
      </c>
      <c r="O564" s="38" t="str">
        <f t="shared" si="2"/>
        <v>Marked</v>
      </c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23"/>
      <c r="AE564" s="23"/>
    </row>
    <row r="565" ht="12.75" customHeight="1">
      <c r="A565" s="19" t="str">
        <f t="shared" si="1"/>
        <v>Andrew Wajs scenera.net</v>
      </c>
      <c r="B565" s="19" t="s">
        <v>3349</v>
      </c>
      <c r="C565" s="20" t="s">
        <v>3337</v>
      </c>
      <c r="D565" s="20" t="s">
        <v>3350</v>
      </c>
      <c r="E565" s="21" t="s">
        <v>3351</v>
      </c>
      <c r="F565" s="23" t="s">
        <v>3352</v>
      </c>
      <c r="G565" s="24" t="s">
        <v>225</v>
      </c>
      <c r="H565" s="25" t="s">
        <v>47</v>
      </c>
      <c r="I565" s="23"/>
      <c r="J565" s="35" t="s">
        <v>3353</v>
      </c>
      <c r="K565" s="27" t="s">
        <v>50</v>
      </c>
      <c r="L565" s="13" t="s">
        <v>3354</v>
      </c>
      <c r="M565" s="26" t="str">
        <f>VLOOKUP(E565,'MTS 2026 registrations'!B:B,1,false)</f>
        <v>#N/A</v>
      </c>
      <c r="N565" s="26" t="str">
        <f>VLOOKUP(B565,'MTS 2026 registrations'!A:A,1,false)</f>
        <v>#N/A</v>
      </c>
      <c r="O565" s="38" t="str">
        <f t="shared" si="2"/>
        <v>Marked</v>
      </c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2.75" customHeight="1">
      <c r="A566" s="19" t="str">
        <f t="shared" si="1"/>
        <v>Andries Effting delmic</v>
      </c>
      <c r="B566" s="19" t="s">
        <v>3355</v>
      </c>
      <c r="C566" s="20" t="s">
        <v>3356</v>
      </c>
      <c r="D566" s="20" t="s">
        <v>3357</v>
      </c>
      <c r="E566" s="21" t="s">
        <v>3358</v>
      </c>
      <c r="F566" s="23" t="s">
        <v>3359</v>
      </c>
      <c r="G566" s="32" t="s">
        <v>46</v>
      </c>
      <c r="H566" s="25" t="s">
        <v>47</v>
      </c>
      <c r="I566" s="23"/>
      <c r="J566" s="35" t="s">
        <v>3360</v>
      </c>
      <c r="K566" s="27" t="s">
        <v>50</v>
      </c>
      <c r="L566" s="13" t="s">
        <v>3361</v>
      </c>
      <c r="M566" s="26" t="str">
        <f>VLOOKUP(E566,'MTS 2026 registrations'!B:B,1,false)</f>
        <v>#N/A</v>
      </c>
      <c r="N566" s="26" t="str">
        <f>VLOOKUP(B566,'MTS 2026 registrations'!A:A,1,false)</f>
        <v>#N/A</v>
      </c>
      <c r="O566" s="38" t="str">
        <f t="shared" si="2"/>
        <v>Marked</v>
      </c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34"/>
      <c r="AE566" s="34"/>
    </row>
    <row r="567" ht="12.75" customHeight="1">
      <c r="A567" s="19" t="str">
        <f t="shared" si="1"/>
        <v>Andy Lürling LUMO Labs VC &amp; iOpener</v>
      </c>
      <c r="B567" s="19" t="s">
        <v>3362</v>
      </c>
      <c r="C567" s="29" t="s">
        <v>3363</v>
      </c>
      <c r="D567" s="116" t="s">
        <v>3364</v>
      </c>
      <c r="E567" s="62" t="s">
        <v>3365</v>
      </c>
      <c r="F567" s="50" t="s">
        <v>3366</v>
      </c>
      <c r="G567" s="32" t="s">
        <v>46</v>
      </c>
      <c r="H567" s="25" t="s">
        <v>139</v>
      </c>
      <c r="I567" s="23"/>
      <c r="J567" s="35" t="s">
        <v>3367</v>
      </c>
      <c r="K567" s="27" t="s">
        <v>50</v>
      </c>
      <c r="L567" s="13" t="s">
        <v>3368</v>
      </c>
      <c r="M567" s="26" t="str">
        <f>VLOOKUP(E567,'MTS 2026 registrations'!B:B,1,false)</f>
        <v>#N/A</v>
      </c>
      <c r="N567" s="26" t="str">
        <f>VLOOKUP(B567,'MTS 2026 registrations'!A:A,1,false)</f>
        <v>#N/A</v>
      </c>
      <c r="O567" s="38" t="str">
        <f t="shared" si="2"/>
        <v>Marked</v>
      </c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2.75" customHeight="1">
      <c r="A568" s="19" t="str">
        <f t="shared" si="1"/>
        <v>Angelo Traas Angel</v>
      </c>
      <c r="B568" s="19" t="s">
        <v>3369</v>
      </c>
      <c r="C568" s="20" t="s">
        <v>3370</v>
      </c>
      <c r="D568" s="20" t="s">
        <v>3371</v>
      </c>
      <c r="E568" s="21" t="s">
        <v>3372</v>
      </c>
      <c r="F568" s="49" t="s">
        <v>1430</v>
      </c>
      <c r="G568" s="24" t="s">
        <v>163</v>
      </c>
      <c r="H568" s="26" t="s">
        <v>164</v>
      </c>
      <c r="I568" s="13"/>
      <c r="J568" s="124" t="s">
        <v>3373</v>
      </c>
      <c r="K568" s="27" t="s">
        <v>50</v>
      </c>
      <c r="L568" s="25" t="s">
        <v>3374</v>
      </c>
      <c r="M568" s="26" t="str">
        <f>VLOOKUP(E568,'MTS 2026 registrations'!B:B,1,false)</f>
        <v>angelo.traas@gmail.com</v>
      </c>
      <c r="N568" s="26" t="str">
        <f>VLOOKUP(B568,'MTS 2026 registrations'!A:A,1,false)</f>
        <v>Angelo Traas</v>
      </c>
      <c r="O568" s="38" t="str">
        <f t="shared" si="2"/>
        <v/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</row>
    <row r="569" ht="12.75" customHeight="1">
      <c r="A569" s="19" t="str">
        <f t="shared" si="1"/>
        <v>Anna Rouleau loxsolution</v>
      </c>
      <c r="B569" s="19" t="s">
        <v>3375</v>
      </c>
      <c r="C569" s="20" t="s">
        <v>3376</v>
      </c>
      <c r="D569" s="20" t="s">
        <v>3377</v>
      </c>
      <c r="E569" s="21" t="s">
        <v>3378</v>
      </c>
      <c r="F569" s="23" t="s">
        <v>3379</v>
      </c>
      <c r="G569" s="32" t="s">
        <v>46</v>
      </c>
      <c r="H569" s="25" t="s">
        <v>47</v>
      </c>
      <c r="I569" s="23"/>
      <c r="J569" s="35" t="s">
        <v>3380</v>
      </c>
      <c r="K569" s="27" t="s">
        <v>50</v>
      </c>
      <c r="L569" s="13" t="s">
        <v>3381</v>
      </c>
      <c r="M569" s="26" t="str">
        <f>VLOOKUP(E569,'MTS 2026 registrations'!B:B,1,false)</f>
        <v>#N/A</v>
      </c>
      <c r="N569" s="26" t="str">
        <f>VLOOKUP(B569,'MTS 2026 registrations'!A:A,1,false)</f>
        <v>#N/A</v>
      </c>
      <c r="O569" s="38" t="str">
        <f t="shared" si="2"/>
        <v>Marked</v>
      </c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2.75" customHeight="1">
      <c r="A570" s="19" t="str">
        <f t="shared" si="1"/>
        <v>Anna Sheronova nutripy</v>
      </c>
      <c r="B570" s="19" t="s">
        <v>3382</v>
      </c>
      <c r="C570" s="120" t="s">
        <v>3376</v>
      </c>
      <c r="D570" s="20" t="s">
        <v>3383</v>
      </c>
      <c r="E570" s="21" t="s">
        <v>3384</v>
      </c>
      <c r="F570" s="23" t="s">
        <v>3385</v>
      </c>
      <c r="G570" s="32" t="s">
        <v>46</v>
      </c>
      <c r="H570" s="25" t="s">
        <v>47</v>
      </c>
      <c r="I570" s="23"/>
      <c r="J570" s="35" t="s">
        <v>3386</v>
      </c>
      <c r="K570" s="27" t="s">
        <v>50</v>
      </c>
      <c r="L570" s="13" t="s">
        <v>3387</v>
      </c>
      <c r="M570" s="26" t="str">
        <f>VLOOKUP(E570,'MTS 2026 registrations'!B:B,1,false)</f>
        <v>#N/A</v>
      </c>
      <c r="N570" s="26" t="str">
        <f>VLOOKUP(B570,'MTS 2026 registrations'!A:A,1,false)</f>
        <v>#N/A</v>
      </c>
      <c r="O570" s="38" t="str">
        <f t="shared" si="2"/>
        <v>Marked</v>
      </c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34"/>
      <c r="AE570" s="34"/>
    </row>
    <row r="571" ht="12.75" customHeight="1">
      <c r="A571" s="19" t="str">
        <f t="shared" si="1"/>
        <v>Anna Klapwijk Independent</v>
      </c>
      <c r="B571" s="19" t="s">
        <v>3388</v>
      </c>
      <c r="C571" s="116" t="s">
        <v>3376</v>
      </c>
      <c r="D571" s="116" t="s">
        <v>3389</v>
      </c>
      <c r="E571" s="112" t="s">
        <v>3390</v>
      </c>
      <c r="F571" s="66" t="s">
        <v>1209</v>
      </c>
      <c r="G571" s="24" t="s">
        <v>225</v>
      </c>
      <c r="H571" s="25" t="s">
        <v>47</v>
      </c>
      <c r="I571" s="34"/>
      <c r="J571" s="35" t="s">
        <v>3391</v>
      </c>
      <c r="K571" s="27" t="s">
        <v>50</v>
      </c>
      <c r="L571" s="13" t="s">
        <v>3392</v>
      </c>
      <c r="M571" s="26" t="str">
        <f>VLOOKUP(E571,'MTS 2026 registrations'!B:B,1,false)</f>
        <v>#N/A</v>
      </c>
      <c r="N571" s="26" t="str">
        <f>VLOOKUP(B571,'MTS 2026 registrations'!A:A,1,false)</f>
        <v>#N/A</v>
      </c>
      <c r="O571" s="38" t="str">
        <f t="shared" si="2"/>
        <v>Marked</v>
      </c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</row>
    <row r="572" ht="12.75" customHeight="1">
      <c r="A572" s="19" t="str">
        <f t="shared" si="1"/>
        <v>Anne Ligthelm Invest International</v>
      </c>
      <c r="B572" s="19" t="s">
        <v>3393</v>
      </c>
      <c r="C572" s="161" t="s">
        <v>3394</v>
      </c>
      <c r="D572" s="161" t="s">
        <v>3395</v>
      </c>
      <c r="E572" s="128" t="s">
        <v>3396</v>
      </c>
      <c r="F572" s="66" t="s">
        <v>2356</v>
      </c>
      <c r="G572" s="42" t="s">
        <v>163</v>
      </c>
      <c r="H572" s="25" t="s">
        <v>164</v>
      </c>
      <c r="I572" s="34"/>
      <c r="J572" s="35" t="s">
        <v>3397</v>
      </c>
      <c r="K572" s="27" t="s">
        <v>50</v>
      </c>
      <c r="L572" s="13" t="s">
        <v>3398</v>
      </c>
      <c r="M572" s="26" t="str">
        <f>VLOOKUP(E572,'MTS 2026 registrations'!B:B,1,false)</f>
        <v>#N/A</v>
      </c>
      <c r="N572" s="26" t="str">
        <f>VLOOKUP(B572,'MTS 2026 registrations'!A:A,1,false)</f>
        <v>#N/A</v>
      </c>
      <c r="O572" s="38" t="str">
        <f t="shared" si="2"/>
        <v>Marked</v>
      </c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23"/>
      <c r="AE572" s="23"/>
    </row>
    <row r="573" ht="12.75" customHeight="1">
      <c r="A573" s="19" t="str">
        <f t="shared" si="1"/>
        <v>Anne Vonk mindef</v>
      </c>
      <c r="B573" s="19" t="s">
        <v>3399</v>
      </c>
      <c r="C573" s="72" t="s">
        <v>3400</v>
      </c>
      <c r="D573" s="72" t="s">
        <v>3401</v>
      </c>
      <c r="E573" s="30" t="s">
        <v>3402</v>
      </c>
      <c r="F573" s="29" t="s">
        <v>1527</v>
      </c>
      <c r="G573" s="32" t="s">
        <v>323</v>
      </c>
      <c r="H573" s="13" t="s">
        <v>45</v>
      </c>
      <c r="I573" s="34"/>
      <c r="J573" s="35" t="s">
        <v>3403</v>
      </c>
      <c r="K573" s="27" t="s">
        <v>50</v>
      </c>
      <c r="L573" s="27" t="s">
        <v>3404</v>
      </c>
      <c r="M573" s="26" t="str">
        <f>VLOOKUP(E573,'MTS 2026 registrations'!B:B,1,false)</f>
        <v>#N/A</v>
      </c>
      <c r="N573" s="26" t="str">
        <f>VLOOKUP(B573,'MTS 2026 registrations'!A:A,1,false)</f>
        <v>#N/A</v>
      </c>
      <c r="O573" s="38" t="str">
        <f t="shared" si="2"/>
        <v>Marked</v>
      </c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23"/>
      <c r="AE573" s="23"/>
    </row>
    <row r="574" ht="12.75" customHeight="1">
      <c r="A574" s="19" t="str">
        <f t="shared" si="1"/>
        <v>Anne-Marije Zwerver Groove Quantum</v>
      </c>
      <c r="B574" s="19" t="s">
        <v>3405</v>
      </c>
      <c r="C574" s="13" t="s">
        <v>3406</v>
      </c>
      <c r="D574" s="13" t="s">
        <v>3407</v>
      </c>
      <c r="E574" s="60" t="s">
        <v>3408</v>
      </c>
      <c r="F574" s="60" t="s">
        <v>3409</v>
      </c>
      <c r="G574" s="32" t="s">
        <v>46</v>
      </c>
      <c r="H574" s="25" t="s">
        <v>47</v>
      </c>
      <c r="I574" s="34"/>
      <c r="J574" s="35" t="s">
        <v>3410</v>
      </c>
      <c r="K574" s="27" t="s">
        <v>50</v>
      </c>
      <c r="L574" s="13" t="s">
        <v>3411</v>
      </c>
      <c r="M574" s="26" t="str">
        <f>VLOOKUP(E574,'MTS 2026 registrations'!B:B,1,false)</f>
        <v>#N/A</v>
      </c>
      <c r="N574" s="26" t="str">
        <f>VLOOKUP(B574,'MTS 2026 registrations'!A:A,1,false)</f>
        <v>#N/A</v>
      </c>
      <c r="O574" s="38" t="str">
        <f t="shared" si="2"/>
        <v>Marked</v>
      </c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</row>
    <row r="575" ht="12.75" customHeight="1">
      <c r="A575" s="19" t="str">
        <f t="shared" si="1"/>
        <v>Annelien Bredenoord eur</v>
      </c>
      <c r="B575" s="19" t="s">
        <v>3412</v>
      </c>
      <c r="C575" s="60" t="s">
        <v>3413</v>
      </c>
      <c r="D575" s="60" t="s">
        <v>3414</v>
      </c>
      <c r="E575" s="62" t="s">
        <v>3415</v>
      </c>
      <c r="F575" s="64" t="s">
        <v>41</v>
      </c>
      <c r="G575" s="42" t="s">
        <v>43</v>
      </c>
      <c r="H575" s="25" t="s">
        <v>139</v>
      </c>
      <c r="I575" s="23"/>
      <c r="J575" s="35" t="s">
        <v>3416</v>
      </c>
      <c r="K575" s="27" t="s">
        <v>50</v>
      </c>
      <c r="L575" s="13" t="s">
        <v>3417</v>
      </c>
      <c r="M575" s="26" t="str">
        <f>VLOOKUP(E575,'MTS 2026 registrations'!B:B,1,false)</f>
        <v>#N/A</v>
      </c>
      <c r="N575" s="26" t="str">
        <f>VLOOKUP(B575,'MTS 2026 registrations'!A:A,1,false)</f>
        <v>#N/A</v>
      </c>
      <c r="O575" s="38" t="str">
        <f t="shared" si="2"/>
        <v>Marked</v>
      </c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2.75" customHeight="1">
      <c r="A576" s="19" t="str">
        <f t="shared" si="1"/>
        <v>Annemarie Smabers campusatsea</v>
      </c>
      <c r="B576" s="19" t="s">
        <v>3418</v>
      </c>
      <c r="C576" s="29" t="s">
        <v>1534</v>
      </c>
      <c r="D576" s="29" t="s">
        <v>3419</v>
      </c>
      <c r="E576" s="30" t="s">
        <v>3420</v>
      </c>
      <c r="F576" s="29" t="s">
        <v>612</v>
      </c>
      <c r="G576" s="24" t="s">
        <v>29</v>
      </c>
      <c r="H576" s="13" t="s">
        <v>45</v>
      </c>
      <c r="I576" s="34"/>
      <c r="J576" s="35" t="s">
        <v>3421</v>
      </c>
      <c r="K576" s="27" t="s">
        <v>50</v>
      </c>
      <c r="L576" s="13" t="s">
        <v>3422</v>
      </c>
      <c r="M576" s="26" t="str">
        <f>VLOOKUP(E576,'MTS 2026 registrations'!B:B,1,false)</f>
        <v>#N/A</v>
      </c>
      <c r="N576" s="26" t="str">
        <f>VLOOKUP(B576,'MTS 2026 registrations'!A:A,1,false)</f>
        <v>#N/A</v>
      </c>
      <c r="O576" s="38" t="str">
        <f t="shared" si="2"/>
        <v>Marked</v>
      </c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23"/>
      <c r="AE576" s="23"/>
    </row>
    <row r="577" ht="12.75" customHeight="1">
      <c r="A577" s="19" t="str">
        <f t="shared" si="1"/>
        <v>Annemieke Wisse techleap</v>
      </c>
      <c r="B577" s="19" t="s">
        <v>3423</v>
      </c>
      <c r="C577" s="60" t="s">
        <v>3424</v>
      </c>
      <c r="D577" s="60" t="s">
        <v>836</v>
      </c>
      <c r="E577" s="62" t="s">
        <v>3425</v>
      </c>
      <c r="F577" s="64" t="s">
        <v>1952</v>
      </c>
      <c r="G577" s="42" t="s">
        <v>69</v>
      </c>
      <c r="H577" s="25" t="s">
        <v>139</v>
      </c>
      <c r="I577" s="23"/>
      <c r="J577" s="35" t="s">
        <v>3426</v>
      </c>
      <c r="K577" s="27" t="s">
        <v>50</v>
      </c>
      <c r="L577" s="13" t="s">
        <v>3427</v>
      </c>
      <c r="M577" s="26" t="str">
        <f>VLOOKUP(E577,'MTS 2026 registrations'!B:B,1,false)</f>
        <v>#N/A</v>
      </c>
      <c r="N577" s="26" t="str">
        <f>VLOOKUP(B577,'MTS 2026 registrations'!A:A,1,false)</f>
        <v>#N/A</v>
      </c>
      <c r="O577" s="38" t="str">
        <f t="shared" si="2"/>
        <v>Marked</v>
      </c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2.75" customHeight="1">
      <c r="A578" s="19" t="str">
        <f t="shared" si="1"/>
        <v>Annemieke Nijhof deltares</v>
      </c>
      <c r="B578" s="19" t="s">
        <v>3428</v>
      </c>
      <c r="C578" s="60" t="s">
        <v>3424</v>
      </c>
      <c r="D578" s="60" t="s">
        <v>3429</v>
      </c>
      <c r="E578" s="62" t="s">
        <v>3430</v>
      </c>
      <c r="F578" s="64" t="s">
        <v>3431</v>
      </c>
      <c r="G578" s="24" t="s">
        <v>3432</v>
      </c>
      <c r="H578" s="25" t="s">
        <v>139</v>
      </c>
      <c r="I578" s="23"/>
      <c r="J578" s="35" t="s">
        <v>3433</v>
      </c>
      <c r="K578" s="27" t="s">
        <v>50</v>
      </c>
      <c r="L578" s="13" t="s">
        <v>3434</v>
      </c>
      <c r="M578" s="26" t="str">
        <f>VLOOKUP(E578,'MTS 2026 registrations'!B:B,1,false)</f>
        <v>#N/A</v>
      </c>
      <c r="N578" s="26" t="str">
        <f>VLOOKUP(B578,'MTS 2026 registrations'!A:A,1,false)</f>
        <v>#N/A</v>
      </c>
      <c r="O578" s="38" t="str">
        <f t="shared" si="2"/>
        <v>Marked</v>
      </c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2.75" customHeight="1">
      <c r="A579" s="19" t="str">
        <f t="shared" si="1"/>
        <v>Anouar Manders Predict IT (senseIT)</v>
      </c>
      <c r="B579" s="19" t="s">
        <v>3435</v>
      </c>
      <c r="C579" s="29" t="s">
        <v>3436</v>
      </c>
      <c r="D579" s="29" t="s">
        <v>3437</v>
      </c>
      <c r="E579" s="31" t="s">
        <v>3438</v>
      </c>
      <c r="F579" s="33" t="s">
        <v>3439</v>
      </c>
      <c r="G579" s="32" t="s">
        <v>46</v>
      </c>
      <c r="H579" s="25" t="s">
        <v>47</v>
      </c>
      <c r="I579" s="34"/>
      <c r="J579" s="35" t="s">
        <v>3440</v>
      </c>
      <c r="K579" s="27" t="s">
        <v>50</v>
      </c>
      <c r="L579" s="13" t="s">
        <v>3441</v>
      </c>
      <c r="M579" s="26" t="str">
        <f>VLOOKUP(E579,'MTS 2026 registrations'!B:B,1,false)</f>
        <v>#N/A</v>
      </c>
      <c r="N579" s="26" t="str">
        <f>VLOOKUP(B579,'MTS 2026 registrations'!A:A,1,false)</f>
        <v>#N/A</v>
      </c>
      <c r="O579" s="38" t="str">
        <f t="shared" si="2"/>
        <v>Marked</v>
      </c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23"/>
      <c r="AE579" s="23"/>
    </row>
    <row r="580" ht="12.75" customHeight="1">
      <c r="A580" s="19" t="str">
        <f t="shared" si="1"/>
        <v>Anthony Meijer zu Schlochtern Independent</v>
      </c>
      <c r="B580" s="19" t="s">
        <v>3442</v>
      </c>
      <c r="C580" s="116" t="s">
        <v>265</v>
      </c>
      <c r="D580" s="116" t="s">
        <v>3443</v>
      </c>
      <c r="E580" s="112" t="s">
        <v>3444</v>
      </c>
      <c r="F580" s="66" t="s">
        <v>1209</v>
      </c>
      <c r="G580" s="24" t="s">
        <v>225</v>
      </c>
      <c r="H580" s="25" t="s">
        <v>47</v>
      </c>
      <c r="I580" s="34"/>
      <c r="J580" s="35" t="s">
        <v>3445</v>
      </c>
      <c r="K580" s="27" t="s">
        <v>50</v>
      </c>
      <c r="L580" s="13" t="s">
        <v>3446</v>
      </c>
      <c r="M580" s="26" t="str">
        <f>VLOOKUP(E580,'MTS 2026 registrations'!B:B,1,false)</f>
        <v>#N/A</v>
      </c>
      <c r="N580" s="26" t="str">
        <f>VLOOKUP(B580,'MTS 2026 registrations'!A:A,1,false)</f>
        <v>#N/A</v>
      </c>
      <c r="O580" s="38" t="str">
        <f t="shared" si="2"/>
        <v>Marked</v>
      </c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</row>
    <row r="581" ht="12.75" customHeight="1">
      <c r="A581" s="19" t="str">
        <f t="shared" si="1"/>
        <v>Antoinette Oudshoorn convergence</v>
      </c>
      <c r="B581" s="19" t="s">
        <v>3447</v>
      </c>
      <c r="C581" s="29" t="s">
        <v>3448</v>
      </c>
      <c r="D581" s="29" t="s">
        <v>281</v>
      </c>
      <c r="E581" s="30" t="s">
        <v>3449</v>
      </c>
      <c r="F581" s="29" t="s">
        <v>3450</v>
      </c>
      <c r="G581" s="32" t="s">
        <v>3432</v>
      </c>
      <c r="H581" s="13" t="s">
        <v>213</v>
      </c>
      <c r="I581" s="34"/>
      <c r="J581" s="35" t="s">
        <v>3451</v>
      </c>
      <c r="K581" s="27" t="s">
        <v>50</v>
      </c>
      <c r="L581" s="13" t="s">
        <v>3452</v>
      </c>
      <c r="M581" s="26" t="str">
        <f>VLOOKUP(E581,'MTS 2026 registrations'!B:B,1,false)</f>
        <v>#N/A</v>
      </c>
      <c r="N581" s="26" t="str">
        <f>VLOOKUP(B581,'MTS 2026 registrations'!A:A,1,false)</f>
        <v>#N/A</v>
      </c>
      <c r="O581" s="38" t="str">
        <f t="shared" si="2"/>
        <v>Marked</v>
      </c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23"/>
      <c r="AE581" s="23"/>
    </row>
    <row r="582" ht="12.75" customHeight="1">
      <c r="A582" s="19" t="str">
        <f t="shared" si="1"/>
        <v>Anton Balakirev deepbreath.tech</v>
      </c>
      <c r="B582" s="19" t="s">
        <v>3453</v>
      </c>
      <c r="C582" s="20" t="s">
        <v>3454</v>
      </c>
      <c r="D582" s="20" t="s">
        <v>3455</v>
      </c>
      <c r="E582" s="21" t="s">
        <v>3456</v>
      </c>
      <c r="F582" s="23" t="s">
        <v>3457</v>
      </c>
      <c r="G582" s="32" t="s">
        <v>46</v>
      </c>
      <c r="H582" s="25" t="s">
        <v>47</v>
      </c>
      <c r="I582" s="23"/>
      <c r="J582" s="35" t="s">
        <v>3458</v>
      </c>
      <c r="K582" s="27" t="s">
        <v>50</v>
      </c>
      <c r="L582" s="13" t="s">
        <v>3459</v>
      </c>
      <c r="M582" s="26" t="str">
        <f>VLOOKUP(E582,'MTS 2026 registrations'!B:B,1,false)</f>
        <v>#N/A</v>
      </c>
      <c r="N582" s="26" t="str">
        <f>VLOOKUP(B582,'MTS 2026 registrations'!A:A,1,false)</f>
        <v>#N/A</v>
      </c>
      <c r="O582" s="38" t="str">
        <f t="shared" si="2"/>
        <v>Marked</v>
      </c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2.75" customHeight="1">
      <c r="A583" s="19" t="str">
        <f t="shared" si="1"/>
        <v>Anton de Bode </v>
      </c>
      <c r="B583" s="19" t="s">
        <v>3460</v>
      </c>
      <c r="C583" s="20" t="s">
        <v>3454</v>
      </c>
      <c r="D583" s="20" t="s">
        <v>3461</v>
      </c>
      <c r="E583" s="21" t="s">
        <v>3462</v>
      </c>
      <c r="F583" s="52"/>
      <c r="G583" s="32" t="s">
        <v>46</v>
      </c>
      <c r="H583" s="25" t="s">
        <v>47</v>
      </c>
      <c r="I583" s="26"/>
      <c r="J583" s="35" t="s">
        <v>3463</v>
      </c>
      <c r="K583" s="27" t="s">
        <v>50</v>
      </c>
      <c r="L583" s="13" t="s">
        <v>3464</v>
      </c>
      <c r="M583" s="26" t="str">
        <f>VLOOKUP(E583,'MTS 2026 registrations'!B:B,1,false)</f>
        <v>#N/A</v>
      </c>
      <c r="N583" s="26" t="str">
        <f>VLOOKUP(B583,'MTS 2026 registrations'!A:A,1,false)</f>
        <v>#N/A</v>
      </c>
      <c r="O583" s="38" t="str">
        <f t="shared" si="2"/>
        <v>Marked</v>
      </c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2.75" customHeight="1">
      <c r="A584" s="19" t="str">
        <f t="shared" si="1"/>
        <v>Ardi Eleveld innovationquarter</v>
      </c>
      <c r="B584" s="19" t="s">
        <v>3465</v>
      </c>
      <c r="C584" s="20" t="s">
        <v>3466</v>
      </c>
      <c r="D584" s="20" t="s">
        <v>3467</v>
      </c>
      <c r="E584" s="21" t="s">
        <v>3468</v>
      </c>
      <c r="F584" s="23" t="s">
        <v>161</v>
      </c>
      <c r="G584" s="42" t="s">
        <v>69</v>
      </c>
      <c r="H584" s="25" t="s">
        <v>164</v>
      </c>
      <c r="I584" s="23"/>
      <c r="J584" s="35" t="s">
        <v>3469</v>
      </c>
      <c r="K584" s="27" t="s">
        <v>50</v>
      </c>
      <c r="L584" s="13" t="s">
        <v>3470</v>
      </c>
      <c r="M584" s="26" t="str">
        <f>VLOOKUP(E584,'MTS 2026 registrations'!B:B,1,false)</f>
        <v>#N/A</v>
      </c>
      <c r="N584" s="26" t="str">
        <f>VLOOKUP(B584,'MTS 2026 registrations'!A:A,1,false)</f>
        <v>#N/A</v>
      </c>
      <c r="O584" s="38" t="str">
        <f t="shared" si="2"/>
        <v>Marked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2.75" customHeight="1">
      <c r="A585" s="19" t="str">
        <f t="shared" si="1"/>
        <v>Arend Van der Stadt </v>
      </c>
      <c r="B585" s="19" t="s">
        <v>3471</v>
      </c>
      <c r="C585" s="20" t="s">
        <v>3472</v>
      </c>
      <c r="D585" s="20" t="s">
        <v>3473</v>
      </c>
      <c r="E585" s="21" t="s">
        <v>3474</v>
      </c>
      <c r="F585" s="52"/>
      <c r="G585" s="24" t="s">
        <v>225</v>
      </c>
      <c r="H585" s="25" t="s">
        <v>47</v>
      </c>
      <c r="I585" s="26"/>
      <c r="J585" s="35" t="s">
        <v>3475</v>
      </c>
      <c r="K585" s="27" t="s">
        <v>50</v>
      </c>
      <c r="L585" s="13" t="s">
        <v>3476</v>
      </c>
      <c r="M585" s="26" t="str">
        <f>VLOOKUP(E585,'MTS 2026 registrations'!B:B,1,false)</f>
        <v>#N/A</v>
      </c>
      <c r="N585" s="26" t="str">
        <f>VLOOKUP(B585,'MTS 2026 registrations'!A:A,1,false)</f>
        <v>#N/A</v>
      </c>
      <c r="O585" s="38" t="str">
        <f t="shared" si="2"/>
        <v>Marked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2.75" customHeight="1">
      <c r="A586" s="19" t="str">
        <f t="shared" si="1"/>
        <v>Arian Khamooshian Green Motion Technologies</v>
      </c>
      <c r="B586" s="19" t="s">
        <v>3477</v>
      </c>
      <c r="C586" s="29" t="s">
        <v>3478</v>
      </c>
      <c r="D586" s="29" t="s">
        <v>3479</v>
      </c>
      <c r="E586" s="31" t="s">
        <v>3480</v>
      </c>
      <c r="F586" s="33" t="s">
        <v>1137</v>
      </c>
      <c r="G586" s="32" t="s">
        <v>46</v>
      </c>
      <c r="H586" s="25" t="s">
        <v>47</v>
      </c>
      <c r="I586" s="34"/>
      <c r="J586" s="35" t="s">
        <v>3481</v>
      </c>
      <c r="K586" s="27" t="s">
        <v>50</v>
      </c>
      <c r="L586" s="13" t="s">
        <v>3482</v>
      </c>
      <c r="M586" s="26" t="str">
        <f>VLOOKUP(E586,'MTS 2026 registrations'!B:B,1,false)</f>
        <v>#N/A</v>
      </c>
      <c r="N586" s="26" t="str">
        <f>VLOOKUP(B586,'MTS 2026 registrations'!A:A,1,false)</f>
        <v>#N/A</v>
      </c>
      <c r="O586" s="38" t="str">
        <f t="shared" si="2"/>
        <v>Marked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23"/>
      <c r="AE586" s="23"/>
    </row>
    <row r="587" ht="12.75" customHeight="1">
      <c r="A587" s="19" t="str">
        <f t="shared" si="1"/>
        <v>Arjan Göbel forward.one</v>
      </c>
      <c r="B587" s="19" t="s">
        <v>3483</v>
      </c>
      <c r="C587" s="20" t="s">
        <v>280</v>
      </c>
      <c r="D587" s="20" t="s">
        <v>3484</v>
      </c>
      <c r="E587" s="21" t="s">
        <v>3485</v>
      </c>
      <c r="F587" s="23" t="s">
        <v>3486</v>
      </c>
      <c r="G587" s="24" t="s">
        <v>163</v>
      </c>
      <c r="H587" s="25" t="s">
        <v>164</v>
      </c>
      <c r="I587" s="23"/>
      <c r="J587" s="35" t="s">
        <v>3487</v>
      </c>
      <c r="K587" s="27" t="s">
        <v>50</v>
      </c>
      <c r="L587" s="13" t="s">
        <v>3488</v>
      </c>
      <c r="M587" s="26" t="str">
        <f>VLOOKUP(E587,'MTS 2026 registrations'!B:B,1,false)</f>
        <v>#N/A</v>
      </c>
      <c r="N587" s="26" t="str">
        <f>VLOOKUP(B587,'MTS 2026 registrations'!A:A,1,false)</f>
        <v>#N/A</v>
      </c>
      <c r="O587" s="38" t="str">
        <f t="shared" si="2"/>
        <v>Marked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2.75" customHeight="1">
      <c r="A588" s="19" t="str">
        <f t="shared" si="1"/>
        <v>Arjan Goudsblom techleap</v>
      </c>
      <c r="B588" s="19" t="s">
        <v>3489</v>
      </c>
      <c r="C588" s="60" t="s">
        <v>280</v>
      </c>
      <c r="D588" s="60" t="s">
        <v>3490</v>
      </c>
      <c r="E588" s="62" t="s">
        <v>3491</v>
      </c>
      <c r="F588" s="64" t="s">
        <v>1952</v>
      </c>
      <c r="G588" s="42" t="s">
        <v>69</v>
      </c>
      <c r="H588" s="25" t="s">
        <v>139</v>
      </c>
      <c r="I588" s="23"/>
      <c r="J588" s="35" t="s">
        <v>3492</v>
      </c>
      <c r="K588" s="27" t="s">
        <v>50</v>
      </c>
      <c r="L588" s="13" t="s">
        <v>3493</v>
      </c>
      <c r="M588" s="26" t="str">
        <f>VLOOKUP(E588,'MTS 2026 registrations'!B:B,1,false)</f>
        <v>#N/A</v>
      </c>
      <c r="N588" s="26" t="str">
        <f>VLOOKUP(B588,'MTS 2026 registrations'!A:A,1,false)</f>
        <v>#N/A</v>
      </c>
      <c r="O588" s="38" t="str">
        <f t="shared" si="2"/>
        <v>Marked</v>
      </c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2.75" customHeight="1">
      <c r="A589" s="19" t="str">
        <f t="shared" si="1"/>
        <v>Arjen Langhorst rotterdam</v>
      </c>
      <c r="B589" s="19" t="s">
        <v>3494</v>
      </c>
      <c r="C589" s="72" t="s">
        <v>3495</v>
      </c>
      <c r="D589" s="29" t="s">
        <v>3496</v>
      </c>
      <c r="E589" s="30" t="s">
        <v>3497</v>
      </c>
      <c r="F589" s="29" t="s">
        <v>1597</v>
      </c>
      <c r="G589" s="32" t="s">
        <v>323</v>
      </c>
      <c r="H589" s="13" t="s">
        <v>45</v>
      </c>
      <c r="I589" s="34"/>
      <c r="J589" s="35" t="s">
        <v>3498</v>
      </c>
      <c r="K589" s="27" t="s">
        <v>50</v>
      </c>
      <c r="L589" s="13" t="s">
        <v>3499</v>
      </c>
      <c r="M589" s="26" t="str">
        <f>VLOOKUP(E589,'MTS 2026 registrations'!B:B,1,false)</f>
        <v>#N/A</v>
      </c>
      <c r="N589" s="26" t="str">
        <f>VLOOKUP(B589,'MTS 2026 registrations'!A:A,1,false)</f>
        <v>#N/A</v>
      </c>
      <c r="O589" s="38" t="str">
        <f t="shared" si="2"/>
        <v>Marked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23"/>
      <c r="AE589" s="23"/>
    </row>
    <row r="590" ht="12.75" customHeight="1">
      <c r="A590" s="19" t="str">
        <f t="shared" si="1"/>
        <v>Arjen van der Horst geheco</v>
      </c>
      <c r="B590" s="19" t="s">
        <v>3500</v>
      </c>
      <c r="C590" s="20" t="s">
        <v>3495</v>
      </c>
      <c r="D590" s="20" t="s">
        <v>275</v>
      </c>
      <c r="E590" s="175" t="s">
        <v>3501</v>
      </c>
      <c r="F590" s="23" t="s">
        <v>3502</v>
      </c>
      <c r="G590" s="32" t="s">
        <v>46</v>
      </c>
      <c r="H590" s="25" t="s">
        <v>47</v>
      </c>
      <c r="I590" s="23"/>
      <c r="J590" s="35" t="s">
        <v>3503</v>
      </c>
      <c r="K590" s="27" t="s">
        <v>50</v>
      </c>
      <c r="L590" s="7" t="s">
        <v>3504</v>
      </c>
      <c r="M590" s="26" t="str">
        <f>VLOOKUP(E590,'MTS 2026 registrations'!B:B,1,false)</f>
        <v>arjen@vanderhorstonline.nl</v>
      </c>
      <c r="N590" s="26" t="str">
        <f>VLOOKUP(B590,'MTS 2026 registrations'!A:A,1,false)</f>
        <v>Arjen van der Horst</v>
      </c>
      <c r="O590" s="38" t="str">
        <f t="shared" si="2"/>
        <v/>
      </c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2.75" customHeight="1">
      <c r="A591" s="19" t="str">
        <f t="shared" si="1"/>
        <v>Arjen Oudshoorn DAB Bio Delft Advanced Biorenewables</v>
      </c>
      <c r="B591" s="19" t="s">
        <v>3505</v>
      </c>
      <c r="C591" s="29" t="s">
        <v>3495</v>
      </c>
      <c r="D591" s="29" t="s">
        <v>281</v>
      </c>
      <c r="E591" s="31" t="s">
        <v>3506</v>
      </c>
      <c r="F591" s="33" t="s">
        <v>3507</v>
      </c>
      <c r="G591" s="32" t="s">
        <v>46</v>
      </c>
      <c r="H591" s="25" t="s">
        <v>47</v>
      </c>
      <c r="I591" s="34"/>
      <c r="J591" s="35" t="s">
        <v>3508</v>
      </c>
      <c r="K591" s="27" t="s">
        <v>50</v>
      </c>
      <c r="L591" s="13" t="s">
        <v>3509</v>
      </c>
      <c r="M591" s="26" t="str">
        <f>VLOOKUP(E591,'MTS 2026 registrations'!B:B,1,false)</f>
        <v>#N/A</v>
      </c>
      <c r="N591" s="26" t="str">
        <f>VLOOKUP(B591,'MTS 2026 registrations'!A:A,1,false)</f>
        <v>#N/A</v>
      </c>
      <c r="O591" s="38" t="str">
        <f t="shared" si="2"/>
        <v>Marked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</row>
    <row r="592" ht="12.75" customHeight="1">
      <c r="A592" s="19" t="str">
        <f t="shared" si="1"/>
        <v>Arn Kwinkelenberg portofrotterdam</v>
      </c>
      <c r="B592" s="19" t="s">
        <v>3510</v>
      </c>
      <c r="C592" s="60" t="s">
        <v>3511</v>
      </c>
      <c r="D592" s="60" t="s">
        <v>3512</v>
      </c>
      <c r="E592" s="62" t="s">
        <v>3513</v>
      </c>
      <c r="F592" s="64" t="s">
        <v>1399</v>
      </c>
      <c r="G592" s="42" t="s">
        <v>69</v>
      </c>
      <c r="H592" s="25" t="s">
        <v>139</v>
      </c>
      <c r="I592" s="23"/>
      <c r="J592" s="35" t="s">
        <v>3514</v>
      </c>
      <c r="K592" s="27" t="s">
        <v>50</v>
      </c>
      <c r="L592" s="27" t="s">
        <v>3515</v>
      </c>
      <c r="M592" s="26" t="str">
        <f>VLOOKUP(E592,'MTS 2026 registrations'!B:B,1,false)</f>
        <v>#N/A</v>
      </c>
      <c r="N592" s="26" t="str">
        <f>VLOOKUP(B592,'MTS 2026 registrations'!A:A,1,false)</f>
        <v>#N/A</v>
      </c>
      <c r="O592" s="38" t="str">
        <f t="shared" si="2"/>
        <v>Marked</v>
      </c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2.75" customHeight="1">
      <c r="A593" s="19" t="str">
        <f t="shared" si="1"/>
        <v>Arnoud van der Zee tudelft</v>
      </c>
      <c r="B593" s="19" t="s">
        <v>3516</v>
      </c>
      <c r="C593" s="29" t="s">
        <v>299</v>
      </c>
      <c r="D593" s="29" t="s">
        <v>3517</v>
      </c>
      <c r="E593" s="140" t="s">
        <v>3518</v>
      </c>
      <c r="F593" s="29" t="s">
        <v>184</v>
      </c>
      <c r="G593" s="32" t="s">
        <v>43</v>
      </c>
      <c r="H593" s="13" t="s">
        <v>213</v>
      </c>
      <c r="I593" s="34"/>
      <c r="J593" s="35" t="s">
        <v>3519</v>
      </c>
      <c r="K593" s="27" t="s">
        <v>50</v>
      </c>
      <c r="L593" s="13" t="s">
        <v>3520</v>
      </c>
      <c r="M593" s="26" t="str">
        <f>VLOOKUP(E593,'MTS 2026 registrations'!B:B,1,false)</f>
        <v>#N/A</v>
      </c>
      <c r="N593" s="26" t="str">
        <f>VLOOKUP(B593,'MTS 2026 registrations'!A:A,1,false)</f>
        <v>#N/A</v>
      </c>
      <c r="O593" s="38" t="str">
        <f t="shared" si="2"/>
        <v>Marked</v>
      </c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2.75" customHeight="1">
      <c r="A594" s="19" t="str">
        <f t="shared" si="1"/>
        <v>Arnoud van der Vaart noria.earth</v>
      </c>
      <c r="B594" s="19" t="s">
        <v>3521</v>
      </c>
      <c r="C594" s="20" t="s">
        <v>299</v>
      </c>
      <c r="D594" s="20" t="s">
        <v>3522</v>
      </c>
      <c r="E594" s="21" t="s">
        <v>3523</v>
      </c>
      <c r="F594" s="23" t="s">
        <v>3524</v>
      </c>
      <c r="G594" s="32" t="s">
        <v>46</v>
      </c>
      <c r="H594" s="25" t="s">
        <v>47</v>
      </c>
      <c r="I594" s="23"/>
      <c r="J594" s="35" t="s">
        <v>3525</v>
      </c>
      <c r="K594" s="27" t="s">
        <v>50</v>
      </c>
      <c r="L594" s="13" t="s">
        <v>3526</v>
      </c>
      <c r="M594" s="26" t="str">
        <f>VLOOKUP(E594,'MTS 2026 registrations'!B:B,1,false)</f>
        <v>#N/A</v>
      </c>
      <c r="N594" s="26" t="str">
        <f>VLOOKUP(B594,'MTS 2026 registrations'!A:A,1,false)</f>
        <v>#N/A</v>
      </c>
      <c r="O594" s="38" t="str">
        <f t="shared" si="2"/>
        <v>Marked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2.75" customHeight="1">
      <c r="A595" s="19" t="str">
        <f t="shared" si="1"/>
        <v>Arnoud Haverlag arnoudhaverlag</v>
      </c>
      <c r="B595" s="19" t="s">
        <v>3527</v>
      </c>
      <c r="C595" s="20" t="s">
        <v>299</v>
      </c>
      <c r="D595" s="20" t="s">
        <v>3528</v>
      </c>
      <c r="E595" s="21" t="s">
        <v>3529</v>
      </c>
      <c r="F595" s="23" t="s">
        <v>3530</v>
      </c>
      <c r="G595" s="24" t="s">
        <v>163</v>
      </c>
      <c r="H595" s="13" t="s">
        <v>213</v>
      </c>
      <c r="I595" s="26"/>
      <c r="J595" s="35" t="s">
        <v>3531</v>
      </c>
      <c r="K595" s="27" t="s">
        <v>50</v>
      </c>
      <c r="L595" s="13" t="s">
        <v>3532</v>
      </c>
      <c r="M595" s="26" t="str">
        <f>VLOOKUP(E595,'MTS 2026 registrations'!B:B,1,false)</f>
        <v>#N/A</v>
      </c>
      <c r="N595" s="26" t="str">
        <f>VLOOKUP(B595,'MTS 2026 registrations'!A:A,1,false)</f>
        <v>#N/A</v>
      </c>
      <c r="O595" s="38" t="str">
        <f t="shared" si="2"/>
        <v>Marked</v>
      </c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23"/>
      <c r="AE595" s="23"/>
    </row>
    <row r="596" ht="12.75" customHeight="1">
      <c r="A596" s="19" t="str">
        <f t="shared" si="1"/>
        <v>Arnout de Jong delftdynamics</v>
      </c>
      <c r="B596" s="19" t="s">
        <v>3533</v>
      </c>
      <c r="C596" s="20" t="s">
        <v>3534</v>
      </c>
      <c r="D596" s="20" t="s">
        <v>2009</v>
      </c>
      <c r="E596" s="21" t="s">
        <v>3535</v>
      </c>
      <c r="F596" s="23" t="s">
        <v>483</v>
      </c>
      <c r="G596" s="32" t="s">
        <v>46</v>
      </c>
      <c r="H596" s="25" t="s">
        <v>47</v>
      </c>
      <c r="I596" s="23"/>
      <c r="J596" s="35" t="s">
        <v>3536</v>
      </c>
      <c r="K596" s="27" t="s">
        <v>50</v>
      </c>
      <c r="L596" s="13" t="s">
        <v>3537</v>
      </c>
      <c r="M596" s="26" t="str">
        <f>VLOOKUP(E596,'MTS 2026 registrations'!B:B,1,false)</f>
        <v>#N/A</v>
      </c>
      <c r="N596" s="26" t="str">
        <f>VLOOKUP(B596,'MTS 2026 registrations'!A:A,1,false)</f>
        <v>#N/A</v>
      </c>
      <c r="O596" s="38" t="str">
        <f t="shared" si="2"/>
        <v>Marked</v>
      </c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2.75" customHeight="1">
      <c r="A597" s="19" t="str">
        <f t="shared" si="1"/>
        <v>Aron Rietveld damen</v>
      </c>
      <c r="B597" s="19" t="s">
        <v>3538</v>
      </c>
      <c r="C597" s="20" t="s">
        <v>314</v>
      </c>
      <c r="D597" s="20" t="s">
        <v>3539</v>
      </c>
      <c r="E597" s="21" t="s">
        <v>3540</v>
      </c>
      <c r="F597" s="23" t="s">
        <v>2744</v>
      </c>
      <c r="G597" s="24" t="s">
        <v>163</v>
      </c>
      <c r="H597" s="25" t="s">
        <v>164</v>
      </c>
      <c r="I597" s="23"/>
      <c r="J597" s="35" t="s">
        <v>3541</v>
      </c>
      <c r="K597" s="27" t="s">
        <v>50</v>
      </c>
      <c r="L597" s="13" t="s">
        <v>3542</v>
      </c>
      <c r="M597" s="26" t="str">
        <f>VLOOKUP(E597,'MTS 2026 registrations'!B:B,1,false)</f>
        <v>#N/A</v>
      </c>
      <c r="N597" s="26" t="str">
        <f>VLOOKUP(B597,'MTS 2026 registrations'!A:A,1,false)</f>
        <v>#N/A</v>
      </c>
      <c r="O597" s="38" t="str">
        <f t="shared" si="2"/>
        <v>Marked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2.75" customHeight="1">
      <c r="A598" s="19" t="str">
        <f t="shared" si="1"/>
        <v>Arthur Tolsma arthurtolsma</v>
      </c>
      <c r="B598" s="19" t="s">
        <v>3543</v>
      </c>
      <c r="C598" s="60" t="s">
        <v>2154</v>
      </c>
      <c r="D598" s="60" t="s">
        <v>3544</v>
      </c>
      <c r="E598" s="62" t="s">
        <v>3545</v>
      </c>
      <c r="F598" s="64" t="s">
        <v>3546</v>
      </c>
      <c r="G598" s="24" t="s">
        <v>225</v>
      </c>
      <c r="H598" s="25" t="s">
        <v>139</v>
      </c>
      <c r="I598" s="34"/>
      <c r="J598" s="35" t="s">
        <v>3547</v>
      </c>
      <c r="K598" s="27" t="s">
        <v>50</v>
      </c>
      <c r="L598" s="13" t="s">
        <v>3548</v>
      </c>
      <c r="M598" s="26" t="str">
        <f>VLOOKUP(E598,'MTS 2026 registrations'!B:B,1,false)</f>
        <v>#N/A</v>
      </c>
      <c r="N598" s="26" t="str">
        <f>VLOOKUP(B598,'MTS 2026 registrations'!A:A,1,false)</f>
        <v>#N/A</v>
      </c>
      <c r="O598" s="38" t="str">
        <f t="shared" si="2"/>
        <v>Marked</v>
      </c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2.75" customHeight="1">
      <c r="A599" s="19" t="str">
        <f t="shared" si="1"/>
        <v>Arthur Dallau droneportrotterdam</v>
      </c>
      <c r="B599" s="19" t="s">
        <v>3549</v>
      </c>
      <c r="C599" s="60" t="s">
        <v>2154</v>
      </c>
      <c r="D599" s="60" t="s">
        <v>3550</v>
      </c>
      <c r="E599" s="62" t="s">
        <v>3551</v>
      </c>
      <c r="F599" s="64" t="s">
        <v>3552</v>
      </c>
      <c r="G599" s="42" t="s">
        <v>69</v>
      </c>
      <c r="H599" s="25" t="s">
        <v>139</v>
      </c>
      <c r="I599" s="23"/>
      <c r="J599" s="35" t="s">
        <v>3553</v>
      </c>
      <c r="K599" s="27" t="s">
        <v>50</v>
      </c>
      <c r="L599" s="13" t="s">
        <v>3554</v>
      </c>
      <c r="M599" s="26" t="str">
        <f>VLOOKUP(E599,'MTS 2026 registrations'!B:B,1,false)</f>
        <v>#N/A</v>
      </c>
      <c r="N599" s="26" t="str">
        <f>VLOOKUP(B599,'MTS 2026 registrations'!A:A,1,false)</f>
        <v>#N/A</v>
      </c>
      <c r="O599" s="38" t="str">
        <f t="shared" si="2"/>
        <v>Marked</v>
      </c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2.75" customHeight="1">
      <c r="A600" s="19" t="str">
        <f t="shared" si="1"/>
        <v>Arthur Admiraal minjenv</v>
      </c>
      <c r="B600" s="19" t="s">
        <v>3555</v>
      </c>
      <c r="C600" s="72" t="s">
        <v>3556</v>
      </c>
      <c r="D600" s="72" t="s">
        <v>3557</v>
      </c>
      <c r="E600" s="30" t="s">
        <v>3558</v>
      </c>
      <c r="F600" s="29" t="s">
        <v>3559</v>
      </c>
      <c r="G600" s="32" t="s">
        <v>323</v>
      </c>
      <c r="H600" s="13" t="s">
        <v>45</v>
      </c>
      <c r="I600" s="34"/>
      <c r="J600" s="35" t="s">
        <v>3560</v>
      </c>
      <c r="K600" s="27" t="s">
        <v>50</v>
      </c>
      <c r="L600" s="13" t="s">
        <v>3561</v>
      </c>
      <c r="M600" s="26" t="str">
        <f>VLOOKUP(E600,'MTS 2026 registrations'!B:B,1,false)</f>
        <v>#N/A</v>
      </c>
      <c r="N600" s="26" t="str">
        <f>VLOOKUP(B600,'MTS 2026 registrations'!A:A,1,false)</f>
        <v>#N/A</v>
      </c>
      <c r="O600" s="38" t="str">
        <f t="shared" si="2"/>
        <v>Marked</v>
      </c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23"/>
      <c r="AE600" s="23"/>
    </row>
    <row r="601" ht="12.75" customHeight="1">
      <c r="A601" s="19" t="str">
        <f t="shared" si="1"/>
        <v>Arthur delver mindef</v>
      </c>
      <c r="B601" s="19" t="s">
        <v>3562</v>
      </c>
      <c r="C601" s="72" t="s">
        <v>3556</v>
      </c>
      <c r="D601" s="29" t="s">
        <v>3563</v>
      </c>
      <c r="E601" s="30" t="s">
        <v>3564</v>
      </c>
      <c r="F601" s="29" t="s">
        <v>1527</v>
      </c>
      <c r="G601" s="32" t="s">
        <v>323</v>
      </c>
      <c r="H601" s="13" t="s">
        <v>45</v>
      </c>
      <c r="I601" s="34"/>
      <c r="J601" s="35" t="s">
        <v>3565</v>
      </c>
      <c r="K601" s="27" t="s">
        <v>50</v>
      </c>
      <c r="L601" s="27" t="s">
        <v>3566</v>
      </c>
      <c r="M601" s="26" t="str">
        <f>VLOOKUP(E601,'MTS 2026 registrations'!B:B,1,false)</f>
        <v>#N/A</v>
      </c>
      <c r="N601" s="26" t="str">
        <f>VLOOKUP(B601,'MTS 2026 registrations'!A:A,1,false)</f>
        <v>#N/A</v>
      </c>
      <c r="O601" s="38" t="str">
        <f t="shared" si="2"/>
        <v>Marked</v>
      </c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23"/>
      <c r="AE601" s="23"/>
    </row>
    <row r="602" ht="12.75" customHeight="1">
      <c r="A602" s="19" t="str">
        <f t="shared" si="1"/>
        <v>Arthur Lahr Avidicure</v>
      </c>
      <c r="B602" s="19" t="s">
        <v>3567</v>
      </c>
      <c r="C602" s="158" t="s">
        <v>3556</v>
      </c>
      <c r="D602" s="158" t="s">
        <v>3568</v>
      </c>
      <c r="E602" s="62" t="s">
        <v>3569</v>
      </c>
      <c r="F602" s="50" t="s">
        <v>3570</v>
      </c>
      <c r="G602" s="24" t="s">
        <v>225</v>
      </c>
      <c r="H602" s="25" t="s">
        <v>47</v>
      </c>
      <c r="I602" s="26"/>
      <c r="J602" s="35" t="s">
        <v>3571</v>
      </c>
      <c r="K602" s="27" t="s">
        <v>50</v>
      </c>
      <c r="L602" s="13" t="s">
        <v>3572</v>
      </c>
      <c r="M602" s="26" t="str">
        <f>VLOOKUP(E602,'MTS 2026 registrations'!B:B,1,false)</f>
        <v>#N/A</v>
      </c>
      <c r="N602" s="26" t="str">
        <f>VLOOKUP(B602,'MTS 2026 registrations'!A:A,1,false)</f>
        <v>#N/A</v>
      </c>
      <c r="O602" s="38" t="str">
        <f t="shared" si="2"/>
        <v>Marked</v>
      </c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2.75" customHeight="1">
      <c r="A603" s="19" t="str">
        <f t="shared" si="1"/>
        <v>Arun Sadhashivan Frebble (Holland Haptics)</v>
      </c>
      <c r="B603" s="19" t="s">
        <v>3573</v>
      </c>
      <c r="C603" s="29" t="s">
        <v>3574</v>
      </c>
      <c r="D603" s="29" t="s">
        <v>3575</v>
      </c>
      <c r="E603" s="31" t="s">
        <v>3576</v>
      </c>
      <c r="F603" s="33" t="s">
        <v>3577</v>
      </c>
      <c r="G603" s="32" t="s">
        <v>46</v>
      </c>
      <c r="H603" s="25" t="s">
        <v>47</v>
      </c>
      <c r="I603" s="34"/>
      <c r="J603" s="35" t="s">
        <v>3578</v>
      </c>
      <c r="K603" s="27" t="s">
        <v>50</v>
      </c>
      <c r="L603" s="13" t="s">
        <v>3579</v>
      </c>
      <c r="M603" s="26" t="str">
        <f>VLOOKUP(E603,'MTS 2026 registrations'!B:B,1,false)</f>
        <v>#N/A</v>
      </c>
      <c r="N603" s="26" t="str">
        <f>VLOOKUP(B603,'MTS 2026 registrations'!A:A,1,false)</f>
        <v>#N/A</v>
      </c>
      <c r="O603" s="38" t="str">
        <f t="shared" si="2"/>
        <v>Marked</v>
      </c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23"/>
      <c r="AE603" s="23"/>
    </row>
    <row r="604" ht="12.75" customHeight="1">
      <c r="A604" s="19" t="str">
        <f t="shared" si="1"/>
        <v>Auke Blij gorespyre</v>
      </c>
      <c r="B604" s="19" t="s">
        <v>3580</v>
      </c>
      <c r="C604" s="20" t="s">
        <v>2160</v>
      </c>
      <c r="D604" s="20" t="s">
        <v>3581</v>
      </c>
      <c r="E604" s="21" t="s">
        <v>3582</v>
      </c>
      <c r="F604" s="23" t="s">
        <v>3583</v>
      </c>
      <c r="G604" s="32" t="s">
        <v>46</v>
      </c>
      <c r="H604" s="25" t="s">
        <v>47</v>
      </c>
      <c r="I604" s="23"/>
      <c r="J604" s="35" t="s">
        <v>3584</v>
      </c>
      <c r="K604" s="27" t="s">
        <v>50</v>
      </c>
      <c r="L604" s="13" t="s">
        <v>3585</v>
      </c>
      <c r="M604" s="26" t="str">
        <f>VLOOKUP(E604,'MTS 2026 registrations'!B:B,1,false)</f>
        <v>#N/A</v>
      </c>
      <c r="N604" s="26" t="str">
        <f>VLOOKUP(B604,'MTS 2026 registrations'!A:A,1,false)</f>
        <v>#N/A</v>
      </c>
      <c r="O604" s="38" t="str">
        <f t="shared" si="2"/>
        <v>Marked</v>
      </c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2.75" customHeight="1">
      <c r="A605" s="19" t="str">
        <f t="shared" si="1"/>
        <v>Auke Ferwerda platformzero</v>
      </c>
      <c r="B605" s="19" t="s">
        <v>3586</v>
      </c>
      <c r="C605" s="60" t="s">
        <v>2160</v>
      </c>
      <c r="D605" s="60" t="s">
        <v>3587</v>
      </c>
      <c r="E605" s="128" t="s">
        <v>3588</v>
      </c>
      <c r="F605" s="64" t="s">
        <v>3589</v>
      </c>
      <c r="G605" s="42" t="s">
        <v>69</v>
      </c>
      <c r="H605" s="25" t="s">
        <v>45</v>
      </c>
      <c r="I605" s="23"/>
      <c r="J605" s="35" t="s">
        <v>3590</v>
      </c>
      <c r="K605" s="27" t="s">
        <v>50</v>
      </c>
      <c r="L605" s="13" t="s">
        <v>3591</v>
      </c>
      <c r="M605" s="26" t="str">
        <f>VLOOKUP(E605,'MTS 2026 registrations'!B:B,1,false)</f>
        <v>#N/A</v>
      </c>
      <c r="N605" s="26" t="str">
        <f>VLOOKUP(B605,'MTS 2026 registrations'!A:A,1,false)</f>
        <v>#N/A</v>
      </c>
      <c r="O605" s="38" t="str">
        <f t="shared" si="2"/>
        <v>Marked</v>
      </c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2.75" customHeight="1">
      <c r="A606" s="19" t="str">
        <f t="shared" si="1"/>
        <v>Balazs Szekeres perciv</v>
      </c>
      <c r="B606" s="19" t="s">
        <v>3592</v>
      </c>
      <c r="C606" s="20" t="s">
        <v>3593</v>
      </c>
      <c r="D606" s="20" t="s">
        <v>3594</v>
      </c>
      <c r="E606" s="21" t="s">
        <v>3595</v>
      </c>
      <c r="F606" s="23" t="s">
        <v>3307</v>
      </c>
      <c r="G606" s="32" t="s">
        <v>46</v>
      </c>
      <c r="H606" s="25" t="s">
        <v>47</v>
      </c>
      <c r="I606" s="23"/>
      <c r="J606" s="35" t="s">
        <v>3596</v>
      </c>
      <c r="K606" s="27" t="s">
        <v>50</v>
      </c>
      <c r="L606" s="13" t="s">
        <v>3597</v>
      </c>
      <c r="M606" s="26" t="str">
        <f>VLOOKUP(E606,'MTS 2026 registrations'!B:B,1,false)</f>
        <v>#N/A</v>
      </c>
      <c r="N606" s="26" t="str">
        <f>VLOOKUP(B606,'MTS 2026 registrations'!A:A,1,false)</f>
        <v>#N/A</v>
      </c>
      <c r="O606" s="38" t="str">
        <f t="shared" si="2"/>
        <v>Marked</v>
      </c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2.75" customHeight="1">
      <c r="A607" s="19" t="str">
        <f t="shared" si="1"/>
        <v>Balazs Bondici Iseeq</v>
      </c>
      <c r="B607" s="19" t="s">
        <v>3598</v>
      </c>
      <c r="C607" s="172" t="s">
        <v>3599</v>
      </c>
      <c r="D607" s="117" t="s">
        <v>3600</v>
      </c>
      <c r="E607" s="176" t="s">
        <v>3601</v>
      </c>
      <c r="F607" s="135" t="s">
        <v>2978</v>
      </c>
      <c r="G607" s="42" t="s">
        <v>69</v>
      </c>
      <c r="H607" s="25" t="s">
        <v>47</v>
      </c>
      <c r="I607" s="34"/>
      <c r="J607" s="35" t="s">
        <v>3602</v>
      </c>
      <c r="K607" s="27" t="s">
        <v>50</v>
      </c>
      <c r="L607" s="13" t="s">
        <v>3603</v>
      </c>
      <c r="M607" s="26" t="str">
        <f>VLOOKUP(E607,'MTS 2026 registrations'!B:B,1,false)</f>
        <v>#N/A</v>
      </c>
      <c r="N607" s="26" t="str">
        <f>VLOOKUP(B607,'MTS 2026 registrations'!A:A,1,false)</f>
        <v>#N/A</v>
      </c>
      <c r="O607" s="38" t="str">
        <f t="shared" si="2"/>
        <v>Marked</v>
      </c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23"/>
      <c r="AE607" s="23"/>
    </row>
    <row r="608" ht="12.75" customHeight="1">
      <c r="A608" s="19" t="str">
        <f t="shared" si="1"/>
        <v>Bart Remmers deondernemer</v>
      </c>
      <c r="B608" s="19" t="s">
        <v>3604</v>
      </c>
      <c r="C608" s="20" t="s">
        <v>389</v>
      </c>
      <c r="D608" s="20" t="s">
        <v>3605</v>
      </c>
      <c r="E608" s="21" t="s">
        <v>3606</v>
      </c>
      <c r="F608" s="23" t="s">
        <v>3607</v>
      </c>
      <c r="G608" s="24" t="s">
        <v>1593</v>
      </c>
      <c r="H608" s="13" t="s">
        <v>57</v>
      </c>
      <c r="I608" s="23"/>
      <c r="J608" s="35" t="s">
        <v>3608</v>
      </c>
      <c r="K608" s="27" t="s">
        <v>50</v>
      </c>
      <c r="L608" s="13" t="s">
        <v>3609</v>
      </c>
      <c r="M608" s="26" t="str">
        <f>VLOOKUP(E608,'MTS 2026 registrations'!B:B,1,false)</f>
        <v>#N/A</v>
      </c>
      <c r="N608" s="26" t="str">
        <f>VLOOKUP(B608,'MTS 2026 registrations'!A:A,1,false)</f>
        <v>#N/A</v>
      </c>
      <c r="O608" s="38" t="str">
        <f t="shared" si="2"/>
        <v>Marked</v>
      </c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2.75" customHeight="1">
      <c r="A609" s="19" t="str">
        <f t="shared" si="1"/>
        <v>Bart van Oorschot uprax</v>
      </c>
      <c r="B609" s="19" t="s">
        <v>3610</v>
      </c>
      <c r="C609" s="20" t="s">
        <v>389</v>
      </c>
      <c r="D609" s="20" t="s">
        <v>789</v>
      </c>
      <c r="E609" s="21" t="s">
        <v>3611</v>
      </c>
      <c r="F609" s="23" t="s">
        <v>815</v>
      </c>
      <c r="G609" s="32" t="s">
        <v>46</v>
      </c>
      <c r="H609" s="25" t="s">
        <v>47</v>
      </c>
      <c r="I609" s="26"/>
      <c r="J609" s="35" t="s">
        <v>3612</v>
      </c>
      <c r="K609" s="27" t="s">
        <v>50</v>
      </c>
      <c r="L609" s="13" t="s">
        <v>3613</v>
      </c>
      <c r="M609" s="26" t="str">
        <f>VLOOKUP(E609,'MTS 2026 registrations'!B:B,1,false)</f>
        <v>#N/A</v>
      </c>
      <c r="N609" s="26" t="str">
        <f>VLOOKUP(B609,'MTS 2026 registrations'!A:A,1,false)</f>
        <v>#N/A</v>
      </c>
      <c r="O609" s="38" t="str">
        <f t="shared" si="2"/>
        <v>Marked</v>
      </c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2.75" customHeight="1">
      <c r="A610" s="19" t="str">
        <f t="shared" si="1"/>
        <v>Bart Capital tincapital</v>
      </c>
      <c r="B610" s="19" t="s">
        <v>3614</v>
      </c>
      <c r="C610" s="29" t="s">
        <v>389</v>
      </c>
      <c r="D610" s="29" t="s">
        <v>3615</v>
      </c>
      <c r="E610" s="30" t="s">
        <v>3616</v>
      </c>
      <c r="F610" s="29" t="s">
        <v>3617</v>
      </c>
      <c r="G610" s="32" t="s">
        <v>163</v>
      </c>
      <c r="H610" s="13" t="s">
        <v>45</v>
      </c>
      <c r="I610" s="34"/>
      <c r="J610" s="35" t="s">
        <v>3618</v>
      </c>
      <c r="K610" s="27" t="s">
        <v>50</v>
      </c>
      <c r="L610" s="13" t="s">
        <v>3619</v>
      </c>
      <c r="M610" s="26" t="str">
        <f>VLOOKUP(E610,'MTS 2026 registrations'!B:B,1,false)</f>
        <v>#N/A</v>
      </c>
      <c r="N610" s="26" t="str">
        <f>VLOOKUP(B610,'MTS 2026 registrations'!A:A,1,false)</f>
        <v>#N/A</v>
      </c>
      <c r="O610" s="38" t="str">
        <f t="shared" si="2"/>
        <v>Marked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23"/>
      <c r="AE610" s="23"/>
    </row>
    <row r="611" ht="12.75" customHeight="1">
      <c r="A611" s="19" t="str">
        <f t="shared" si="1"/>
        <v>Bart Houlleberghs Type22</v>
      </c>
      <c r="B611" s="19" t="s">
        <v>3620</v>
      </c>
      <c r="C611" s="29" t="s">
        <v>389</v>
      </c>
      <c r="D611" s="29" t="s">
        <v>3621</v>
      </c>
      <c r="E611" s="62" t="s">
        <v>3622</v>
      </c>
      <c r="F611" s="50" t="s">
        <v>3623</v>
      </c>
      <c r="G611" s="32" t="s">
        <v>46</v>
      </c>
      <c r="H611" s="25" t="s">
        <v>139</v>
      </c>
      <c r="I611" s="13" t="s">
        <v>188</v>
      </c>
      <c r="J611" s="35" t="s">
        <v>3624</v>
      </c>
      <c r="K611" s="27" t="s">
        <v>50</v>
      </c>
      <c r="L611" s="13" t="s">
        <v>3625</v>
      </c>
      <c r="M611" s="26" t="str">
        <f>VLOOKUP(E611,'MTS 2026 registrations'!B:B,1,false)</f>
        <v>#N/A</v>
      </c>
      <c r="N611" s="26" t="str">
        <f>VLOOKUP(B611,'MTS 2026 registrations'!A:A,1,false)</f>
        <v>#N/A</v>
      </c>
      <c r="O611" s="38" t="str">
        <f t="shared" si="2"/>
        <v>Marked</v>
      </c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2.75" customHeight="1">
      <c r="A612" s="19" t="str">
        <f t="shared" si="1"/>
        <v>Bart Jacobsz Rosier Etergo (Bolt Mobility)</v>
      </c>
      <c r="B612" s="19" t="s">
        <v>3626</v>
      </c>
      <c r="C612" s="29" t="s">
        <v>3627</v>
      </c>
      <c r="D612" s="29" t="s">
        <v>3628</v>
      </c>
      <c r="E612" s="111" t="s">
        <v>3629</v>
      </c>
      <c r="F612" s="33" t="s">
        <v>3630</v>
      </c>
      <c r="G612" s="32" t="s">
        <v>46</v>
      </c>
      <c r="H612" s="25" t="s">
        <v>47</v>
      </c>
      <c r="I612" s="34"/>
      <c r="J612" s="35" t="s">
        <v>3631</v>
      </c>
      <c r="K612" s="27" t="s">
        <v>50</v>
      </c>
      <c r="L612" s="13" t="s">
        <v>3632</v>
      </c>
      <c r="M612" s="26" t="str">
        <f>VLOOKUP(E612,'MTS 2026 registrations'!B:B,1,false)</f>
        <v>#N/A</v>
      </c>
      <c r="N612" s="26" t="str">
        <f>VLOOKUP(B612,'MTS 2026 registrations'!A:A,1,false)</f>
        <v>#N/A</v>
      </c>
      <c r="O612" s="38" t="str">
        <f t="shared" si="2"/>
        <v>Marked</v>
      </c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23"/>
      <c r="AE612" s="23"/>
    </row>
    <row r="613" ht="12.75" customHeight="1">
      <c r="A613" s="19" t="str">
        <f t="shared" si="1"/>
        <v>Bas Hoogakker mangostone</v>
      </c>
      <c r="B613" s="19" t="s">
        <v>3633</v>
      </c>
      <c r="C613" s="20" t="s">
        <v>3634</v>
      </c>
      <c r="D613" s="20" t="s">
        <v>3635</v>
      </c>
      <c r="E613" s="21" t="s">
        <v>3636</v>
      </c>
      <c r="F613" s="23" t="s">
        <v>3637</v>
      </c>
      <c r="G613" s="32" t="s">
        <v>46</v>
      </c>
      <c r="H613" s="25" t="s">
        <v>47</v>
      </c>
      <c r="I613" s="23"/>
      <c r="J613" s="35" t="s">
        <v>3638</v>
      </c>
      <c r="K613" s="27" t="s">
        <v>50</v>
      </c>
      <c r="L613" s="13" t="s">
        <v>3639</v>
      </c>
      <c r="M613" s="26" t="str">
        <f>VLOOKUP(E613,'MTS 2026 registrations'!B:B,1,false)</f>
        <v>#N/A</v>
      </c>
      <c r="N613" s="26" t="str">
        <f>VLOOKUP(B613,'MTS 2026 registrations'!A:A,1,false)</f>
        <v>#N/A</v>
      </c>
      <c r="O613" s="38" t="str">
        <f t="shared" si="2"/>
        <v>Marked</v>
      </c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2.75" customHeight="1">
      <c r="A614" s="19" t="str">
        <f t="shared" si="1"/>
        <v>Bas Gravendeel McNetiq</v>
      </c>
      <c r="B614" s="19" t="s">
        <v>3640</v>
      </c>
      <c r="C614" s="29" t="s">
        <v>3634</v>
      </c>
      <c r="D614" s="29" t="s">
        <v>3641</v>
      </c>
      <c r="E614" s="31" t="s">
        <v>3642</v>
      </c>
      <c r="F614" s="33" t="s">
        <v>3643</v>
      </c>
      <c r="G614" s="24" t="s">
        <v>46</v>
      </c>
      <c r="H614" s="25" t="s">
        <v>47</v>
      </c>
      <c r="I614" s="34"/>
      <c r="J614" s="35" t="s">
        <v>3644</v>
      </c>
      <c r="K614" s="27" t="s">
        <v>50</v>
      </c>
      <c r="L614" s="13" t="s">
        <v>3645</v>
      </c>
      <c r="M614" s="26" t="str">
        <f>VLOOKUP(E614,'MTS 2026 registrations'!B:B,1,false)</f>
        <v>#N/A</v>
      </c>
      <c r="N614" s="26" t="str">
        <f>VLOOKUP(B614,'MTS 2026 registrations'!A:A,1,false)</f>
        <v>#N/A</v>
      </c>
      <c r="O614" s="38" t="str">
        <f t="shared" si="2"/>
        <v>Marked</v>
      </c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23"/>
      <c r="AE614" s="23"/>
    </row>
    <row r="615" ht="12.75" customHeight="1">
      <c r="A615" s="19" t="str">
        <f t="shared" si="1"/>
        <v>Bas Wevers Royal FloraHolland</v>
      </c>
      <c r="B615" s="19" t="s">
        <v>3646</v>
      </c>
      <c r="C615" s="156" t="s">
        <v>3634</v>
      </c>
      <c r="D615" s="156" t="s">
        <v>3647</v>
      </c>
      <c r="E615" s="50" t="s">
        <v>3648</v>
      </c>
      <c r="F615" s="50" t="s">
        <v>3649</v>
      </c>
      <c r="G615" s="24" t="s">
        <v>225</v>
      </c>
      <c r="H615" s="25" t="s">
        <v>47</v>
      </c>
      <c r="I615" s="34"/>
      <c r="J615" s="35" t="s">
        <v>3650</v>
      </c>
      <c r="K615" s="27" t="s">
        <v>50</v>
      </c>
      <c r="L615" s="13" t="s">
        <v>3651</v>
      </c>
      <c r="M615" s="26" t="str">
        <f>VLOOKUP(E615,'MTS 2026 registrations'!B:B,1,false)</f>
        <v>#N/A</v>
      </c>
      <c r="N615" s="26" t="str">
        <f>VLOOKUP(B615,'MTS 2026 registrations'!A:A,1,false)</f>
        <v>#N/A</v>
      </c>
      <c r="O615" s="38" t="str">
        <f t="shared" si="2"/>
        <v>Marked</v>
      </c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</row>
    <row r="616" ht="12.75" customHeight="1">
      <c r="A616" s="19" t="str">
        <f t="shared" si="1"/>
        <v>Bas Meijer ASM Design</v>
      </c>
      <c r="B616" s="19" t="s">
        <v>3652</v>
      </c>
      <c r="C616" s="29" t="s">
        <v>3634</v>
      </c>
      <c r="D616" s="29" t="s">
        <v>1731</v>
      </c>
      <c r="E616" s="31" t="s">
        <v>3653</v>
      </c>
      <c r="F616" s="33" t="s">
        <v>3654</v>
      </c>
      <c r="G616" s="156" t="s">
        <v>46</v>
      </c>
      <c r="H616" s="50" t="s">
        <v>47</v>
      </c>
      <c r="I616" s="34"/>
      <c r="J616" s="35" t="s">
        <v>3655</v>
      </c>
      <c r="K616" s="27" t="s">
        <v>50</v>
      </c>
      <c r="L616" s="27" t="s">
        <v>3656</v>
      </c>
      <c r="M616" s="26" t="str">
        <f>VLOOKUP(E616,'MTS 2026 registrations'!B:B,1,false)</f>
        <v>#N/A</v>
      </c>
      <c r="N616" s="26" t="str">
        <f>VLOOKUP(B616,'MTS 2026 registrations'!A:A,1,false)</f>
        <v>#N/A</v>
      </c>
      <c r="O616" s="38" t="str">
        <f t="shared" si="2"/>
        <v>Marked</v>
      </c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23"/>
      <c r="AE616" s="23"/>
    </row>
    <row r="617" ht="12.75" customHeight="1">
      <c r="A617" s="19" t="str">
        <f t="shared" si="1"/>
        <v>Bastiaan Smit pzh</v>
      </c>
      <c r="B617" s="19" t="s">
        <v>3657</v>
      </c>
      <c r="C617" s="29" t="s">
        <v>1560</v>
      </c>
      <c r="D617" s="29" t="s">
        <v>521</v>
      </c>
      <c r="E617" s="30" t="s">
        <v>3658</v>
      </c>
      <c r="F617" s="29" t="s">
        <v>1532</v>
      </c>
      <c r="G617" s="32" t="s">
        <v>323</v>
      </c>
      <c r="H617" s="13" t="s">
        <v>213</v>
      </c>
      <c r="I617" s="23"/>
      <c r="J617" s="35" t="s">
        <v>3659</v>
      </c>
      <c r="K617" s="27" t="s">
        <v>50</v>
      </c>
      <c r="L617" s="13" t="s">
        <v>3660</v>
      </c>
      <c r="M617" s="26" t="str">
        <f>VLOOKUP(E617,'MTS 2026 registrations'!B:B,1,false)</f>
        <v>#N/A</v>
      </c>
      <c r="N617" s="26" t="str">
        <f>VLOOKUP(B617,'MTS 2026 registrations'!A:A,1,false)</f>
        <v>#N/A</v>
      </c>
      <c r="O617" s="38" t="str">
        <f t="shared" si="2"/>
        <v>Marked</v>
      </c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2.75" customHeight="1">
      <c r="A618" s="19" t="str">
        <f t="shared" si="1"/>
        <v>Bastiaan van Wijk Move Energy</v>
      </c>
      <c r="B618" s="19" t="s">
        <v>3661</v>
      </c>
      <c r="C618" s="20" t="s">
        <v>1560</v>
      </c>
      <c r="D618" s="20" t="s">
        <v>3662</v>
      </c>
      <c r="E618" s="112" t="s">
        <v>3663</v>
      </c>
      <c r="F618" s="49" t="s">
        <v>3664</v>
      </c>
      <c r="G618" s="24" t="s">
        <v>163</v>
      </c>
      <c r="H618" s="25" t="s">
        <v>164</v>
      </c>
      <c r="I618" s="23"/>
      <c r="J618" s="35" t="s">
        <v>3665</v>
      </c>
      <c r="K618" s="27" t="s">
        <v>50</v>
      </c>
      <c r="L618" s="13" t="s">
        <v>3666</v>
      </c>
      <c r="M618" s="26" t="str">
        <f>VLOOKUP(E618,'MTS 2026 registrations'!B:B,1,false)</f>
        <v>bastiaan@moveenergy.vc</v>
      </c>
      <c r="N618" s="26" t="str">
        <f>VLOOKUP(B618,'MTS 2026 registrations'!A:A,1,false)</f>
        <v>Bastiaan van Wijk</v>
      </c>
      <c r="O618" s="38" t="str">
        <f t="shared" si="2"/>
        <v/>
      </c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2.75" customHeight="1">
      <c r="A619" s="19" t="str">
        <f t="shared" si="1"/>
        <v>Bastiaan de Roo plnt</v>
      </c>
      <c r="B619" s="19" t="s">
        <v>3667</v>
      </c>
      <c r="C619" s="60" t="s">
        <v>1560</v>
      </c>
      <c r="D619" s="60" t="s">
        <v>3668</v>
      </c>
      <c r="E619" s="62" t="s">
        <v>3669</v>
      </c>
      <c r="F619" s="64" t="s">
        <v>3670</v>
      </c>
      <c r="G619" s="42" t="s">
        <v>69</v>
      </c>
      <c r="H619" s="25" t="s">
        <v>139</v>
      </c>
      <c r="I619" s="23"/>
      <c r="J619" s="35" t="s">
        <v>3671</v>
      </c>
      <c r="K619" s="27" t="s">
        <v>50</v>
      </c>
      <c r="L619" s="13" t="s">
        <v>3672</v>
      </c>
      <c r="M619" s="26" t="str">
        <f>VLOOKUP(E619,'MTS 2026 registrations'!B:B,1,false)</f>
        <v>#N/A</v>
      </c>
      <c r="N619" s="26" t="str">
        <f>VLOOKUP(B619,'MTS 2026 registrations'!A:A,1,false)</f>
        <v>#N/A</v>
      </c>
      <c r="O619" s="38" t="str">
        <f t="shared" si="2"/>
        <v>Marked</v>
      </c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2.75" customHeight="1">
      <c r="A620" s="19" t="str">
        <f t="shared" si="1"/>
        <v>Bauke LYLA (Leading Your Laboratory Advancement)</v>
      </c>
      <c r="B620" s="19" t="s">
        <v>3673</v>
      </c>
      <c r="C620" s="29" t="s">
        <v>3673</v>
      </c>
      <c r="D620" s="109"/>
      <c r="E620" s="31" t="s">
        <v>3674</v>
      </c>
      <c r="F620" s="113" t="s">
        <v>2364</v>
      </c>
      <c r="G620" s="32" t="s">
        <v>46</v>
      </c>
      <c r="H620" s="25" t="s">
        <v>47</v>
      </c>
      <c r="I620" s="23"/>
      <c r="J620" s="35" t="s">
        <v>3675</v>
      </c>
      <c r="K620" s="27" t="s">
        <v>50</v>
      </c>
      <c r="L620" s="13" t="s">
        <v>3676</v>
      </c>
      <c r="M620" s="26" t="str">
        <f>VLOOKUP(E620,'MTS 2026 registrations'!B:B,1,false)</f>
        <v>#N/A</v>
      </c>
      <c r="N620" s="26" t="str">
        <f>VLOOKUP(B620,'MTS 2026 registrations'!A:A,1,false)</f>
        <v>#N/A</v>
      </c>
      <c r="O620" s="38" t="str">
        <f t="shared" si="2"/>
        <v>Marked</v>
      </c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2.75" customHeight="1">
      <c r="A621" s="19" t="str">
        <f t="shared" si="1"/>
        <v>Beau-Anne Chilla forward</v>
      </c>
      <c r="B621" s="19" t="s">
        <v>3677</v>
      </c>
      <c r="C621" s="43" t="s">
        <v>3678</v>
      </c>
      <c r="D621" s="43" t="s">
        <v>3679</v>
      </c>
      <c r="E621" s="31" t="s">
        <v>3680</v>
      </c>
      <c r="F621" s="33" t="s">
        <v>3681</v>
      </c>
      <c r="G621" s="51" t="s">
        <v>163</v>
      </c>
      <c r="H621" s="25" t="s">
        <v>139</v>
      </c>
      <c r="I621" s="34"/>
      <c r="J621" s="35" t="s">
        <v>3682</v>
      </c>
      <c r="K621" s="27" t="s">
        <v>50</v>
      </c>
      <c r="L621" s="25" t="s">
        <v>3683</v>
      </c>
      <c r="M621" s="26" t="str">
        <f>VLOOKUP(E621,'MTS 2026 registrations'!B:B,1,false)</f>
        <v>#N/A</v>
      </c>
      <c r="N621" s="26" t="str">
        <f>VLOOKUP(B621,'MTS 2026 registrations'!A:A,1,false)</f>
        <v>#N/A</v>
      </c>
      <c r="O621" s="38" t="str">
        <f t="shared" si="2"/>
        <v>Marked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</row>
    <row r="622" ht="12.75" customHeight="1">
      <c r="A622" s="19" t="str">
        <f t="shared" si="1"/>
        <v>Ben Hayward Xabian</v>
      </c>
      <c r="B622" s="19" t="s">
        <v>3684</v>
      </c>
      <c r="C622" s="29" t="s">
        <v>3685</v>
      </c>
      <c r="D622" s="29" t="s">
        <v>3686</v>
      </c>
      <c r="E622" s="31" t="s">
        <v>3687</v>
      </c>
      <c r="F622" s="33" t="s">
        <v>3688</v>
      </c>
      <c r="G622" s="32" t="s">
        <v>46</v>
      </c>
      <c r="H622" s="25" t="s">
        <v>47</v>
      </c>
      <c r="I622" s="34"/>
      <c r="J622" s="35" t="s">
        <v>3689</v>
      </c>
      <c r="K622" s="27" t="s">
        <v>50</v>
      </c>
      <c r="L622" s="27" t="s">
        <v>3690</v>
      </c>
      <c r="M622" s="26" t="str">
        <f>VLOOKUP(E622,'MTS 2026 registrations'!B:B,1,false)</f>
        <v>#N/A</v>
      </c>
      <c r="N622" s="26" t="str">
        <f>VLOOKUP(B622,'MTS 2026 registrations'!A:A,1,false)</f>
        <v>#N/A</v>
      </c>
      <c r="O622" s="38" t="str">
        <f t="shared" si="2"/>
        <v>Marked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23"/>
      <c r="AE622" s="23"/>
    </row>
    <row r="623" ht="12.75" customHeight="1">
      <c r="A623" s="19" t="str">
        <f t="shared" si="1"/>
        <v>Benjamin Wols ans.app</v>
      </c>
      <c r="B623" s="19" t="s">
        <v>3691</v>
      </c>
      <c r="C623" s="20" t="s">
        <v>3692</v>
      </c>
      <c r="D623" s="20" t="s">
        <v>3693</v>
      </c>
      <c r="E623" s="21" t="s">
        <v>3694</v>
      </c>
      <c r="F623" s="23" t="s">
        <v>3695</v>
      </c>
      <c r="G623" s="32" t="s">
        <v>46</v>
      </c>
      <c r="H623" s="25" t="s">
        <v>47</v>
      </c>
      <c r="I623" s="26"/>
      <c r="J623" s="35" t="s">
        <v>3696</v>
      </c>
      <c r="K623" s="27" t="s">
        <v>50</v>
      </c>
      <c r="L623" s="13" t="s">
        <v>3697</v>
      </c>
      <c r="M623" s="26" t="str">
        <f>VLOOKUP(E623,'MTS 2026 registrations'!B:B,1,false)</f>
        <v>#N/A</v>
      </c>
      <c r="N623" s="26" t="str">
        <f>VLOOKUP(B623,'MTS 2026 registrations'!A:A,1,false)</f>
        <v>#N/A</v>
      </c>
      <c r="O623" s="38" t="str">
        <f t="shared" si="2"/>
        <v>Marked</v>
      </c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2.75" customHeight="1">
      <c r="A624" s="19" t="str">
        <f t="shared" si="1"/>
        <v>Benjamin Wochner KOPA Ventures (Keep Our Planet Alive)</v>
      </c>
      <c r="B624" s="19" t="s">
        <v>3698</v>
      </c>
      <c r="C624" s="20" t="s">
        <v>3692</v>
      </c>
      <c r="D624" s="20" t="s">
        <v>3699</v>
      </c>
      <c r="E624" s="21" t="s">
        <v>3700</v>
      </c>
      <c r="F624" s="49" t="s">
        <v>3701</v>
      </c>
      <c r="G624" s="24" t="s">
        <v>163</v>
      </c>
      <c r="H624" s="26" t="s">
        <v>164</v>
      </c>
      <c r="I624" s="13"/>
      <c r="J624" s="35" t="s">
        <v>3702</v>
      </c>
      <c r="K624" s="27" t="s">
        <v>50</v>
      </c>
      <c r="L624" s="25" t="s">
        <v>3703</v>
      </c>
      <c r="M624" s="26" t="str">
        <f>VLOOKUP(E624,'MTS 2026 registrations'!B:B,1,false)</f>
        <v>#N/A</v>
      </c>
      <c r="N624" s="26" t="str">
        <f>VLOOKUP(B624,'MTS 2026 registrations'!A:A,1,false)</f>
        <v>#N/A</v>
      </c>
      <c r="O624" s="38" t="str">
        <f t="shared" si="2"/>
        <v>Marked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</row>
    <row r="625" ht="12.75" customHeight="1">
      <c r="A625" s="19" t="str">
        <f t="shared" si="1"/>
        <v>Berend de Klerk plense.tech</v>
      </c>
      <c r="B625" s="19" t="s">
        <v>3704</v>
      </c>
      <c r="C625" s="20" t="s">
        <v>2181</v>
      </c>
      <c r="D625" s="20" t="s">
        <v>3705</v>
      </c>
      <c r="E625" s="112" t="s">
        <v>3706</v>
      </c>
      <c r="F625" s="23" t="s">
        <v>3707</v>
      </c>
      <c r="G625" s="32" t="s">
        <v>46</v>
      </c>
      <c r="H625" s="25" t="s">
        <v>47</v>
      </c>
      <c r="I625" s="23"/>
      <c r="J625" s="35" t="s">
        <v>3708</v>
      </c>
      <c r="K625" s="27" t="s">
        <v>50</v>
      </c>
      <c r="L625" s="25" t="s">
        <v>3709</v>
      </c>
      <c r="M625" s="26" t="str">
        <f>VLOOKUP(E625,'MTS 2026 registrations'!B:B,1,false)</f>
        <v>#N/A</v>
      </c>
      <c r="N625" s="26" t="str">
        <f>VLOOKUP(B625,'MTS 2026 registrations'!A:A,1,false)</f>
        <v>#N/A</v>
      </c>
      <c r="O625" s="38" t="str">
        <f t="shared" si="2"/>
        <v>Marked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2.75" customHeight="1">
      <c r="A626" s="19" t="str">
        <f t="shared" si="1"/>
        <v>Berend Jan Kleute Bluerise</v>
      </c>
      <c r="B626" s="19" t="s">
        <v>3710</v>
      </c>
      <c r="C626" s="29" t="s">
        <v>2181</v>
      </c>
      <c r="D626" s="29" t="s">
        <v>3711</v>
      </c>
      <c r="E626" s="62" t="s">
        <v>3712</v>
      </c>
      <c r="F626" s="50" t="s">
        <v>994</v>
      </c>
      <c r="G626" s="32" t="s">
        <v>46</v>
      </c>
      <c r="H626" s="25" t="s">
        <v>139</v>
      </c>
      <c r="I626" s="13" t="s">
        <v>188</v>
      </c>
      <c r="J626" s="35" t="s">
        <v>3713</v>
      </c>
      <c r="K626" s="27" t="s">
        <v>50</v>
      </c>
      <c r="L626" s="13" t="s">
        <v>3714</v>
      </c>
      <c r="M626" s="26" t="str">
        <f>VLOOKUP(E626,'MTS 2026 registrations'!B:B,1,false)</f>
        <v>berendjankleute@gmail.com</v>
      </c>
      <c r="N626" s="26" t="str">
        <f>VLOOKUP(B626,'MTS 2026 registrations'!A:A,1,false)</f>
        <v>Berend Jan Kleute</v>
      </c>
      <c r="O626" s="38" t="str">
        <f t="shared" si="2"/>
        <v/>
      </c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2.75" customHeight="1">
      <c r="A627" s="19" t="str">
        <f t="shared" si="1"/>
        <v>Bernadeta Karpaviciute uprotterdam</v>
      </c>
      <c r="B627" s="19" t="s">
        <v>3715</v>
      </c>
      <c r="C627" s="60" t="s">
        <v>3716</v>
      </c>
      <c r="D627" s="60" t="s">
        <v>3717</v>
      </c>
      <c r="E627" s="62" t="s">
        <v>3718</v>
      </c>
      <c r="F627" s="64" t="s">
        <v>2576</v>
      </c>
      <c r="G627" s="24" t="s">
        <v>29</v>
      </c>
      <c r="H627" s="25" t="s">
        <v>139</v>
      </c>
      <c r="I627" s="34"/>
      <c r="J627" s="35" t="s">
        <v>3719</v>
      </c>
      <c r="K627" s="27" t="s">
        <v>50</v>
      </c>
      <c r="L627" s="13" t="s">
        <v>3720</v>
      </c>
      <c r="M627" s="26" t="str">
        <f>VLOOKUP(E627,'MTS 2026 registrations'!B:B,1,false)</f>
        <v>#N/A</v>
      </c>
      <c r="N627" s="26" t="str">
        <f>VLOOKUP(B627,'MTS 2026 registrations'!A:A,1,false)</f>
        <v>#N/A</v>
      </c>
      <c r="O627" s="38" t="str">
        <f t="shared" si="2"/>
        <v>Marked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2.75" customHeight="1">
      <c r="A628" s="19" t="str">
        <f t="shared" si="1"/>
        <v>Bernard hulshof Solar works</v>
      </c>
      <c r="B628" s="19" t="s">
        <v>3721</v>
      </c>
      <c r="C628" s="29" t="s">
        <v>3722</v>
      </c>
      <c r="D628" s="29" t="s">
        <v>3723</v>
      </c>
      <c r="E628" s="177" t="s">
        <v>3724</v>
      </c>
      <c r="F628" s="33" t="s">
        <v>3725</v>
      </c>
      <c r="G628" s="32" t="s">
        <v>46</v>
      </c>
      <c r="H628" s="25" t="s">
        <v>47</v>
      </c>
      <c r="I628" s="34"/>
      <c r="J628" s="35" t="s">
        <v>3726</v>
      </c>
      <c r="K628" s="27" t="s">
        <v>50</v>
      </c>
      <c r="L628" s="13" t="s">
        <v>3727</v>
      </c>
      <c r="M628" s="26" t="str">
        <f>VLOOKUP(E628,'MTS 2026 registrations'!B:B,1,false)</f>
        <v>#N/A</v>
      </c>
      <c r="N628" s="26" t="str">
        <f>VLOOKUP(B628,'MTS 2026 registrations'!A:A,1,false)</f>
        <v>#N/A</v>
      </c>
      <c r="O628" s="38" t="str">
        <f t="shared" si="2"/>
        <v>Marked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23"/>
      <c r="AE628" s="23"/>
    </row>
    <row r="629" ht="12.75" customHeight="1">
      <c r="A629" s="19" t="str">
        <f t="shared" si="1"/>
        <v>Bernhard Heidenreich ARCEON</v>
      </c>
      <c r="B629" s="19" t="s">
        <v>3728</v>
      </c>
      <c r="C629" s="29" t="s">
        <v>3729</v>
      </c>
      <c r="D629" s="29" t="s">
        <v>3730</v>
      </c>
      <c r="E629" s="31" t="s">
        <v>3731</v>
      </c>
      <c r="F629" s="33" t="s">
        <v>3732</v>
      </c>
      <c r="G629" s="32" t="s">
        <v>46</v>
      </c>
      <c r="H629" s="25" t="s">
        <v>47</v>
      </c>
      <c r="I629" s="34"/>
      <c r="J629" s="35" t="s">
        <v>3733</v>
      </c>
      <c r="K629" s="27" t="s">
        <v>50</v>
      </c>
      <c r="L629" s="13" t="s">
        <v>3734</v>
      </c>
      <c r="M629" s="26" t="str">
        <f>VLOOKUP(E629,'MTS 2026 registrations'!B:B,1,false)</f>
        <v>#N/A</v>
      </c>
      <c r="N629" s="26" t="str">
        <f>VLOOKUP(B629,'MTS 2026 registrations'!A:A,1,false)</f>
        <v>#N/A</v>
      </c>
      <c r="O629" s="38" t="str">
        <f t="shared" si="2"/>
        <v>Marked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23"/>
      <c r="AE629" s="23"/>
    </row>
    <row r="630" ht="12.75" customHeight="1">
      <c r="A630" s="19" t="str">
        <f t="shared" si="1"/>
        <v>Bert Windchallenge Holland BV</v>
      </c>
      <c r="B630" s="19" t="s">
        <v>3735</v>
      </c>
      <c r="C630" s="29" t="s">
        <v>3735</v>
      </c>
      <c r="D630" s="109"/>
      <c r="E630" s="31" t="s">
        <v>3736</v>
      </c>
      <c r="F630" s="33" t="s">
        <v>3737</v>
      </c>
      <c r="G630" s="32" t="s">
        <v>46</v>
      </c>
      <c r="H630" s="25" t="s">
        <v>47</v>
      </c>
      <c r="I630" s="34"/>
      <c r="J630" s="124" t="s">
        <v>3738</v>
      </c>
      <c r="K630" s="27" t="s">
        <v>50</v>
      </c>
      <c r="L630" s="27" t="s">
        <v>3739</v>
      </c>
      <c r="M630" s="26" t="str">
        <f>VLOOKUP(E630,'MTS 2026 registrations'!B:B,1,false)</f>
        <v>#N/A</v>
      </c>
      <c r="N630" s="26" t="str">
        <f>VLOOKUP(B630,'MTS 2026 registrations'!A:A,1,false)</f>
        <v>#N/A</v>
      </c>
      <c r="O630" s="38" t="str">
        <f t="shared" si="2"/>
        <v>Marked</v>
      </c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</row>
    <row r="631" ht="12.75" customHeight="1">
      <c r="A631" s="19" t="str">
        <f t="shared" si="1"/>
        <v>Bertrand van Leersum borskifund</v>
      </c>
      <c r="B631" s="19" t="s">
        <v>3740</v>
      </c>
      <c r="C631" s="20" t="s">
        <v>3741</v>
      </c>
      <c r="D631" s="20" t="s">
        <v>3742</v>
      </c>
      <c r="E631" s="21" t="s">
        <v>3743</v>
      </c>
      <c r="F631" s="23" t="s">
        <v>3744</v>
      </c>
      <c r="G631" s="24" t="s">
        <v>163</v>
      </c>
      <c r="H631" s="25" t="s">
        <v>164</v>
      </c>
      <c r="I631" s="26"/>
      <c r="J631" s="35" t="s">
        <v>3745</v>
      </c>
      <c r="K631" s="27" t="s">
        <v>50</v>
      </c>
      <c r="L631" s="13" t="s">
        <v>3746</v>
      </c>
      <c r="M631" s="26" t="str">
        <f>VLOOKUP(E631,'MTS 2026 registrations'!B:B,1,false)</f>
        <v>bertrand@borskifund.com</v>
      </c>
      <c r="N631" s="26" t="str">
        <f>VLOOKUP(B631,'MTS 2026 registrations'!A:A,1,false)</f>
        <v>#N/A</v>
      </c>
      <c r="O631" s="38" t="str">
        <f t="shared" si="2"/>
        <v/>
      </c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2.75" customHeight="1">
      <c r="A632" s="19" t="str">
        <f t="shared" si="1"/>
        <v>Betty Huerta PLNT</v>
      </c>
      <c r="B632" s="19" t="s">
        <v>3747</v>
      </c>
      <c r="C632" s="116" t="s">
        <v>3748</v>
      </c>
      <c r="D632" s="116" t="s">
        <v>3749</v>
      </c>
      <c r="E632" s="128" t="s">
        <v>3750</v>
      </c>
      <c r="F632" s="49" t="s">
        <v>3751</v>
      </c>
      <c r="G632" s="42" t="s">
        <v>69</v>
      </c>
      <c r="H632" s="13" t="s">
        <v>57</v>
      </c>
      <c r="I632" s="23"/>
      <c r="J632" s="35" t="s">
        <v>3752</v>
      </c>
      <c r="K632" s="27" t="s">
        <v>50</v>
      </c>
      <c r="L632" s="13" t="s">
        <v>3753</v>
      </c>
      <c r="M632" s="26" t="str">
        <f>VLOOKUP(E632,'MTS 2026 registrations'!B:B,1,false)</f>
        <v>#N/A</v>
      </c>
      <c r="N632" s="26" t="str">
        <f>VLOOKUP(B632,'MTS 2026 registrations'!A:A,1,false)</f>
        <v>#N/A</v>
      </c>
      <c r="O632" s="38" t="str">
        <f t="shared" si="2"/>
        <v>Marked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2.75" customHeight="1">
      <c r="A633" s="19" t="str">
        <f t="shared" si="1"/>
        <v>Bilal Ahmad shell</v>
      </c>
      <c r="B633" s="19" t="s">
        <v>3754</v>
      </c>
      <c r="C633" s="20" t="s">
        <v>3755</v>
      </c>
      <c r="D633" s="20" t="s">
        <v>3756</v>
      </c>
      <c r="E633" s="88" t="s">
        <v>3757</v>
      </c>
      <c r="F633" s="23" t="s">
        <v>55</v>
      </c>
      <c r="G633" s="24" t="s">
        <v>56</v>
      </c>
      <c r="H633" s="13" t="s">
        <v>57</v>
      </c>
      <c r="I633" s="23"/>
      <c r="J633" s="35" t="s">
        <v>3758</v>
      </c>
      <c r="K633" s="27" t="s">
        <v>50</v>
      </c>
      <c r="L633" s="13" t="s">
        <v>3759</v>
      </c>
      <c r="M633" s="26" t="str">
        <f>VLOOKUP(E633,'MTS 2026 registrations'!B:B,1,false)</f>
        <v>#N/A</v>
      </c>
      <c r="N633" s="26" t="str">
        <f>VLOOKUP(B633,'MTS 2026 registrations'!A:A,1,false)</f>
        <v>#N/A</v>
      </c>
      <c r="O633" s="38" t="str">
        <f t="shared" si="2"/>
        <v>Marked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2.75" customHeight="1">
      <c r="A634" s="19" t="str">
        <f t="shared" si="1"/>
        <v>Bjorn Risberg VOC CApital Partners</v>
      </c>
      <c r="B634" s="19" t="s">
        <v>3760</v>
      </c>
      <c r="C634" s="116" t="s">
        <v>3761</v>
      </c>
      <c r="D634" s="117" t="s">
        <v>3762</v>
      </c>
      <c r="E634" s="128" t="s">
        <v>3763</v>
      </c>
      <c r="F634" s="66" t="s">
        <v>3764</v>
      </c>
      <c r="G634" s="42" t="s">
        <v>163</v>
      </c>
      <c r="H634" s="25" t="s">
        <v>164</v>
      </c>
      <c r="I634" s="26"/>
      <c r="J634" s="35" t="s">
        <v>3765</v>
      </c>
      <c r="K634" s="27" t="s">
        <v>50</v>
      </c>
      <c r="L634" s="13" t="s">
        <v>3766</v>
      </c>
      <c r="M634" s="26" t="str">
        <f>VLOOKUP(E634,'MTS 2026 registrations'!B:B,1,false)</f>
        <v>#N/A</v>
      </c>
      <c r="N634" s="26" t="str">
        <f>VLOOKUP(B634,'MTS 2026 registrations'!A:A,1,false)</f>
        <v>#N/A</v>
      </c>
      <c r="O634" s="38" t="str">
        <f t="shared" si="2"/>
        <v>Marked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23"/>
      <c r="AE634" s="23"/>
    </row>
    <row r="635" ht="12.75" customHeight="1">
      <c r="A635" s="19" t="str">
        <f t="shared" si="1"/>
        <v>Boaz Leupe Nerdalize</v>
      </c>
      <c r="B635" s="19" t="s">
        <v>3767</v>
      </c>
      <c r="C635" s="29" t="s">
        <v>3768</v>
      </c>
      <c r="D635" s="29" t="s">
        <v>3769</v>
      </c>
      <c r="E635" s="62" t="s">
        <v>3770</v>
      </c>
      <c r="F635" s="50" t="s">
        <v>843</v>
      </c>
      <c r="G635" s="32" t="s">
        <v>46</v>
      </c>
      <c r="H635" s="25" t="s">
        <v>139</v>
      </c>
      <c r="I635" s="23"/>
      <c r="J635" s="35" t="s">
        <v>3771</v>
      </c>
      <c r="K635" s="27" t="s">
        <v>50</v>
      </c>
      <c r="L635" s="13" t="s">
        <v>3772</v>
      </c>
      <c r="M635" s="26" t="str">
        <f>VLOOKUP(E635,'MTS 2026 registrations'!B:B,1,false)</f>
        <v>#N/A</v>
      </c>
      <c r="N635" s="26" t="str">
        <f>VLOOKUP(B635,'MTS 2026 registrations'!A:A,1,false)</f>
        <v>#N/A</v>
      </c>
      <c r="O635" s="38" t="str">
        <f t="shared" si="2"/>
        <v>Marked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2.75" customHeight="1">
      <c r="A636" s="19" t="str">
        <f t="shared" si="1"/>
        <v>Bob Bennink Treestle</v>
      </c>
      <c r="B636" s="19" t="s">
        <v>3773</v>
      </c>
      <c r="C636" s="29" t="s">
        <v>2192</v>
      </c>
      <c r="D636" s="29" t="s">
        <v>3774</v>
      </c>
      <c r="E636" s="80" t="s">
        <v>3775</v>
      </c>
      <c r="F636" s="33" t="s">
        <v>3776</v>
      </c>
      <c r="G636" s="24" t="s">
        <v>46</v>
      </c>
      <c r="H636" s="25" t="s">
        <v>47</v>
      </c>
      <c r="I636" s="34"/>
      <c r="J636" s="35" t="s">
        <v>3777</v>
      </c>
      <c r="K636" s="27" t="s">
        <v>50</v>
      </c>
      <c r="L636" s="13" t="s">
        <v>3778</v>
      </c>
      <c r="M636" s="26" t="str">
        <f>VLOOKUP(E636,'MTS 2026 registrations'!B:B,1,false)</f>
        <v>#N/A</v>
      </c>
      <c r="N636" s="26" t="str">
        <f>VLOOKUP(B636,'MTS 2026 registrations'!A:A,1,false)</f>
        <v>#N/A</v>
      </c>
      <c r="O636" s="38" t="str">
        <f t="shared" si="2"/>
        <v>Marked</v>
      </c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23"/>
      <c r="AE636" s="23"/>
    </row>
    <row r="637" ht="12.75" customHeight="1">
      <c r="A637" s="19" t="str">
        <f t="shared" si="1"/>
        <v>Bob Hendrikx loop-biotech</v>
      </c>
      <c r="B637" s="19" t="s">
        <v>3779</v>
      </c>
      <c r="C637" s="60" t="s">
        <v>2192</v>
      </c>
      <c r="D637" s="60" t="s">
        <v>3780</v>
      </c>
      <c r="E637" s="62" t="s">
        <v>3781</v>
      </c>
      <c r="F637" s="64" t="s">
        <v>3782</v>
      </c>
      <c r="G637" s="32" t="s">
        <v>46</v>
      </c>
      <c r="H637" s="25" t="s">
        <v>139</v>
      </c>
      <c r="I637" s="23"/>
      <c r="J637" s="35" t="s">
        <v>3783</v>
      </c>
      <c r="K637" s="27" t="s">
        <v>50</v>
      </c>
      <c r="L637" s="13" t="s">
        <v>3784</v>
      </c>
      <c r="M637" s="26" t="str">
        <f>VLOOKUP(E637,'MTS 2026 registrations'!B:B,1,false)</f>
        <v>#N/A</v>
      </c>
      <c r="N637" s="26" t="str">
        <f>VLOOKUP(B637,'MTS 2026 registrations'!A:A,1,false)</f>
        <v>#N/A</v>
      </c>
      <c r="O637" s="38" t="str">
        <f t="shared" si="2"/>
        <v>Marked</v>
      </c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2.75" customHeight="1">
      <c r="A638" s="19" t="str">
        <f t="shared" si="1"/>
        <v>Boris Goranov ubiqu</v>
      </c>
      <c r="B638" s="19" t="s">
        <v>3785</v>
      </c>
      <c r="C638" s="29" t="s">
        <v>480</v>
      </c>
      <c r="D638" s="29" t="s">
        <v>3786</v>
      </c>
      <c r="E638" s="62" t="s">
        <v>3787</v>
      </c>
      <c r="F638" s="50" t="s">
        <v>3788</v>
      </c>
      <c r="G638" s="32" t="s">
        <v>46</v>
      </c>
      <c r="H638" s="25" t="s">
        <v>139</v>
      </c>
      <c r="I638" s="13" t="s">
        <v>188</v>
      </c>
      <c r="J638" s="35" t="s">
        <v>3789</v>
      </c>
      <c r="K638" s="27" t="s">
        <v>50</v>
      </c>
      <c r="L638" s="13" t="s">
        <v>3790</v>
      </c>
      <c r="M638" s="26" t="str">
        <f>VLOOKUP(E638,'MTS 2026 registrations'!B:B,1,false)</f>
        <v>#N/A</v>
      </c>
      <c r="N638" s="26" t="str">
        <f>VLOOKUP(B638,'MTS 2026 registrations'!A:A,1,false)</f>
        <v>#N/A</v>
      </c>
      <c r="O638" s="38" t="str">
        <f t="shared" si="2"/>
        <v>Marked</v>
      </c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2.75" customHeight="1">
      <c r="A639" s="19" t="str">
        <f t="shared" si="1"/>
        <v>Boudewijn Wisse InteSpring</v>
      </c>
      <c r="B639" s="19" t="s">
        <v>3791</v>
      </c>
      <c r="C639" s="29" t="s">
        <v>3792</v>
      </c>
      <c r="D639" s="29" t="s">
        <v>836</v>
      </c>
      <c r="E639" s="80" t="s">
        <v>3793</v>
      </c>
      <c r="F639" s="33" t="s">
        <v>2875</v>
      </c>
      <c r="G639" s="24" t="s">
        <v>46</v>
      </c>
      <c r="H639" s="25" t="s">
        <v>47</v>
      </c>
      <c r="I639" s="34"/>
      <c r="J639" s="35" t="s">
        <v>3794</v>
      </c>
      <c r="K639" s="27" t="s">
        <v>50</v>
      </c>
      <c r="L639" s="13" t="s">
        <v>3795</v>
      </c>
      <c r="M639" s="26" t="str">
        <f>VLOOKUP(E639,'MTS 2026 registrations'!B:B,1,false)</f>
        <v>#N/A</v>
      </c>
      <c r="N639" s="26" t="str">
        <f>VLOOKUP(B639,'MTS 2026 registrations'!A:A,1,false)</f>
        <v>#N/A</v>
      </c>
      <c r="O639" s="38" t="str">
        <f t="shared" si="2"/>
        <v>Marked</v>
      </c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23"/>
      <c r="AE639" s="23"/>
    </row>
    <row r="640" ht="12.75" customHeight="1">
      <c r="A640" s="19" t="str">
        <f t="shared" si="1"/>
        <v>Boudewijn van Sambeek JackSavior</v>
      </c>
      <c r="B640" s="19" t="s">
        <v>3796</v>
      </c>
      <c r="C640" s="29" t="s">
        <v>3792</v>
      </c>
      <c r="D640" s="29" t="s">
        <v>3797</v>
      </c>
      <c r="E640" s="62" t="s">
        <v>3798</v>
      </c>
      <c r="F640" s="50" t="s">
        <v>1105</v>
      </c>
      <c r="G640" s="32" t="s">
        <v>46</v>
      </c>
      <c r="H640" s="25" t="s">
        <v>139</v>
      </c>
      <c r="I640" s="23"/>
      <c r="J640" s="35" t="s">
        <v>3799</v>
      </c>
      <c r="K640" s="27" t="s">
        <v>50</v>
      </c>
      <c r="L640" s="13" t="s">
        <v>3800</v>
      </c>
      <c r="M640" s="26" t="str">
        <f>VLOOKUP(E640,'MTS 2026 registrations'!B:B,1,false)</f>
        <v>#N/A</v>
      </c>
      <c r="N640" s="26" t="str">
        <f>VLOOKUP(B640,'MTS 2026 registrations'!A:A,1,false)</f>
        <v>#N/A</v>
      </c>
      <c r="O640" s="38" t="str">
        <f t="shared" si="2"/>
        <v>Marked</v>
      </c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2.75" customHeight="1">
      <c r="A641" s="19" t="str">
        <f t="shared" si="1"/>
        <v>Bowei Huang magneto.systems</v>
      </c>
      <c r="B641" s="19" t="s">
        <v>3801</v>
      </c>
      <c r="C641" s="20" t="s">
        <v>3802</v>
      </c>
      <c r="D641" s="20" t="s">
        <v>3803</v>
      </c>
      <c r="E641" s="21" t="s">
        <v>3804</v>
      </c>
      <c r="F641" s="23" t="s">
        <v>3805</v>
      </c>
      <c r="G641" s="32" t="s">
        <v>46</v>
      </c>
      <c r="H641" s="25" t="s">
        <v>47</v>
      </c>
      <c r="I641" s="23"/>
      <c r="J641" s="35" t="s">
        <v>3806</v>
      </c>
      <c r="K641" s="27" t="s">
        <v>50</v>
      </c>
      <c r="L641" s="13" t="s">
        <v>3807</v>
      </c>
      <c r="M641" s="26" t="str">
        <f>VLOOKUP(E641,'MTS 2026 registrations'!B:B,1,false)</f>
        <v>#N/A</v>
      </c>
      <c r="N641" s="26" t="str">
        <f>VLOOKUP(B641,'MTS 2026 registrations'!A:A,1,false)</f>
        <v>#N/A</v>
      </c>
      <c r="O641" s="38" t="str">
        <f t="shared" si="2"/>
        <v>Marked</v>
      </c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2.75" customHeight="1">
      <c r="A642" s="19" t="str">
        <f t="shared" si="1"/>
        <v>Boy Trip e-trailer</v>
      </c>
      <c r="B642" s="19" t="s">
        <v>3808</v>
      </c>
      <c r="C642" s="20" t="s">
        <v>3809</v>
      </c>
      <c r="D642" s="20" t="s">
        <v>3810</v>
      </c>
      <c r="E642" s="21" t="s">
        <v>3811</v>
      </c>
      <c r="F642" s="23" t="s">
        <v>3812</v>
      </c>
      <c r="G642" s="32" t="s">
        <v>46</v>
      </c>
      <c r="H642" s="25" t="s">
        <v>47</v>
      </c>
      <c r="I642" s="23"/>
      <c r="J642" s="35" t="s">
        <v>3813</v>
      </c>
      <c r="K642" s="27" t="s">
        <v>50</v>
      </c>
      <c r="L642" s="13" t="s">
        <v>3814</v>
      </c>
      <c r="M642" s="26" t="str">
        <f>VLOOKUP(E642,'MTS 2026 registrations'!B:B,1,false)</f>
        <v>#N/A</v>
      </c>
      <c r="N642" s="26" t="str">
        <f>VLOOKUP(B642,'MTS 2026 registrations'!A:A,1,false)</f>
        <v>#N/A</v>
      </c>
      <c r="O642" s="38" t="str">
        <f t="shared" si="2"/>
        <v>Marked</v>
      </c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2.75" customHeight="1">
      <c r="A643" s="19" t="str">
        <f t="shared" si="1"/>
        <v>Bram Kerssemakers planet-b</v>
      </c>
      <c r="B643" s="19" t="s">
        <v>3815</v>
      </c>
      <c r="C643" s="29" t="s">
        <v>2203</v>
      </c>
      <c r="D643" s="29" t="s">
        <v>3816</v>
      </c>
      <c r="E643" s="30" t="s">
        <v>3817</v>
      </c>
      <c r="F643" s="29" t="s">
        <v>2716</v>
      </c>
      <c r="G643" s="32" t="s">
        <v>29</v>
      </c>
      <c r="H643" s="13" t="s">
        <v>45</v>
      </c>
      <c r="I643" s="34"/>
      <c r="J643" s="35" t="s">
        <v>3818</v>
      </c>
      <c r="K643" s="27" t="s">
        <v>50</v>
      </c>
      <c r="L643" s="13" t="s">
        <v>3819</v>
      </c>
      <c r="M643" s="26" t="str">
        <f>VLOOKUP(E643,'MTS 2026 registrations'!B:B,1,false)</f>
        <v>#N/A</v>
      </c>
      <c r="N643" s="26" t="str">
        <f>VLOOKUP(B643,'MTS 2026 registrations'!A:A,1,false)</f>
        <v>#N/A</v>
      </c>
      <c r="O643" s="38" t="str">
        <f t="shared" si="2"/>
        <v>Marked</v>
      </c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23"/>
      <c r="AE643" s="23"/>
    </row>
    <row r="644" ht="12.75" customHeight="1">
      <c r="A644" s="19" t="str">
        <f t="shared" si="1"/>
        <v>Bram Tijmons PATS</v>
      </c>
      <c r="B644" s="19" t="s">
        <v>3820</v>
      </c>
      <c r="C644" s="29" t="s">
        <v>2203</v>
      </c>
      <c r="D644" s="29" t="s">
        <v>3821</v>
      </c>
      <c r="E644" s="62" t="s">
        <v>3822</v>
      </c>
      <c r="F644" s="50" t="s">
        <v>3823</v>
      </c>
      <c r="G644" s="32" t="s">
        <v>46</v>
      </c>
      <c r="H644" s="25" t="s">
        <v>139</v>
      </c>
      <c r="I644" s="23"/>
      <c r="J644" s="35" t="s">
        <v>3824</v>
      </c>
      <c r="K644" s="27" t="s">
        <v>50</v>
      </c>
      <c r="L644" s="13" t="s">
        <v>3825</v>
      </c>
      <c r="M644" s="26" t="str">
        <f>VLOOKUP(E644,'MTS 2026 registrations'!B:B,1,false)</f>
        <v>#N/A</v>
      </c>
      <c r="N644" s="26" t="str">
        <f>VLOOKUP(B644,'MTS 2026 registrations'!A:A,1,false)</f>
        <v>#N/A</v>
      </c>
      <c r="O644" s="38" t="str">
        <f t="shared" si="2"/>
        <v>Marked</v>
      </c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2.75" customHeight="1">
      <c r="A645" s="19" t="str">
        <f t="shared" si="1"/>
        <v>Branko van Loon Gemeente Den Haag</v>
      </c>
      <c r="B645" s="19" t="s">
        <v>3826</v>
      </c>
      <c r="C645" s="138" t="s">
        <v>3827</v>
      </c>
      <c r="D645" s="138" t="s">
        <v>3828</v>
      </c>
      <c r="E645" s="139" t="s">
        <v>3829</v>
      </c>
      <c r="F645" s="71" t="s">
        <v>3830</v>
      </c>
      <c r="G645" s="24" t="s">
        <v>323</v>
      </c>
      <c r="H645" s="25" t="s">
        <v>139</v>
      </c>
      <c r="I645" s="23"/>
      <c r="J645" s="35" t="s">
        <v>3831</v>
      </c>
      <c r="K645" s="27" t="s">
        <v>50</v>
      </c>
      <c r="L645" s="13" t="s">
        <v>3832</v>
      </c>
      <c r="M645" s="26" t="str">
        <f>VLOOKUP(E645,'MTS 2026 registrations'!B:B,1,false)</f>
        <v>#N/A</v>
      </c>
      <c r="N645" s="26" t="str">
        <f>VLOOKUP(B645,'MTS 2026 registrations'!A:A,1,false)</f>
        <v>#N/A</v>
      </c>
      <c r="O645" s="38" t="str">
        <f t="shared" si="2"/>
        <v>Marked</v>
      </c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2.75" customHeight="1">
      <c r="A646" s="19" t="str">
        <f t="shared" si="1"/>
        <v>Brent Kok smart-ship</v>
      </c>
      <c r="B646" s="19" t="s">
        <v>3833</v>
      </c>
      <c r="C646" s="20" t="s">
        <v>3834</v>
      </c>
      <c r="D646" s="53" t="s">
        <v>421</v>
      </c>
      <c r="E646" s="21" t="s">
        <v>3835</v>
      </c>
      <c r="F646" s="23" t="s">
        <v>3836</v>
      </c>
      <c r="G646" s="32" t="s">
        <v>46</v>
      </c>
      <c r="H646" s="25" t="s">
        <v>47</v>
      </c>
      <c r="I646" s="23"/>
      <c r="J646" s="35" t="s">
        <v>3837</v>
      </c>
      <c r="K646" s="27" t="s">
        <v>50</v>
      </c>
      <c r="L646" s="13" t="s">
        <v>3838</v>
      </c>
      <c r="M646" s="26" t="str">
        <f>VLOOKUP(E646,'MTS 2026 registrations'!B:B,1,false)</f>
        <v>#N/A</v>
      </c>
      <c r="N646" s="26" t="str">
        <f>VLOOKUP(B646,'MTS 2026 registrations'!A:A,1,false)</f>
        <v>#N/A</v>
      </c>
      <c r="O646" s="38" t="str">
        <f t="shared" si="2"/>
        <v>Marked</v>
      </c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2.75" customHeight="1">
      <c r="A647" s="19" t="str">
        <f t="shared" si="1"/>
        <v>Brigitte Beeks mrdh</v>
      </c>
      <c r="B647" s="19" t="s">
        <v>3839</v>
      </c>
      <c r="C647" s="20" t="s">
        <v>3840</v>
      </c>
      <c r="D647" s="20" t="s">
        <v>3841</v>
      </c>
      <c r="E647" s="21" t="s">
        <v>3842</v>
      </c>
      <c r="F647" s="23" t="s">
        <v>3843</v>
      </c>
      <c r="G647" s="24" t="s">
        <v>323</v>
      </c>
      <c r="H647" s="25" t="s">
        <v>139</v>
      </c>
      <c r="I647" s="23"/>
      <c r="J647" s="35" t="s">
        <v>3844</v>
      </c>
      <c r="K647" s="27" t="s">
        <v>50</v>
      </c>
      <c r="L647" s="13" t="s">
        <v>3845</v>
      </c>
      <c r="M647" s="26" t="str">
        <f>VLOOKUP(E647,'MTS 2026 registrations'!B:B,1,false)</f>
        <v>#N/A</v>
      </c>
      <c r="N647" s="26" t="str">
        <f>VLOOKUP(B647,'MTS 2026 registrations'!A:A,1,false)</f>
        <v>#N/A</v>
      </c>
      <c r="O647" s="38" t="str">
        <f t="shared" si="2"/>
        <v>Marked</v>
      </c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2.75" customHeight="1">
      <c r="A648" s="19" t="str">
        <f t="shared" si="1"/>
        <v>Bruno Valkeniers ocrs.me</v>
      </c>
      <c r="B648" s="19" t="s">
        <v>3846</v>
      </c>
      <c r="C648" s="20" t="s">
        <v>1570</v>
      </c>
      <c r="D648" s="20" t="s">
        <v>3847</v>
      </c>
      <c r="E648" s="112" t="s">
        <v>3848</v>
      </c>
      <c r="F648" s="23" t="s">
        <v>3849</v>
      </c>
      <c r="G648" s="44" t="s">
        <v>46</v>
      </c>
      <c r="H648" s="25" t="s">
        <v>47</v>
      </c>
      <c r="I648" s="23"/>
      <c r="J648" s="35" t="s">
        <v>3850</v>
      </c>
      <c r="K648" s="27" t="s">
        <v>50</v>
      </c>
      <c r="L648" s="13" t="s">
        <v>3851</v>
      </c>
      <c r="M648" s="26" t="str">
        <f>VLOOKUP(E648,'MTS 2026 registrations'!B:B,1,false)</f>
        <v>#N/A</v>
      </c>
      <c r="N648" s="26" t="str">
        <f>VLOOKUP(B648,'MTS 2026 registrations'!A:A,1,false)</f>
        <v>#N/A</v>
      </c>
      <c r="O648" s="38" t="str">
        <f t="shared" si="2"/>
        <v>Marked</v>
      </c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2.75" customHeight="1">
      <c r="A649" s="19" t="str">
        <f t="shared" si="1"/>
        <v>Caglar Urcan 212next.fund</v>
      </c>
      <c r="B649" s="19" t="s">
        <v>3852</v>
      </c>
      <c r="C649" s="20" t="s">
        <v>3853</v>
      </c>
      <c r="D649" s="20" t="s">
        <v>3854</v>
      </c>
      <c r="E649" s="88" t="s">
        <v>3855</v>
      </c>
      <c r="F649" s="23" t="s">
        <v>3856</v>
      </c>
      <c r="G649" s="24" t="s">
        <v>163</v>
      </c>
      <c r="H649" s="25" t="s">
        <v>164</v>
      </c>
      <c r="I649" s="26"/>
      <c r="J649" s="35" t="s">
        <v>3857</v>
      </c>
      <c r="K649" s="27" t="s">
        <v>50</v>
      </c>
      <c r="L649" s="13" t="s">
        <v>3858</v>
      </c>
      <c r="M649" s="26" t="str">
        <f>VLOOKUP(E649,'MTS 2026 registrations'!B:B,1,false)</f>
        <v>#N/A</v>
      </c>
      <c r="N649" s="26" t="str">
        <f>VLOOKUP(B649,'MTS 2026 registrations'!A:A,1,false)</f>
        <v>#N/A</v>
      </c>
      <c r="O649" s="38" t="str">
        <f t="shared" si="2"/>
        <v>Marked</v>
      </c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34"/>
      <c r="AE649" s="34"/>
    </row>
    <row r="650" ht="12.75" customHeight="1">
      <c r="A650" s="19" t="str">
        <f t="shared" si="1"/>
        <v>Cailin Greiner forward.one</v>
      </c>
      <c r="B650" s="19" t="s">
        <v>3859</v>
      </c>
      <c r="C650" s="20" t="s">
        <v>3860</v>
      </c>
      <c r="D650" s="20" t="s">
        <v>3861</v>
      </c>
      <c r="E650" s="21" t="s">
        <v>3862</v>
      </c>
      <c r="F650" s="23" t="s">
        <v>3486</v>
      </c>
      <c r="G650" s="24" t="s">
        <v>163</v>
      </c>
      <c r="H650" s="25" t="s">
        <v>164</v>
      </c>
      <c r="I650" s="23"/>
      <c r="J650" s="35" t="s">
        <v>3863</v>
      </c>
      <c r="K650" s="27" t="s">
        <v>50</v>
      </c>
      <c r="L650" s="13" t="s">
        <v>3864</v>
      </c>
      <c r="M650" s="26" t="str">
        <f>VLOOKUP(E650,'MTS 2026 registrations'!B:B,1,false)</f>
        <v>#N/A</v>
      </c>
      <c r="N650" s="26" t="str">
        <f>VLOOKUP(B650,'MTS 2026 registrations'!A:A,1,false)</f>
        <v>#N/A</v>
      </c>
      <c r="O650" s="38" t="str">
        <f t="shared" si="2"/>
        <v>Marked</v>
      </c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2.75" customHeight="1">
      <c r="A651" s="19" t="str">
        <f t="shared" si="1"/>
        <v>Camiel Verschoor birds</v>
      </c>
      <c r="B651" s="19" t="s">
        <v>3865</v>
      </c>
      <c r="C651" s="60" t="s">
        <v>3866</v>
      </c>
      <c r="D651" s="60" t="s">
        <v>3867</v>
      </c>
      <c r="E651" s="62" t="s">
        <v>3868</v>
      </c>
      <c r="F651" s="64" t="s">
        <v>3869</v>
      </c>
      <c r="G651" s="32" t="s">
        <v>46</v>
      </c>
      <c r="H651" s="25" t="s">
        <v>139</v>
      </c>
      <c r="I651" s="34"/>
      <c r="J651" s="35" t="s">
        <v>3870</v>
      </c>
      <c r="K651" s="27" t="s">
        <v>50</v>
      </c>
      <c r="L651" s="13" t="s">
        <v>3871</v>
      </c>
      <c r="M651" s="26" t="str">
        <f>VLOOKUP(E651,'MTS 2026 registrations'!B:B,1,false)</f>
        <v>#N/A</v>
      </c>
      <c r="N651" s="26" t="str">
        <f>VLOOKUP(B651,'MTS 2026 registrations'!A:A,1,false)</f>
        <v>#N/A</v>
      </c>
      <c r="O651" s="38" t="str">
        <f t="shared" si="2"/>
        <v>Marked</v>
      </c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2.75" customHeight="1">
      <c r="A652" s="19" t="str">
        <f t="shared" si="1"/>
        <v>Cara Reuner Ecosia World Fund</v>
      </c>
      <c r="B652" s="19" t="s">
        <v>3872</v>
      </c>
      <c r="C652" s="20" t="s">
        <v>3873</v>
      </c>
      <c r="D652" s="20" t="s">
        <v>3874</v>
      </c>
      <c r="E652" s="21" t="s">
        <v>3875</v>
      </c>
      <c r="F652" s="49" t="s">
        <v>3876</v>
      </c>
      <c r="G652" s="24" t="s">
        <v>163</v>
      </c>
      <c r="H652" s="26" t="s">
        <v>164</v>
      </c>
      <c r="I652" s="13"/>
      <c r="J652" s="35" t="s">
        <v>3877</v>
      </c>
      <c r="K652" s="27" t="s">
        <v>50</v>
      </c>
      <c r="L652" s="25" t="s">
        <v>3878</v>
      </c>
      <c r="M652" s="26" t="str">
        <f>VLOOKUP(E652,'MTS 2026 registrations'!B:B,1,false)</f>
        <v>#N/A</v>
      </c>
      <c r="N652" s="26" t="str">
        <f>VLOOKUP(B652,'MTS 2026 registrations'!A:A,1,false)</f>
        <v>#N/A</v>
      </c>
      <c r="O652" s="38" t="str">
        <f t="shared" si="2"/>
        <v>Marked</v>
      </c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</row>
    <row r="653" ht="12.75" customHeight="1">
      <c r="A653" s="19" t="str">
        <f t="shared" si="1"/>
        <v>Carmen Lai PerClass</v>
      </c>
      <c r="B653" s="19" t="s">
        <v>3879</v>
      </c>
      <c r="C653" s="29" t="s">
        <v>3880</v>
      </c>
      <c r="D653" s="29" t="s">
        <v>3881</v>
      </c>
      <c r="E653" s="31" t="s">
        <v>3882</v>
      </c>
      <c r="F653" s="33" t="s">
        <v>3883</v>
      </c>
      <c r="G653" s="24" t="s">
        <v>46</v>
      </c>
      <c r="H653" s="25" t="s">
        <v>47</v>
      </c>
      <c r="I653" s="34"/>
      <c r="J653" s="35" t="s">
        <v>3884</v>
      </c>
      <c r="K653" s="27" t="s">
        <v>50</v>
      </c>
      <c r="L653" s="13" t="s">
        <v>3885</v>
      </c>
      <c r="M653" s="26" t="str">
        <f>VLOOKUP(E653,'MTS 2026 registrations'!B:B,1,false)</f>
        <v>#N/A</v>
      </c>
      <c r="N653" s="26" t="str">
        <f>VLOOKUP(B653,'MTS 2026 registrations'!A:A,1,false)</f>
        <v>#N/A</v>
      </c>
      <c r="O653" s="38" t="str">
        <f t="shared" si="2"/>
        <v>Marked</v>
      </c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23"/>
      <c r="AE653" s="23"/>
    </row>
    <row r="654" ht="12.75" customHeight="1">
      <c r="A654" s="19" t="str">
        <f t="shared" si="1"/>
        <v>Carola de Vree tudelft</v>
      </c>
      <c r="B654" s="19" t="s">
        <v>3886</v>
      </c>
      <c r="C654" s="29" t="s">
        <v>62</v>
      </c>
      <c r="D654" s="29" t="s">
        <v>3887</v>
      </c>
      <c r="E654" s="30" t="s">
        <v>3888</v>
      </c>
      <c r="F654" s="29" t="s">
        <v>184</v>
      </c>
      <c r="G654" s="32" t="s">
        <v>43</v>
      </c>
      <c r="H654" s="13" t="s">
        <v>213</v>
      </c>
      <c r="I654" s="34"/>
      <c r="J654" s="35" t="s">
        <v>3889</v>
      </c>
      <c r="K654" s="27" t="s">
        <v>50</v>
      </c>
      <c r="L654" s="13" t="s">
        <v>3890</v>
      </c>
      <c r="M654" s="26" t="str">
        <f>VLOOKUP(E654,'MTS 2026 registrations'!B:B,1,false)</f>
        <v>#N/A</v>
      </c>
      <c r="N654" s="26" t="str">
        <f>VLOOKUP(B654,'MTS 2026 registrations'!A:A,1,false)</f>
        <v>#N/A</v>
      </c>
      <c r="O654" s="38" t="str">
        <f t="shared" si="2"/>
        <v>Marked</v>
      </c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2.75" customHeight="1">
      <c r="A655" s="19" t="str">
        <f t="shared" si="1"/>
        <v>Casper van Tilburg </v>
      </c>
      <c r="B655" s="19" t="s">
        <v>3891</v>
      </c>
      <c r="C655" s="20" t="s">
        <v>3892</v>
      </c>
      <c r="D655" s="120" t="s">
        <v>3893</v>
      </c>
      <c r="E655" s="112" t="s">
        <v>3894</v>
      </c>
      <c r="F655" s="52"/>
      <c r="G655" s="32" t="s">
        <v>46</v>
      </c>
      <c r="H655" s="25" t="s">
        <v>47</v>
      </c>
      <c r="I655" s="26"/>
      <c r="J655" s="35" t="s">
        <v>3895</v>
      </c>
      <c r="K655" s="27" t="s">
        <v>50</v>
      </c>
      <c r="L655" s="13" t="s">
        <v>3896</v>
      </c>
      <c r="M655" s="26" t="str">
        <f>VLOOKUP(E655,'MTS 2026 registrations'!B:B,1,false)</f>
        <v>#N/A</v>
      </c>
      <c r="N655" s="26" t="str">
        <f>VLOOKUP(B655,'MTS 2026 registrations'!A:A,1,false)</f>
        <v>#N/A</v>
      </c>
      <c r="O655" s="38" t="str">
        <f t="shared" si="2"/>
        <v>Marked</v>
      </c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2.75" customHeight="1">
      <c r="A656" s="19" t="str">
        <f t="shared" si="1"/>
        <v>Cees Stoppelenburg mrdh</v>
      </c>
      <c r="B656" s="19" t="s">
        <v>3897</v>
      </c>
      <c r="C656" s="20" t="s">
        <v>3898</v>
      </c>
      <c r="D656" s="20" t="s">
        <v>3899</v>
      </c>
      <c r="E656" s="21" t="s">
        <v>3900</v>
      </c>
      <c r="F656" s="23" t="s">
        <v>3843</v>
      </c>
      <c r="G656" s="24" t="s">
        <v>323</v>
      </c>
      <c r="H656" s="25" t="s">
        <v>139</v>
      </c>
      <c r="I656" s="23"/>
      <c r="J656" s="35" t="s">
        <v>3901</v>
      </c>
      <c r="K656" s="27" t="s">
        <v>50</v>
      </c>
      <c r="L656" s="13" t="s">
        <v>3902</v>
      </c>
      <c r="M656" s="26" t="str">
        <f>VLOOKUP(E656,'MTS 2026 registrations'!B:B,1,false)</f>
        <v>#N/A</v>
      </c>
      <c r="N656" s="26" t="str">
        <f>VLOOKUP(B656,'MTS 2026 registrations'!A:A,1,false)</f>
        <v>#N/A</v>
      </c>
      <c r="O656" s="38" t="str">
        <f t="shared" si="2"/>
        <v>Marked</v>
      </c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2.75" customHeight="1">
      <c r="A657" s="19" t="str">
        <f t="shared" si="1"/>
        <v>Cees van Bladel Volans</v>
      </c>
      <c r="B657" s="19" t="s">
        <v>3903</v>
      </c>
      <c r="C657" s="29" t="s">
        <v>3898</v>
      </c>
      <c r="D657" s="29" t="s">
        <v>3904</v>
      </c>
      <c r="E657" s="31" t="s">
        <v>3905</v>
      </c>
      <c r="F657" s="33" t="s">
        <v>3906</v>
      </c>
      <c r="G657" s="32" t="s">
        <v>46</v>
      </c>
      <c r="H657" s="25" t="s">
        <v>47</v>
      </c>
      <c r="I657" s="34"/>
      <c r="J657" s="35" t="s">
        <v>3907</v>
      </c>
      <c r="K657" s="27" t="s">
        <v>50</v>
      </c>
      <c r="L657" s="13" t="s">
        <v>3908</v>
      </c>
      <c r="M657" s="26" t="str">
        <f>VLOOKUP(E657,'MTS 2026 registrations'!B:B,1,false)</f>
        <v>#N/A</v>
      </c>
      <c r="N657" s="26" t="str">
        <f>VLOOKUP(B657,'MTS 2026 registrations'!A:A,1,false)</f>
        <v>#N/A</v>
      </c>
      <c r="O657" s="38" t="str">
        <f t="shared" si="2"/>
        <v>Marked</v>
      </c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23"/>
      <c r="AE657" s="23"/>
    </row>
    <row r="658" ht="12.75" customHeight="1">
      <c r="A658" s="19" t="str">
        <f t="shared" si="1"/>
        <v>Chantal deniet securitydelta</v>
      </c>
      <c r="B658" s="19" t="s">
        <v>3909</v>
      </c>
      <c r="C658" s="72" t="s">
        <v>3910</v>
      </c>
      <c r="D658" s="29" t="s">
        <v>3911</v>
      </c>
      <c r="E658" s="30" t="s">
        <v>3912</v>
      </c>
      <c r="F658" s="29" t="s">
        <v>3913</v>
      </c>
      <c r="G658" s="24" t="s">
        <v>29</v>
      </c>
      <c r="H658" s="13" t="s">
        <v>45</v>
      </c>
      <c r="I658" s="34"/>
      <c r="J658" s="35" t="s">
        <v>3914</v>
      </c>
      <c r="K658" s="27" t="s">
        <v>50</v>
      </c>
      <c r="L658" s="13" t="s">
        <v>3915</v>
      </c>
      <c r="M658" s="26" t="str">
        <f>VLOOKUP(E658,'MTS 2026 registrations'!B:B,1,false)</f>
        <v>#N/A</v>
      </c>
      <c r="N658" s="26" t="str">
        <f>VLOOKUP(B658,'MTS 2026 registrations'!A:A,1,false)</f>
        <v>#N/A</v>
      </c>
      <c r="O658" s="38" t="str">
        <f t="shared" si="2"/>
        <v>Marked</v>
      </c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</row>
    <row r="659" ht="12.75" customHeight="1">
      <c r="A659" s="19" t="str">
        <f t="shared" si="1"/>
        <v>Chantal Zeegers rotterdam</v>
      </c>
      <c r="B659" s="19" t="s">
        <v>3916</v>
      </c>
      <c r="C659" s="72" t="s">
        <v>3910</v>
      </c>
      <c r="D659" s="29" t="s">
        <v>3917</v>
      </c>
      <c r="E659" s="30" t="s">
        <v>3918</v>
      </c>
      <c r="F659" s="29" t="s">
        <v>1597</v>
      </c>
      <c r="G659" s="32" t="s">
        <v>323</v>
      </c>
      <c r="H659" s="13" t="s">
        <v>45</v>
      </c>
      <c r="I659" s="34"/>
      <c r="J659" s="35" t="s">
        <v>3919</v>
      </c>
      <c r="K659" s="27" t="s">
        <v>50</v>
      </c>
      <c r="L659" s="13" t="s">
        <v>3920</v>
      </c>
      <c r="M659" s="26" t="str">
        <f>VLOOKUP(E659,'MTS 2026 registrations'!B:B,1,false)</f>
        <v>#N/A</v>
      </c>
      <c r="N659" s="26" t="str">
        <f>VLOOKUP(B659,'MTS 2026 registrations'!A:A,1,false)</f>
        <v>#N/A</v>
      </c>
      <c r="O659" s="38" t="str">
        <f t="shared" si="2"/>
        <v>Marked</v>
      </c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</row>
    <row r="660" ht="12.75" customHeight="1">
      <c r="A660" s="19" t="str">
        <f t="shared" si="1"/>
        <v>Charles De Monchy demonchy</v>
      </c>
      <c r="B660" s="19" t="s">
        <v>3921</v>
      </c>
      <c r="C660" s="20" t="s">
        <v>3922</v>
      </c>
      <c r="D660" s="116" t="s">
        <v>3923</v>
      </c>
      <c r="E660" s="21" t="s">
        <v>3924</v>
      </c>
      <c r="F660" s="23" t="s">
        <v>3925</v>
      </c>
      <c r="G660" s="24" t="s">
        <v>225</v>
      </c>
      <c r="H660" s="25" t="s">
        <v>47</v>
      </c>
      <c r="I660" s="23"/>
      <c r="J660" s="35" t="s">
        <v>3926</v>
      </c>
      <c r="K660" s="27" t="s">
        <v>50</v>
      </c>
      <c r="L660" s="13" t="s">
        <v>3927</v>
      </c>
      <c r="M660" s="26" t="str">
        <f>VLOOKUP(E660,'MTS 2026 registrations'!B:B,1,false)</f>
        <v>#N/A</v>
      </c>
      <c r="N660" s="26" t="str">
        <f>VLOOKUP(B660,'MTS 2026 registrations'!A:A,1,false)</f>
        <v>#N/A</v>
      </c>
      <c r="O660" s="38" t="str">
        <f t="shared" si="2"/>
        <v>Marked</v>
      </c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2.75" customHeight="1">
      <c r="A661" s="19" t="str">
        <f t="shared" si="1"/>
        <v>Charlotte Goos Watch UP/SkiSense/V-Go instruments</v>
      </c>
      <c r="B661" s="19" t="s">
        <v>3928</v>
      </c>
      <c r="C661" s="29" t="s">
        <v>3929</v>
      </c>
      <c r="D661" s="29" t="s">
        <v>3930</v>
      </c>
      <c r="E661" s="31" t="s">
        <v>3931</v>
      </c>
      <c r="F661" s="33" t="s">
        <v>3932</v>
      </c>
      <c r="G661" s="32" t="s">
        <v>46</v>
      </c>
      <c r="H661" s="25" t="s">
        <v>47</v>
      </c>
      <c r="I661" s="34"/>
      <c r="J661" s="35" t="s">
        <v>3933</v>
      </c>
      <c r="K661" s="27" t="s">
        <v>50</v>
      </c>
      <c r="L661" s="13" t="s">
        <v>3934</v>
      </c>
      <c r="M661" s="26" t="str">
        <f>VLOOKUP(E661,'MTS 2026 registrations'!B:B,1,false)</f>
        <v>#N/A</v>
      </c>
      <c r="N661" s="26" t="str">
        <f>VLOOKUP(B661,'MTS 2026 registrations'!A:A,1,false)</f>
        <v>#N/A</v>
      </c>
      <c r="O661" s="38" t="str">
        <f t="shared" si="2"/>
        <v>Marked</v>
      </c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23"/>
      <c r="AE661" s="23"/>
    </row>
    <row r="662" ht="12.75" customHeight="1">
      <c r="A662" s="19" t="str">
        <f t="shared" si="1"/>
        <v>Chintan Shah tvilight</v>
      </c>
      <c r="B662" s="19" t="s">
        <v>3935</v>
      </c>
      <c r="C662" s="20" t="s">
        <v>3936</v>
      </c>
      <c r="D662" s="20" t="s">
        <v>3937</v>
      </c>
      <c r="E662" s="21" t="s">
        <v>3938</v>
      </c>
      <c r="F662" s="23" t="s">
        <v>3939</v>
      </c>
      <c r="G662" s="32" t="s">
        <v>46</v>
      </c>
      <c r="H662" s="25" t="s">
        <v>47</v>
      </c>
      <c r="I662" s="26"/>
      <c r="J662" s="35" t="s">
        <v>3940</v>
      </c>
      <c r="K662" s="27" t="s">
        <v>50</v>
      </c>
      <c r="L662" s="13" t="s">
        <v>3941</v>
      </c>
      <c r="M662" s="26" t="str">
        <f>VLOOKUP(E662,'MTS 2026 registrations'!B:B,1,false)</f>
        <v>#N/A</v>
      </c>
      <c r="N662" s="26" t="str">
        <f>VLOOKUP(B662,'MTS 2026 registrations'!A:A,1,false)</f>
        <v>#N/A</v>
      </c>
      <c r="O662" s="38" t="str">
        <f t="shared" si="2"/>
        <v>Marked</v>
      </c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2.75" customHeight="1">
      <c r="A663" s="19" t="str">
        <f t="shared" si="1"/>
        <v>Chris Dawe effect</v>
      </c>
      <c r="B663" s="19" t="s">
        <v>3942</v>
      </c>
      <c r="C663" s="20" t="s">
        <v>504</v>
      </c>
      <c r="D663" s="20" t="s">
        <v>3943</v>
      </c>
      <c r="E663" s="21" t="s">
        <v>3944</v>
      </c>
      <c r="F663" s="23" t="s">
        <v>3945</v>
      </c>
      <c r="G663" s="32" t="s">
        <v>46</v>
      </c>
      <c r="H663" s="25" t="s">
        <v>47</v>
      </c>
      <c r="I663" s="23"/>
      <c r="J663" s="35" t="s">
        <v>3946</v>
      </c>
      <c r="K663" s="27" t="s">
        <v>50</v>
      </c>
      <c r="L663" s="13" t="s">
        <v>3947</v>
      </c>
      <c r="M663" s="26" t="str">
        <f>VLOOKUP(E663,'MTS 2026 registrations'!B:B,1,false)</f>
        <v>#N/A</v>
      </c>
      <c r="N663" s="26" t="str">
        <f>VLOOKUP(B663,'MTS 2026 registrations'!A:A,1,false)</f>
        <v>#N/A</v>
      </c>
      <c r="O663" s="38" t="str">
        <f t="shared" si="2"/>
        <v>Marked</v>
      </c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2.75" customHeight="1">
      <c r="A664" s="19" t="str">
        <f t="shared" si="1"/>
        <v>Christel Mourik mrdh</v>
      </c>
      <c r="B664" s="19" t="s">
        <v>3948</v>
      </c>
      <c r="C664" s="60" t="s">
        <v>1584</v>
      </c>
      <c r="D664" s="60" t="s">
        <v>3949</v>
      </c>
      <c r="E664" s="62" t="s">
        <v>3950</v>
      </c>
      <c r="F664" s="64" t="s">
        <v>3843</v>
      </c>
      <c r="G664" s="42" t="s">
        <v>323</v>
      </c>
      <c r="H664" s="25" t="s">
        <v>139</v>
      </c>
      <c r="I664" s="23"/>
      <c r="J664" s="35" t="s">
        <v>3951</v>
      </c>
      <c r="K664" s="27" t="s">
        <v>50</v>
      </c>
      <c r="L664" s="13" t="s">
        <v>3952</v>
      </c>
      <c r="M664" s="26" t="str">
        <f>VLOOKUP(E664,'MTS 2026 registrations'!B:B,1,false)</f>
        <v>#N/A</v>
      </c>
      <c r="N664" s="26" t="str">
        <f>VLOOKUP(B664,'MTS 2026 registrations'!A:A,1,false)</f>
        <v>#N/A</v>
      </c>
      <c r="O664" s="38" t="str">
        <f t="shared" si="2"/>
        <v>Marked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2.75" customHeight="1">
      <c r="A665" s="19" t="str">
        <f t="shared" si="1"/>
        <v>Christian Gonzalez planet-a</v>
      </c>
      <c r="B665" s="19" t="s">
        <v>3953</v>
      </c>
      <c r="C665" s="20" t="s">
        <v>3954</v>
      </c>
      <c r="D665" s="20" t="s">
        <v>3955</v>
      </c>
      <c r="E665" s="21" t="s">
        <v>3956</v>
      </c>
      <c r="F665" s="23" t="s">
        <v>3957</v>
      </c>
      <c r="G665" s="24" t="s">
        <v>163</v>
      </c>
      <c r="H665" s="25" t="s">
        <v>164</v>
      </c>
      <c r="I665" s="23"/>
      <c r="J665" s="35" t="s">
        <v>3958</v>
      </c>
      <c r="K665" s="27" t="s">
        <v>50</v>
      </c>
      <c r="L665" s="13" t="s">
        <v>3959</v>
      </c>
      <c r="M665" s="26" t="str">
        <f>VLOOKUP(E665,'MTS 2026 registrations'!B:B,1,false)</f>
        <v>#N/A</v>
      </c>
      <c r="N665" s="26" t="str">
        <f>VLOOKUP(B665,'MTS 2026 registrations'!A:A,1,false)</f>
        <v>#N/A</v>
      </c>
      <c r="O665" s="38" t="str">
        <f t="shared" si="2"/>
        <v>Marked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2.75" customHeight="1">
      <c r="A666" s="19" t="str">
        <f t="shared" si="1"/>
        <v>Christian Prickaerts FoxCrypto</v>
      </c>
      <c r="B666" s="19" t="s">
        <v>3960</v>
      </c>
      <c r="C666" s="116" t="s">
        <v>3954</v>
      </c>
      <c r="D666" s="117" t="s">
        <v>3961</v>
      </c>
      <c r="E666" s="112" t="s">
        <v>3962</v>
      </c>
      <c r="F666" s="135" t="s">
        <v>3963</v>
      </c>
      <c r="G666" s="24" t="s">
        <v>69</v>
      </c>
      <c r="H666" s="49" t="s">
        <v>139</v>
      </c>
      <c r="I666" s="34"/>
      <c r="J666" s="35" t="s">
        <v>3964</v>
      </c>
      <c r="K666" s="27" t="s">
        <v>50</v>
      </c>
      <c r="L666" s="13" t="s">
        <v>3965</v>
      </c>
      <c r="M666" s="26" t="str">
        <f>VLOOKUP(E666,'MTS 2026 registrations'!B:B,1,false)</f>
        <v>#N/A</v>
      </c>
      <c r="N666" s="26" t="str">
        <f>VLOOKUP(B666,'MTS 2026 registrations'!A:A,1,false)</f>
        <v>#N/A</v>
      </c>
      <c r="O666" s="38" t="str">
        <f t="shared" si="2"/>
        <v>Marked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23"/>
      <c r="AE666" s="23"/>
    </row>
    <row r="667" ht="12.75" customHeight="1">
      <c r="A667" s="19" t="str">
        <f t="shared" si="1"/>
        <v>Christian Van Maaren Excess Materials Exchange</v>
      </c>
      <c r="B667" s="19" t="s">
        <v>3966</v>
      </c>
      <c r="C667" s="29" t="s">
        <v>3954</v>
      </c>
      <c r="D667" s="29" t="s">
        <v>3967</v>
      </c>
      <c r="E667" s="31" t="s">
        <v>3968</v>
      </c>
      <c r="F667" s="33" t="s">
        <v>854</v>
      </c>
      <c r="G667" s="32" t="s">
        <v>46</v>
      </c>
      <c r="H667" s="25" t="s">
        <v>47</v>
      </c>
      <c r="I667" s="34"/>
      <c r="J667" s="35" t="s">
        <v>3969</v>
      </c>
      <c r="K667" s="27" t="s">
        <v>50</v>
      </c>
      <c r="L667" s="13" t="s">
        <v>3970</v>
      </c>
      <c r="M667" s="26" t="str">
        <f>VLOOKUP(E667,'MTS 2026 registrations'!B:B,1,false)</f>
        <v>#N/A</v>
      </c>
      <c r="N667" s="26" t="str">
        <f>VLOOKUP(B667,'MTS 2026 registrations'!A:A,1,false)</f>
        <v>#N/A</v>
      </c>
      <c r="O667" s="38" t="str">
        <f t="shared" si="2"/>
        <v>Marked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23"/>
      <c r="AE667" s="23"/>
    </row>
    <row r="668" ht="12.75" customHeight="1">
      <c r="A668" s="19" t="str">
        <f t="shared" si="1"/>
        <v>Cindy Gerhardt planet-b</v>
      </c>
      <c r="B668" s="19" t="s">
        <v>3971</v>
      </c>
      <c r="C668" s="60" t="s">
        <v>3972</v>
      </c>
      <c r="D668" s="60" t="s">
        <v>3973</v>
      </c>
      <c r="E668" s="62" t="s">
        <v>3974</v>
      </c>
      <c r="F668" s="64" t="s">
        <v>2716</v>
      </c>
      <c r="G668" s="32" t="s">
        <v>29</v>
      </c>
      <c r="H668" s="25" t="s">
        <v>139</v>
      </c>
      <c r="I668" s="23"/>
      <c r="J668" s="35" t="s">
        <v>3975</v>
      </c>
      <c r="K668" s="27" t="s">
        <v>50</v>
      </c>
      <c r="L668" s="13" t="s">
        <v>3976</v>
      </c>
      <c r="M668" s="26" t="str">
        <f>VLOOKUP(E668,'MTS 2026 registrations'!B:B,1,false)</f>
        <v>#N/A</v>
      </c>
      <c r="N668" s="26" t="str">
        <f>VLOOKUP(B668,'MTS 2026 registrations'!A:A,1,false)</f>
        <v>#N/A</v>
      </c>
      <c r="O668" s="38" t="str">
        <f t="shared" si="2"/>
        <v>Marked</v>
      </c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34"/>
      <c r="AE668" s="34"/>
    </row>
    <row r="669" ht="12.75" customHeight="1">
      <c r="A669" s="19" t="str">
        <f t="shared" si="1"/>
        <v>Cinzia Silvestri biondteam</v>
      </c>
      <c r="B669" s="19" t="s">
        <v>3977</v>
      </c>
      <c r="C669" s="20" t="s">
        <v>3978</v>
      </c>
      <c r="D669" s="20" t="s">
        <v>3979</v>
      </c>
      <c r="E669" s="21" t="s">
        <v>3980</v>
      </c>
      <c r="F669" s="23" t="s">
        <v>3981</v>
      </c>
      <c r="G669" s="32" t="s">
        <v>46</v>
      </c>
      <c r="H669" s="25" t="s">
        <v>47</v>
      </c>
      <c r="I669" s="26"/>
      <c r="J669" s="35" t="s">
        <v>3982</v>
      </c>
      <c r="K669" s="27" t="s">
        <v>50</v>
      </c>
      <c r="L669" s="13" t="s">
        <v>3983</v>
      </c>
      <c r="M669" s="26" t="str">
        <f>VLOOKUP(E669,'MTS 2026 registrations'!B:B,1,false)</f>
        <v>#N/A</v>
      </c>
      <c r="N669" s="26" t="str">
        <f>VLOOKUP(B669,'MTS 2026 registrations'!A:A,1,false)</f>
        <v>#N/A</v>
      </c>
      <c r="O669" s="38" t="str">
        <f t="shared" si="2"/>
        <v>Marked</v>
      </c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2.75" customHeight="1">
      <c r="A670" s="19" t="str">
        <f t="shared" si="1"/>
        <v>Claire Visser tudelft</v>
      </c>
      <c r="B670" s="19" t="s">
        <v>3984</v>
      </c>
      <c r="C670" s="138" t="s">
        <v>76</v>
      </c>
      <c r="D670" s="138" t="s">
        <v>1561</v>
      </c>
      <c r="E670" s="139" t="s">
        <v>3985</v>
      </c>
      <c r="F670" s="71" t="s">
        <v>184</v>
      </c>
      <c r="G670" s="24" t="s">
        <v>43</v>
      </c>
      <c r="H670" s="25" t="s">
        <v>139</v>
      </c>
      <c r="I670" s="26"/>
      <c r="J670" s="35" t="s">
        <v>3986</v>
      </c>
      <c r="K670" s="27" t="s">
        <v>50</v>
      </c>
      <c r="L670" s="13" t="s">
        <v>3987</v>
      </c>
      <c r="M670" s="26" t="str">
        <f>VLOOKUP(E670,'MTS 2026 registrations'!B:B,1,false)</f>
        <v>#N/A</v>
      </c>
      <c r="N670" s="26" t="str">
        <f>VLOOKUP(B670,'MTS 2026 registrations'!A:A,1,false)</f>
        <v>#N/A</v>
      </c>
      <c r="O670" s="38" t="str">
        <f t="shared" si="2"/>
        <v>Marked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34"/>
      <c r="AE670" s="34"/>
    </row>
    <row r="671" ht="12.75" customHeight="1">
      <c r="A671" s="19" t="str">
        <f t="shared" si="1"/>
        <v>Clemens van Os xpozer</v>
      </c>
      <c r="B671" s="19" t="s">
        <v>3988</v>
      </c>
      <c r="C671" s="20" t="s">
        <v>3989</v>
      </c>
      <c r="D671" s="20" t="s">
        <v>3990</v>
      </c>
      <c r="E671" s="21" t="s">
        <v>3991</v>
      </c>
      <c r="F671" s="23" t="s">
        <v>3992</v>
      </c>
      <c r="G671" s="32" t="s">
        <v>46</v>
      </c>
      <c r="H671" s="25" t="s">
        <v>47</v>
      </c>
      <c r="I671" s="26"/>
      <c r="J671" s="35" t="s">
        <v>3993</v>
      </c>
      <c r="K671" s="27" t="s">
        <v>50</v>
      </c>
      <c r="L671" s="13" t="s">
        <v>3994</v>
      </c>
      <c r="M671" s="26" t="str">
        <f>VLOOKUP(E671,'MTS 2026 registrations'!B:B,1,false)</f>
        <v>#N/A</v>
      </c>
      <c r="N671" s="26" t="str">
        <f>VLOOKUP(B671,'MTS 2026 registrations'!A:A,1,false)</f>
        <v>#N/A</v>
      </c>
      <c r="O671" s="38" t="str">
        <f t="shared" si="2"/>
        <v>Marked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2.75" customHeight="1">
      <c r="A672" s="19" t="str">
        <f t="shared" si="1"/>
        <v>Coen ten Herkel taniq</v>
      </c>
      <c r="B672" s="19" t="s">
        <v>3995</v>
      </c>
      <c r="C672" s="20" t="s">
        <v>3996</v>
      </c>
      <c r="D672" s="20" t="s">
        <v>3997</v>
      </c>
      <c r="E672" s="21" t="s">
        <v>3998</v>
      </c>
      <c r="F672" s="23" t="s">
        <v>3999</v>
      </c>
      <c r="G672" s="32" t="s">
        <v>46</v>
      </c>
      <c r="H672" s="25" t="s">
        <v>47</v>
      </c>
      <c r="I672" s="23"/>
      <c r="J672" s="35" t="s">
        <v>4000</v>
      </c>
      <c r="K672" s="27" t="s">
        <v>50</v>
      </c>
      <c r="L672" s="13" t="s">
        <v>4001</v>
      </c>
      <c r="M672" s="26" t="str">
        <f>VLOOKUP(E672,'MTS 2026 registrations'!B:B,1,false)</f>
        <v>#N/A</v>
      </c>
      <c r="N672" s="26" t="str">
        <f>VLOOKUP(B672,'MTS 2026 registrations'!A:A,1,false)</f>
        <v>#N/A</v>
      </c>
      <c r="O672" s="38" t="str">
        <f t="shared" si="2"/>
        <v>Marked</v>
      </c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34"/>
      <c r="AE672" s="34"/>
    </row>
    <row r="673" ht="12.75" customHeight="1">
      <c r="A673" s="19" t="str">
        <f t="shared" si="1"/>
        <v>Coen Van Duiven henq</v>
      </c>
      <c r="B673" s="19" t="s">
        <v>4002</v>
      </c>
      <c r="C673" s="20" t="s">
        <v>3996</v>
      </c>
      <c r="D673" s="20" t="s">
        <v>4003</v>
      </c>
      <c r="E673" s="21" t="s">
        <v>4004</v>
      </c>
      <c r="F673" s="23" t="s">
        <v>4005</v>
      </c>
      <c r="G673" s="24" t="s">
        <v>163</v>
      </c>
      <c r="H673" s="25" t="s">
        <v>164</v>
      </c>
      <c r="I673" s="23"/>
      <c r="J673" s="35" t="s">
        <v>4006</v>
      </c>
      <c r="K673" s="27" t="s">
        <v>50</v>
      </c>
      <c r="L673" s="13" t="s">
        <v>4007</v>
      </c>
      <c r="M673" s="26" t="str">
        <f>VLOOKUP(E673,'MTS 2026 registrations'!B:B,1,false)</f>
        <v>#N/A</v>
      </c>
      <c r="N673" s="26" t="str">
        <f>VLOOKUP(B673,'MTS 2026 registrations'!A:A,1,false)</f>
        <v>#N/A</v>
      </c>
      <c r="O673" s="38" t="str">
        <f t="shared" si="2"/>
        <v>Marked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34"/>
      <c r="AE673" s="34"/>
    </row>
    <row r="674" ht="12.75" customHeight="1">
      <c r="A674" s="19" t="str">
        <f t="shared" si="1"/>
        <v>Constantijn van Oranje techleap</v>
      </c>
      <c r="B674" s="19" t="s">
        <v>4008</v>
      </c>
      <c r="C674" s="138" t="s">
        <v>4009</v>
      </c>
      <c r="D674" s="138" t="s">
        <v>4010</v>
      </c>
      <c r="E674" s="139" t="s">
        <v>4011</v>
      </c>
      <c r="F674" s="23" t="s">
        <v>1952</v>
      </c>
      <c r="G674" s="42" t="s">
        <v>69</v>
      </c>
      <c r="H674" s="25" t="s">
        <v>139</v>
      </c>
      <c r="I674" s="23"/>
      <c r="J674" s="35" t="s">
        <v>4012</v>
      </c>
      <c r="K674" s="27" t="s">
        <v>50</v>
      </c>
      <c r="L674" s="13" t="s">
        <v>4013</v>
      </c>
      <c r="M674" s="26" t="str">
        <f>VLOOKUP(E674,'MTS 2026 registrations'!B:B,1,false)</f>
        <v>#N/A</v>
      </c>
      <c r="N674" s="26" t="str">
        <f>VLOOKUP(B674,'MTS 2026 registrations'!A:A,1,false)</f>
        <v>#N/A</v>
      </c>
      <c r="O674" s="38" t="str">
        <f t="shared" si="2"/>
        <v>Marked</v>
      </c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34"/>
      <c r="AE674" s="34"/>
    </row>
    <row r="675" ht="12.75" customHeight="1">
      <c r="A675" s="19" t="str">
        <f t="shared" si="1"/>
        <v>Coos Santing denhaag</v>
      </c>
      <c r="B675" s="19" t="s">
        <v>4014</v>
      </c>
      <c r="C675" s="60" t="s">
        <v>4015</v>
      </c>
      <c r="D675" s="60" t="s">
        <v>4016</v>
      </c>
      <c r="E675" s="62" t="s">
        <v>4017</v>
      </c>
      <c r="F675" s="64" t="s">
        <v>738</v>
      </c>
      <c r="G675" s="42" t="s">
        <v>323</v>
      </c>
      <c r="H675" s="25" t="s">
        <v>139</v>
      </c>
      <c r="I675" s="23"/>
      <c r="J675" s="35" t="s">
        <v>4018</v>
      </c>
      <c r="K675" s="27" t="s">
        <v>50</v>
      </c>
      <c r="L675" s="13" t="s">
        <v>4019</v>
      </c>
      <c r="M675" s="26" t="str">
        <f>VLOOKUP(E675,'MTS 2026 registrations'!B:B,1,false)</f>
        <v>#N/A</v>
      </c>
      <c r="N675" s="26" t="str">
        <f>VLOOKUP(B675,'MTS 2026 registrations'!A:A,1,false)</f>
        <v>#N/A</v>
      </c>
      <c r="O675" s="38" t="str">
        <f t="shared" si="2"/>
        <v>Marked</v>
      </c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34"/>
      <c r="AE675" s="34"/>
    </row>
    <row r="676" ht="12.75" customHeight="1">
      <c r="A676" s="19" t="str">
        <f t="shared" si="1"/>
        <v>Cor Verhoeven Offensys B.V.</v>
      </c>
      <c r="B676" s="19" t="s">
        <v>4020</v>
      </c>
      <c r="C676" s="13" t="s">
        <v>4021</v>
      </c>
      <c r="D676" s="13" t="s">
        <v>4022</v>
      </c>
      <c r="E676" s="60" t="s">
        <v>4023</v>
      </c>
      <c r="F676" s="60" t="s">
        <v>2217</v>
      </c>
      <c r="G676" s="32" t="s">
        <v>46</v>
      </c>
      <c r="H676" s="25" t="s">
        <v>47</v>
      </c>
      <c r="I676" s="34"/>
      <c r="J676" s="35" t="s">
        <v>4024</v>
      </c>
      <c r="K676" s="27" t="s">
        <v>50</v>
      </c>
      <c r="L676" s="13" t="s">
        <v>4025</v>
      </c>
      <c r="M676" s="26" t="str">
        <f>VLOOKUP(E676,'MTS 2026 registrations'!B:B,1,false)</f>
        <v>#N/A</v>
      </c>
      <c r="N676" s="26" t="str">
        <f>VLOOKUP(B676,'MTS 2026 registrations'!A:A,1,false)</f>
        <v>#N/A</v>
      </c>
      <c r="O676" s="38" t="str">
        <f t="shared" si="2"/>
        <v>Marked</v>
      </c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</row>
    <row r="677" ht="12.75" customHeight="1">
      <c r="A677" s="19" t="str">
        <f t="shared" si="1"/>
        <v>Corien Staels Independent</v>
      </c>
      <c r="B677" s="19" t="s">
        <v>4026</v>
      </c>
      <c r="C677" s="116" t="s">
        <v>4027</v>
      </c>
      <c r="D677" s="116" t="s">
        <v>4028</v>
      </c>
      <c r="E677" s="112" t="s">
        <v>4029</v>
      </c>
      <c r="F677" s="66" t="s">
        <v>1209</v>
      </c>
      <c r="G677" s="24" t="s">
        <v>225</v>
      </c>
      <c r="H677" s="25" t="s">
        <v>47</v>
      </c>
      <c r="I677" s="34"/>
      <c r="J677" s="35" t="s">
        <v>4030</v>
      </c>
      <c r="K677" s="27" t="s">
        <v>50</v>
      </c>
      <c r="L677" s="13" t="s">
        <v>4031</v>
      </c>
      <c r="M677" s="26" t="str">
        <f>VLOOKUP(E677,'MTS 2026 registrations'!B:B,1,false)</f>
        <v>#N/A</v>
      </c>
      <c r="N677" s="26" t="str">
        <f>VLOOKUP(B677,'MTS 2026 registrations'!A:A,1,false)</f>
        <v>#N/A</v>
      </c>
      <c r="O677" s="38" t="str">
        <f t="shared" si="2"/>
        <v>Marked</v>
      </c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</row>
    <row r="678" ht="12.75" customHeight="1">
      <c r="A678" s="19" t="str">
        <f t="shared" si="1"/>
        <v>Corina Kuiper corporateventuringnetwork</v>
      </c>
      <c r="B678" s="19" t="s">
        <v>4032</v>
      </c>
      <c r="C678" s="29" t="s">
        <v>4033</v>
      </c>
      <c r="D678" s="29" t="s">
        <v>4034</v>
      </c>
      <c r="E678" s="30" t="s">
        <v>4035</v>
      </c>
      <c r="F678" s="29" t="s">
        <v>4036</v>
      </c>
      <c r="G678" s="32" t="s">
        <v>56</v>
      </c>
      <c r="H678" s="13" t="s">
        <v>45</v>
      </c>
      <c r="I678" s="34"/>
      <c r="J678" s="35" t="s">
        <v>4037</v>
      </c>
      <c r="K678" s="27" t="s">
        <v>50</v>
      </c>
      <c r="L678" s="13" t="s">
        <v>4038</v>
      </c>
      <c r="M678" s="26" t="str">
        <f>VLOOKUP(E678,'MTS 2026 registrations'!B:B,1,false)</f>
        <v>#N/A</v>
      </c>
      <c r="N678" s="26" t="str">
        <f>VLOOKUP(B678,'MTS 2026 registrations'!A:A,1,false)</f>
        <v>#N/A</v>
      </c>
      <c r="O678" s="38" t="str">
        <f t="shared" si="2"/>
        <v>Marked</v>
      </c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23"/>
      <c r="AE678" s="23"/>
    </row>
    <row r="679" ht="12.75" customHeight="1">
      <c r="A679" s="19" t="str">
        <f t="shared" si="1"/>
        <v>Corne de Bruijn tandartsdebruijn</v>
      </c>
      <c r="B679" s="19" t="s">
        <v>4039</v>
      </c>
      <c r="C679" s="20" t="s">
        <v>4040</v>
      </c>
      <c r="D679" s="20" t="s">
        <v>4041</v>
      </c>
      <c r="E679" s="21" t="s">
        <v>4042</v>
      </c>
      <c r="F679" s="23" t="s">
        <v>4043</v>
      </c>
      <c r="G679" s="24" t="s">
        <v>29</v>
      </c>
      <c r="H679" s="25" t="s">
        <v>164</v>
      </c>
      <c r="I679" s="23"/>
      <c r="J679" s="35" t="s">
        <v>4044</v>
      </c>
      <c r="K679" s="27" t="s">
        <v>50</v>
      </c>
      <c r="L679" s="13" t="s">
        <v>4045</v>
      </c>
      <c r="M679" s="26" t="str">
        <f>VLOOKUP(E679,'MTS 2026 registrations'!B:B,1,false)</f>
        <v>#N/A</v>
      </c>
      <c r="N679" s="26" t="str">
        <f>VLOOKUP(B679,'MTS 2026 registrations'!A:A,1,false)</f>
        <v>#N/A</v>
      </c>
      <c r="O679" s="38" t="str">
        <f t="shared" si="2"/>
        <v>Marked</v>
      </c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2.75" customHeight="1">
      <c r="A680" s="19" t="str">
        <f t="shared" si="1"/>
        <v>Cornelis van de Kamp SpringScan</v>
      </c>
      <c r="B680" s="19" t="s">
        <v>4046</v>
      </c>
      <c r="C680" s="43" t="s">
        <v>4047</v>
      </c>
      <c r="D680" s="43" t="s">
        <v>4048</v>
      </c>
      <c r="E680" s="128" t="s">
        <v>4049</v>
      </c>
      <c r="F680" s="33" t="s">
        <v>917</v>
      </c>
      <c r="G680" s="51" t="s">
        <v>46</v>
      </c>
      <c r="H680" s="25" t="s">
        <v>47</v>
      </c>
      <c r="I680" s="34"/>
      <c r="J680" s="35" t="s">
        <v>4050</v>
      </c>
      <c r="K680" s="27" t="s">
        <v>50</v>
      </c>
      <c r="L680" s="13" t="s">
        <v>4051</v>
      </c>
      <c r="M680" s="26" t="str">
        <f>VLOOKUP(E680,'MTS 2026 registrations'!B:B,1,false)</f>
        <v>#N/A</v>
      </c>
      <c r="N680" s="26" t="str">
        <f>VLOOKUP(B680,'MTS 2026 registrations'!A:A,1,false)</f>
        <v>#N/A</v>
      </c>
      <c r="O680" s="38" t="str">
        <f t="shared" si="2"/>
        <v>Marked</v>
      </c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</row>
    <row r="681" ht="12.75" customHeight="1">
      <c r="A681" s="19" t="str">
        <f t="shared" si="1"/>
        <v>Crijn Bouman Epyon</v>
      </c>
      <c r="B681" s="19" t="s">
        <v>4052</v>
      </c>
      <c r="C681" s="29" t="s">
        <v>4053</v>
      </c>
      <c r="D681" s="29" t="s">
        <v>775</v>
      </c>
      <c r="E681" s="80" t="s">
        <v>4054</v>
      </c>
      <c r="F681" s="33" t="s">
        <v>4055</v>
      </c>
      <c r="G681" s="24" t="s">
        <v>46</v>
      </c>
      <c r="H681" s="25" t="s">
        <v>47</v>
      </c>
      <c r="I681" s="34"/>
      <c r="J681" s="35" t="s">
        <v>4056</v>
      </c>
      <c r="K681" s="27" t="s">
        <v>50</v>
      </c>
      <c r="L681" s="13" t="s">
        <v>4057</v>
      </c>
      <c r="M681" s="26" t="str">
        <f>VLOOKUP(E681,'MTS 2026 registrations'!B:B,1,false)</f>
        <v>#N/A</v>
      </c>
      <c r="N681" s="26" t="str">
        <f>VLOOKUP(B681,'MTS 2026 registrations'!A:A,1,false)</f>
        <v>#N/A</v>
      </c>
      <c r="O681" s="38" t="str">
        <f t="shared" si="2"/>
        <v>Marked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</row>
    <row r="682" ht="12.75" customHeight="1">
      <c r="A682" s="19" t="str">
        <f t="shared" si="1"/>
        <v>Cristian Meo LatentWorlds AI</v>
      </c>
      <c r="B682" s="19" t="s">
        <v>4058</v>
      </c>
      <c r="C682" s="13" t="s">
        <v>4059</v>
      </c>
      <c r="D682" s="13" t="s">
        <v>4060</v>
      </c>
      <c r="E682" s="60" t="s">
        <v>4061</v>
      </c>
      <c r="F682" s="60" t="s">
        <v>3147</v>
      </c>
      <c r="G682" s="32" t="s">
        <v>46</v>
      </c>
      <c r="H682" s="25" t="s">
        <v>47</v>
      </c>
      <c r="I682" s="34"/>
      <c r="J682" s="35" t="s">
        <v>4062</v>
      </c>
      <c r="K682" s="27" t="s">
        <v>50</v>
      </c>
      <c r="L682" s="13" t="s">
        <v>4063</v>
      </c>
      <c r="M682" s="26" t="str">
        <f>VLOOKUP(E682,'MTS 2026 registrations'!B:B,1,false)</f>
        <v>#N/A</v>
      </c>
      <c r="N682" s="26" t="str">
        <f>VLOOKUP(B682,'MTS 2026 registrations'!A:A,1,false)</f>
        <v>#N/A</v>
      </c>
      <c r="O682" s="38" t="str">
        <f t="shared" si="2"/>
        <v>Marked</v>
      </c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23"/>
      <c r="AE682" s="23"/>
    </row>
    <row r="683" ht="12.75" customHeight="1">
      <c r="A683" s="19" t="str">
        <f t="shared" si="1"/>
        <v>Cristian DAlessandro Respiro B.V (RespiQ)</v>
      </c>
      <c r="B683" s="19" t="s">
        <v>4064</v>
      </c>
      <c r="C683" s="60" t="s">
        <v>4065</v>
      </c>
      <c r="D683" s="60" t="s">
        <v>4066</v>
      </c>
      <c r="E683" s="62" t="s">
        <v>4067</v>
      </c>
      <c r="F683" s="23" t="s">
        <v>4068</v>
      </c>
      <c r="G683" s="32" t="s">
        <v>46</v>
      </c>
      <c r="H683" s="25" t="s">
        <v>31</v>
      </c>
      <c r="I683" s="23"/>
      <c r="J683" s="35" t="s">
        <v>4069</v>
      </c>
      <c r="K683" s="27" t="s">
        <v>50</v>
      </c>
      <c r="L683" s="13" t="s">
        <v>4070</v>
      </c>
      <c r="M683" s="26" t="str">
        <f>VLOOKUP(E683,'MTS 2026 registrations'!B:B,1,false)</f>
        <v>#N/A</v>
      </c>
      <c r="N683" s="26" t="str">
        <f>VLOOKUP(B683,'MTS 2026 registrations'!A:A,1,false)</f>
        <v>#N/A</v>
      </c>
      <c r="O683" s="38" t="str">
        <f t="shared" si="2"/>
        <v>Marked</v>
      </c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2.75" customHeight="1">
      <c r="A684" s="19" t="str">
        <f t="shared" si="1"/>
        <v>Daan Blok economicboardzuidholland</v>
      </c>
      <c r="B684" s="19" t="s">
        <v>4071</v>
      </c>
      <c r="C684" s="60" t="s">
        <v>570</v>
      </c>
      <c r="D684" s="60" t="s">
        <v>4072</v>
      </c>
      <c r="E684" s="62" t="s">
        <v>4073</v>
      </c>
      <c r="F684" s="64" t="s">
        <v>4074</v>
      </c>
      <c r="G684" s="24" t="s">
        <v>29</v>
      </c>
      <c r="H684" s="25" t="s">
        <v>139</v>
      </c>
      <c r="I684" s="23"/>
      <c r="J684" s="35" t="s">
        <v>4075</v>
      </c>
      <c r="K684" s="27" t="s">
        <v>50</v>
      </c>
      <c r="L684" s="13" t="s">
        <v>4076</v>
      </c>
      <c r="M684" s="26" t="str">
        <f>VLOOKUP(E684,'MTS 2026 registrations'!B:B,1,false)</f>
        <v>#N/A</v>
      </c>
      <c r="N684" s="26" t="str">
        <f>VLOOKUP(B684,'MTS 2026 registrations'!A:A,1,false)</f>
        <v>#N/A</v>
      </c>
      <c r="O684" s="38" t="str">
        <f t="shared" si="2"/>
        <v>Marked</v>
      </c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2.75" customHeight="1">
      <c r="A685" s="19" t="str">
        <f t="shared" si="1"/>
        <v>Daan Hooimeijer vanoord</v>
      </c>
      <c r="B685" s="19" t="s">
        <v>4077</v>
      </c>
      <c r="C685" s="29" t="s">
        <v>570</v>
      </c>
      <c r="D685" s="72" t="s">
        <v>4078</v>
      </c>
      <c r="E685" s="30" t="s">
        <v>4079</v>
      </c>
      <c r="F685" s="29" t="s">
        <v>4080</v>
      </c>
      <c r="G685" s="32" t="s">
        <v>56</v>
      </c>
      <c r="H685" s="13" t="s">
        <v>45</v>
      </c>
      <c r="I685" s="34"/>
      <c r="J685" s="35" t="s">
        <v>4081</v>
      </c>
      <c r="K685" s="27" t="s">
        <v>50</v>
      </c>
      <c r="L685" s="13" t="s">
        <v>4082</v>
      </c>
      <c r="M685" s="26" t="str">
        <f>VLOOKUP(E685,'MTS 2026 registrations'!B:B,1,false)</f>
        <v>#N/A</v>
      </c>
      <c r="N685" s="26" t="str">
        <f>VLOOKUP(B685,'MTS 2026 registrations'!A:A,1,false)</f>
        <v>#N/A</v>
      </c>
      <c r="O685" s="38" t="str">
        <f t="shared" si="2"/>
        <v>Marked</v>
      </c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23"/>
      <c r="AE685" s="23"/>
    </row>
    <row r="686" ht="12.75" customHeight="1">
      <c r="A686" s="19" t="str">
        <f t="shared" si="1"/>
        <v>Daan Nollen dtventures</v>
      </c>
      <c r="B686" s="19" t="s">
        <v>4083</v>
      </c>
      <c r="C686" s="20" t="s">
        <v>570</v>
      </c>
      <c r="D686" s="20" t="s">
        <v>4084</v>
      </c>
      <c r="E686" s="21" t="s">
        <v>4085</v>
      </c>
      <c r="F686" s="23" t="s">
        <v>4086</v>
      </c>
      <c r="G686" s="24" t="s">
        <v>163</v>
      </c>
      <c r="H686" s="25" t="s">
        <v>164</v>
      </c>
      <c r="I686" s="23"/>
      <c r="J686" s="35" t="s">
        <v>4087</v>
      </c>
      <c r="K686" s="27" t="s">
        <v>50</v>
      </c>
      <c r="L686" s="13" t="s">
        <v>4088</v>
      </c>
      <c r="M686" s="26" t="str">
        <f>VLOOKUP(E686,'MTS 2026 registrations'!B:B,1,false)</f>
        <v>#N/A</v>
      </c>
      <c r="N686" s="26" t="str">
        <f>VLOOKUP(B686,'MTS 2026 registrations'!A:A,1,false)</f>
        <v>#N/A</v>
      </c>
      <c r="O686" s="38" t="str">
        <f t="shared" si="2"/>
        <v>Marked</v>
      </c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2.75" customHeight="1">
      <c r="A687" s="19" t="str">
        <f t="shared" si="1"/>
        <v>Daan Alkemade Breeze Social</v>
      </c>
      <c r="B687" s="19" t="s">
        <v>4089</v>
      </c>
      <c r="C687" s="29" t="s">
        <v>570</v>
      </c>
      <c r="D687" s="29" t="s">
        <v>4090</v>
      </c>
      <c r="E687" s="31" t="s">
        <v>4091</v>
      </c>
      <c r="F687" s="33" t="s">
        <v>4092</v>
      </c>
      <c r="G687" s="24" t="s">
        <v>46</v>
      </c>
      <c r="H687" s="25" t="s">
        <v>47</v>
      </c>
      <c r="I687" s="34"/>
      <c r="J687" s="35" t="s">
        <v>4093</v>
      </c>
      <c r="K687" s="27" t="s">
        <v>50</v>
      </c>
      <c r="L687" s="13" t="s">
        <v>4094</v>
      </c>
      <c r="M687" s="26" t="str">
        <f>VLOOKUP(E687,'MTS 2026 registrations'!B:B,1,false)</f>
        <v>#N/A</v>
      </c>
      <c r="N687" s="26" t="str">
        <f>VLOOKUP(B687,'MTS 2026 registrations'!A:A,1,false)</f>
        <v>#N/A</v>
      </c>
      <c r="O687" s="38" t="str">
        <f t="shared" si="2"/>
        <v>Marked</v>
      </c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23"/>
      <c r="AE687" s="23"/>
    </row>
    <row r="688" ht="12.75" customHeight="1">
      <c r="A688" s="19" t="str">
        <f t="shared" si="1"/>
        <v>Daan Domhof dentalrobotics</v>
      </c>
      <c r="B688" s="19" t="s">
        <v>4095</v>
      </c>
      <c r="C688" s="20" t="s">
        <v>570</v>
      </c>
      <c r="D688" s="20" t="s">
        <v>4096</v>
      </c>
      <c r="E688" s="21" t="s">
        <v>4097</v>
      </c>
      <c r="F688" s="23" t="s">
        <v>4098</v>
      </c>
      <c r="G688" s="32" t="s">
        <v>46</v>
      </c>
      <c r="H688" s="25" t="s">
        <v>47</v>
      </c>
      <c r="I688" s="23"/>
      <c r="J688" s="35" t="s">
        <v>4099</v>
      </c>
      <c r="K688" s="27" t="s">
        <v>50</v>
      </c>
      <c r="L688" s="13" t="s">
        <v>4100</v>
      </c>
      <c r="M688" s="26" t="str">
        <f>VLOOKUP(E688,'MTS 2026 registrations'!B:B,1,false)</f>
        <v>#N/A</v>
      </c>
      <c r="N688" s="26" t="str">
        <f>VLOOKUP(B688,'MTS 2026 registrations'!A:A,1,false)</f>
        <v>#N/A</v>
      </c>
      <c r="O688" s="38" t="str">
        <f t="shared" si="2"/>
        <v>Marked</v>
      </c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2.75" customHeight="1">
      <c r="A689" s="19" t="str">
        <f t="shared" si="1"/>
        <v>Daan de Groot lobster-robotics</v>
      </c>
      <c r="B689" s="19" t="s">
        <v>4101</v>
      </c>
      <c r="C689" s="20" t="s">
        <v>570</v>
      </c>
      <c r="D689" s="20" t="s">
        <v>1230</v>
      </c>
      <c r="E689" s="21" t="s">
        <v>4102</v>
      </c>
      <c r="F689" s="23" t="s">
        <v>4103</v>
      </c>
      <c r="G689" s="32" t="s">
        <v>46</v>
      </c>
      <c r="H689" s="25" t="s">
        <v>47</v>
      </c>
      <c r="I689" s="23"/>
      <c r="J689" s="35" t="s">
        <v>4104</v>
      </c>
      <c r="K689" s="27" t="s">
        <v>50</v>
      </c>
      <c r="L689" s="13" t="s">
        <v>4105</v>
      </c>
      <c r="M689" s="26" t="str">
        <f>VLOOKUP(E689,'MTS 2026 registrations'!B:B,1,false)</f>
        <v>#N/A</v>
      </c>
      <c r="N689" s="26" t="str">
        <f>VLOOKUP(B689,'MTS 2026 registrations'!A:A,1,false)</f>
        <v>#N/A</v>
      </c>
      <c r="O689" s="38" t="str">
        <f t="shared" si="2"/>
        <v>Marked</v>
      </c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2.75" customHeight="1">
      <c r="A690" s="19" t="str">
        <f t="shared" si="1"/>
        <v>Daan van der Wind PAVA</v>
      </c>
      <c r="B690" s="19" t="s">
        <v>4106</v>
      </c>
      <c r="C690" s="13" t="s">
        <v>570</v>
      </c>
      <c r="D690" s="13" t="s">
        <v>4107</v>
      </c>
      <c r="E690" s="60" t="s">
        <v>4108</v>
      </c>
      <c r="F690" s="60" t="s">
        <v>4109</v>
      </c>
      <c r="G690" s="32" t="s">
        <v>46</v>
      </c>
      <c r="H690" s="25" t="s">
        <v>47</v>
      </c>
      <c r="I690" s="34"/>
      <c r="J690" s="35" t="s">
        <v>4110</v>
      </c>
      <c r="K690" s="27" t="s">
        <v>50</v>
      </c>
      <c r="L690" s="13" t="s">
        <v>4111</v>
      </c>
      <c r="M690" s="26" t="str">
        <f>VLOOKUP(E690,'MTS 2026 registrations'!B:B,1,false)</f>
        <v>#N/A</v>
      </c>
      <c r="N690" s="26" t="str">
        <f>VLOOKUP(B690,'MTS 2026 registrations'!A:A,1,false)</f>
        <v>#N/A</v>
      </c>
      <c r="O690" s="38" t="str">
        <f t="shared" si="2"/>
        <v>Marked</v>
      </c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23"/>
      <c r="AE690" s="23"/>
    </row>
    <row r="691" ht="12.75" customHeight="1">
      <c r="A691" s="19" t="str">
        <f t="shared" si="1"/>
        <v>Daan Wortel duurzaamheidsfabriek</v>
      </c>
      <c r="B691" s="19" t="s">
        <v>4112</v>
      </c>
      <c r="C691" s="72" t="s">
        <v>4113</v>
      </c>
      <c r="D691" s="72" t="s">
        <v>4114</v>
      </c>
      <c r="E691" s="30" t="s">
        <v>4115</v>
      </c>
      <c r="F691" s="29" t="s">
        <v>4116</v>
      </c>
      <c r="G691" s="24" t="s">
        <v>29</v>
      </c>
      <c r="H691" s="13" t="s">
        <v>45</v>
      </c>
      <c r="I691" s="34"/>
      <c r="J691" s="35" t="s">
        <v>4117</v>
      </c>
      <c r="K691" s="27" t="s">
        <v>50</v>
      </c>
      <c r="L691" s="13" t="s">
        <v>4118</v>
      </c>
      <c r="M691" s="26" t="str">
        <f>VLOOKUP(E691,'MTS 2026 registrations'!B:B,1,false)</f>
        <v>#N/A</v>
      </c>
      <c r="N691" s="26" t="str">
        <f>VLOOKUP(B691,'MTS 2026 registrations'!A:A,1,false)</f>
        <v>#N/A</v>
      </c>
      <c r="O691" s="38" t="str">
        <f t="shared" si="2"/>
        <v>Marked</v>
      </c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23"/>
      <c r="AE691" s="23"/>
    </row>
    <row r="692" ht="12.75" customHeight="1">
      <c r="A692" s="19" t="str">
        <f t="shared" si="1"/>
        <v>Dana-Maria Faneker CaptainVR</v>
      </c>
      <c r="B692" s="19" t="s">
        <v>4119</v>
      </c>
      <c r="C692" s="29" t="s">
        <v>4120</v>
      </c>
      <c r="D692" s="29" t="s">
        <v>4121</v>
      </c>
      <c r="E692" s="31" t="s">
        <v>4122</v>
      </c>
      <c r="F692" s="33" t="s">
        <v>4123</v>
      </c>
      <c r="G692" s="32" t="s">
        <v>46</v>
      </c>
      <c r="H692" s="25" t="s">
        <v>47</v>
      </c>
      <c r="I692" s="34"/>
      <c r="J692" s="35" t="s">
        <v>4124</v>
      </c>
      <c r="K692" s="27" t="s">
        <v>50</v>
      </c>
      <c r="L692" s="13" t="s">
        <v>4125</v>
      </c>
      <c r="M692" s="26" t="str">
        <f>VLOOKUP(E692,'MTS 2026 registrations'!B:B,1,false)</f>
        <v>#N/A</v>
      </c>
      <c r="N692" s="26" t="str">
        <f>VLOOKUP(B692,'MTS 2026 registrations'!A:A,1,false)</f>
        <v>#N/A</v>
      </c>
      <c r="O692" s="38" t="str">
        <f t="shared" si="2"/>
        <v>Marked</v>
      </c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23"/>
      <c r="AE692" s="23"/>
    </row>
    <row r="693" ht="12.75" customHeight="1">
      <c r="A693" s="19" t="str">
        <f t="shared" si="1"/>
        <v>Daniel van der Gaag Cyber Warfare Centre, Min Defense</v>
      </c>
      <c r="B693" s="19" t="s">
        <v>4126</v>
      </c>
      <c r="C693" s="156" t="s">
        <v>435</v>
      </c>
      <c r="D693" s="156" t="s">
        <v>4127</v>
      </c>
      <c r="E693" s="50" t="s">
        <v>4128</v>
      </c>
      <c r="F693" s="50" t="s">
        <v>4129</v>
      </c>
      <c r="G693" s="24" t="s">
        <v>225</v>
      </c>
      <c r="H693" s="25" t="s">
        <v>47</v>
      </c>
      <c r="I693" s="34"/>
      <c r="J693" s="35" t="s">
        <v>4130</v>
      </c>
      <c r="K693" s="27" t="s">
        <v>50</v>
      </c>
      <c r="L693" s="13" t="s">
        <v>4131</v>
      </c>
      <c r="M693" s="26" t="str">
        <f>VLOOKUP(E693,'MTS 2026 registrations'!B:B,1,false)</f>
        <v>#N/A</v>
      </c>
      <c r="N693" s="26" t="str">
        <f>VLOOKUP(B693,'MTS 2026 registrations'!A:A,1,false)</f>
        <v>#N/A</v>
      </c>
      <c r="O693" s="38" t="str">
        <f t="shared" si="2"/>
        <v>Marked</v>
      </c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</row>
    <row r="694" ht="12.75" customHeight="1">
      <c r="A694" s="19" t="str">
        <f t="shared" si="1"/>
        <v>Daniel Gebler teampicnic</v>
      </c>
      <c r="B694" s="19" t="s">
        <v>4132</v>
      </c>
      <c r="C694" s="158" t="s">
        <v>4133</v>
      </c>
      <c r="D694" s="158" t="s">
        <v>4134</v>
      </c>
      <c r="E694" s="139" t="s">
        <v>4135</v>
      </c>
      <c r="F694" s="23" t="s">
        <v>4136</v>
      </c>
      <c r="G694" s="24" t="s">
        <v>225</v>
      </c>
      <c r="H694" s="25" t="s">
        <v>47</v>
      </c>
      <c r="I694" s="23"/>
      <c r="J694" s="35" t="s">
        <v>4137</v>
      </c>
      <c r="K694" s="27" t="s">
        <v>50</v>
      </c>
      <c r="L694" s="13" t="s">
        <v>4138</v>
      </c>
      <c r="M694" s="26" t="str">
        <f>VLOOKUP(E694,'MTS 2026 registrations'!B:B,1,false)</f>
        <v>#N/A</v>
      </c>
      <c r="N694" s="26" t="str">
        <f>VLOOKUP(B694,'MTS 2026 registrations'!A:A,1,false)</f>
        <v>#N/A</v>
      </c>
      <c r="O694" s="38" t="str">
        <f t="shared" si="2"/>
        <v>Marked</v>
      </c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2.75" customHeight="1">
      <c r="A695" s="19" t="str">
        <f t="shared" si="1"/>
        <v>Danielle Jansen InnovationQuarter</v>
      </c>
      <c r="B695" s="19" t="s">
        <v>4139</v>
      </c>
      <c r="C695" s="156" t="s">
        <v>4140</v>
      </c>
      <c r="D695" s="156" t="s">
        <v>4141</v>
      </c>
      <c r="E695" s="50" t="s">
        <v>4142</v>
      </c>
      <c r="F695" s="50" t="s">
        <v>4143</v>
      </c>
      <c r="G695" s="24" t="s">
        <v>225</v>
      </c>
      <c r="H695" s="25" t="s">
        <v>47</v>
      </c>
      <c r="I695" s="34"/>
      <c r="J695" s="35" t="s">
        <v>4144</v>
      </c>
      <c r="K695" s="27" t="s">
        <v>50</v>
      </c>
      <c r="L695" s="13" t="s">
        <v>4145</v>
      </c>
      <c r="M695" s="26" t="str">
        <f>VLOOKUP(E695,'MTS 2026 registrations'!B:B,1,false)</f>
        <v>#N/A</v>
      </c>
      <c r="N695" s="26" t="str">
        <f>VLOOKUP(B695,'MTS 2026 registrations'!A:A,1,false)</f>
        <v>#N/A</v>
      </c>
      <c r="O695" s="38" t="str">
        <f t="shared" si="2"/>
        <v>Marked</v>
      </c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</row>
    <row r="696" ht="12.75" customHeight="1">
      <c r="A696" s="19" t="str">
        <f t="shared" si="1"/>
        <v>Danielle Kneppers Independent</v>
      </c>
      <c r="B696" s="19" t="s">
        <v>4146</v>
      </c>
      <c r="C696" s="116" t="s">
        <v>4140</v>
      </c>
      <c r="D696" s="116" t="s">
        <v>4147</v>
      </c>
      <c r="E696" s="112" t="s">
        <v>4148</v>
      </c>
      <c r="F696" s="66" t="s">
        <v>1209</v>
      </c>
      <c r="G696" s="24" t="s">
        <v>225</v>
      </c>
      <c r="H696" s="25" t="s">
        <v>47</v>
      </c>
      <c r="I696" s="34"/>
      <c r="J696" s="35" t="s">
        <v>4149</v>
      </c>
      <c r="K696" s="27" t="s">
        <v>50</v>
      </c>
      <c r="L696" s="13" t="s">
        <v>4150</v>
      </c>
      <c r="M696" s="26" t="str">
        <f>VLOOKUP(E696,'MTS 2026 registrations'!B:B,1,false)</f>
        <v>#N/A</v>
      </c>
      <c r="N696" s="26" t="str">
        <f>VLOOKUP(B696,'MTS 2026 registrations'!A:A,1,false)</f>
        <v>#N/A</v>
      </c>
      <c r="O696" s="38" t="str">
        <f t="shared" si="2"/>
        <v>Marked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</row>
    <row r="697" ht="12.75" customHeight="1">
      <c r="A697" s="19" t="str">
        <f t="shared" si="1"/>
        <v>Danny Looman Lobster Robotics</v>
      </c>
      <c r="B697" s="19" t="s">
        <v>4151</v>
      </c>
      <c r="C697" s="29" t="s">
        <v>463</v>
      </c>
      <c r="D697" s="29" t="s">
        <v>4152</v>
      </c>
      <c r="E697" s="31" t="s">
        <v>4153</v>
      </c>
      <c r="F697" s="33" t="s">
        <v>4154</v>
      </c>
      <c r="G697" s="32" t="s">
        <v>46</v>
      </c>
      <c r="H697" s="25" t="s">
        <v>47</v>
      </c>
      <c r="I697" s="34"/>
      <c r="J697" s="35" t="s">
        <v>4155</v>
      </c>
      <c r="K697" s="27" t="s">
        <v>50</v>
      </c>
      <c r="L697" s="13" t="s">
        <v>4156</v>
      </c>
      <c r="M697" s="26" t="str">
        <f>VLOOKUP(E697,'MTS 2026 registrations'!B:B,1,false)</f>
        <v>#N/A</v>
      </c>
      <c r="N697" s="26" t="str">
        <f>VLOOKUP(B697,'MTS 2026 registrations'!A:A,1,false)</f>
        <v>#N/A</v>
      </c>
      <c r="O697" s="38" t="str">
        <f t="shared" si="2"/>
        <v>Marked</v>
      </c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23"/>
      <c r="AE697" s="23"/>
    </row>
    <row r="698" ht="12.75" customHeight="1">
      <c r="A698" s="19" t="str">
        <f t="shared" si="1"/>
        <v>Danny de Bruijn warp.industries</v>
      </c>
      <c r="B698" s="19" t="s">
        <v>4157</v>
      </c>
      <c r="C698" s="20" t="s">
        <v>463</v>
      </c>
      <c r="D698" s="20" t="s">
        <v>4041</v>
      </c>
      <c r="E698" s="21" t="s">
        <v>4158</v>
      </c>
      <c r="F698" s="23" t="s">
        <v>3102</v>
      </c>
      <c r="G698" s="32" t="s">
        <v>46</v>
      </c>
      <c r="H698" s="25" t="s">
        <v>47</v>
      </c>
      <c r="I698" s="26"/>
      <c r="J698" s="35" t="s">
        <v>4159</v>
      </c>
      <c r="K698" s="27" t="s">
        <v>50</v>
      </c>
      <c r="L698" s="13" t="s">
        <v>4160</v>
      </c>
      <c r="M698" s="26" t="str">
        <f>VLOOKUP(E698,'MTS 2026 registrations'!B:B,1,false)</f>
        <v>#N/A</v>
      </c>
      <c r="N698" s="26" t="str">
        <f>VLOOKUP(B698,'MTS 2026 registrations'!A:A,1,false)</f>
        <v>#N/A</v>
      </c>
      <c r="O698" s="38" t="str">
        <f t="shared" si="2"/>
        <v>Marked</v>
      </c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2.75" customHeight="1">
      <c r="A699" s="19" t="str">
        <f t="shared" si="1"/>
        <v>Daphne Wijffels Reinier de Graaf Ziekenhuis</v>
      </c>
      <c r="B699" s="19" t="s">
        <v>4161</v>
      </c>
      <c r="C699" s="20" t="s">
        <v>4162</v>
      </c>
      <c r="D699" s="20" t="s">
        <v>4163</v>
      </c>
      <c r="E699" s="62" t="s">
        <v>4164</v>
      </c>
      <c r="F699" s="23" t="s">
        <v>4165</v>
      </c>
      <c r="G699" s="24" t="s">
        <v>29</v>
      </c>
      <c r="H699" s="25" t="s">
        <v>139</v>
      </c>
      <c r="I699" s="23"/>
      <c r="J699" s="35" t="s">
        <v>4166</v>
      </c>
      <c r="K699" s="27" t="s">
        <v>50</v>
      </c>
      <c r="L699" s="13" t="s">
        <v>4167</v>
      </c>
      <c r="M699" s="26" t="str">
        <f>VLOOKUP(E699,'MTS 2026 registrations'!B:B,1,false)</f>
        <v>#N/A</v>
      </c>
      <c r="N699" s="26" t="str">
        <f>VLOOKUP(B699,'MTS 2026 registrations'!A:A,1,false)</f>
        <v>#N/A</v>
      </c>
      <c r="O699" s="38" t="str">
        <f t="shared" si="2"/>
        <v>Marked</v>
      </c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2.75" customHeight="1">
      <c r="A700" s="19" t="str">
        <f t="shared" si="1"/>
        <v>Daria Khozlova Deepbreath</v>
      </c>
      <c r="B700" s="19" t="s">
        <v>4168</v>
      </c>
      <c r="C700" s="29" t="s">
        <v>4169</v>
      </c>
      <c r="D700" s="29" t="s">
        <v>4170</v>
      </c>
      <c r="E700" s="62" t="s">
        <v>4171</v>
      </c>
      <c r="F700" s="115" t="s">
        <v>4172</v>
      </c>
      <c r="G700" s="32" t="s">
        <v>46</v>
      </c>
      <c r="H700" s="25" t="s">
        <v>139</v>
      </c>
      <c r="I700" s="23"/>
      <c r="J700" s="35" t="s">
        <v>4173</v>
      </c>
      <c r="K700" s="27" t="s">
        <v>50</v>
      </c>
      <c r="L700" s="13" t="s">
        <v>4174</v>
      </c>
      <c r="M700" s="26" t="str">
        <f>VLOOKUP(E700,'MTS 2026 registrations'!B:B,1,false)</f>
        <v>#N/A</v>
      </c>
      <c r="N700" s="26" t="str">
        <f>VLOOKUP(B700,'MTS 2026 registrations'!A:A,1,false)</f>
        <v>#N/A</v>
      </c>
      <c r="O700" s="38" t="str">
        <f t="shared" si="2"/>
        <v>Marked</v>
      </c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2.75" customHeight="1">
      <c r="A701" s="19" t="str">
        <f t="shared" si="1"/>
        <v>David Peck tudelft</v>
      </c>
      <c r="B701" s="19" t="s">
        <v>4175</v>
      </c>
      <c r="C701" s="29" t="s">
        <v>1604</v>
      </c>
      <c r="D701" s="29" t="s">
        <v>4176</v>
      </c>
      <c r="E701" s="30" t="s">
        <v>4177</v>
      </c>
      <c r="F701" s="29" t="s">
        <v>184</v>
      </c>
      <c r="G701" s="32" t="s">
        <v>43</v>
      </c>
      <c r="H701" s="13" t="s">
        <v>213</v>
      </c>
      <c r="I701" s="34"/>
      <c r="J701" s="35" t="s">
        <v>4178</v>
      </c>
      <c r="K701" s="27" t="s">
        <v>50</v>
      </c>
      <c r="L701" s="13" t="s">
        <v>4179</v>
      </c>
      <c r="M701" s="26" t="str">
        <f>VLOOKUP(E701,'MTS 2026 registrations'!B:B,1,false)</f>
        <v>#N/A</v>
      </c>
      <c r="N701" s="26" t="str">
        <f>VLOOKUP(B701,'MTS 2026 registrations'!A:A,1,false)</f>
        <v>#N/A</v>
      </c>
      <c r="O701" s="38" t="str">
        <f t="shared" si="2"/>
        <v>Marked</v>
      </c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2.75" customHeight="1">
      <c r="A702" s="19" t="str">
        <f t="shared" si="1"/>
        <v>David Greenberg eave</v>
      </c>
      <c r="B702" s="19" t="s">
        <v>4180</v>
      </c>
      <c r="C702" s="20" t="s">
        <v>1604</v>
      </c>
      <c r="D702" s="20" t="s">
        <v>4181</v>
      </c>
      <c r="E702" s="21" t="s">
        <v>4182</v>
      </c>
      <c r="F702" s="23" t="s">
        <v>4183</v>
      </c>
      <c r="G702" s="32" t="s">
        <v>46</v>
      </c>
      <c r="H702" s="25" t="s">
        <v>47</v>
      </c>
      <c r="I702" s="23"/>
      <c r="J702" s="35" t="s">
        <v>4184</v>
      </c>
      <c r="K702" s="27" t="s">
        <v>50</v>
      </c>
      <c r="L702" s="13" t="s">
        <v>4185</v>
      </c>
      <c r="M702" s="26" t="str">
        <f>VLOOKUP(E702,'MTS 2026 registrations'!B:B,1,false)</f>
        <v>#N/A</v>
      </c>
      <c r="N702" s="26" t="str">
        <f>VLOOKUP(B702,'MTS 2026 registrations'!A:A,1,false)</f>
        <v>#N/A</v>
      </c>
      <c r="O702" s="38" t="str">
        <f t="shared" si="2"/>
        <v>Marked</v>
      </c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2.75" customHeight="1">
      <c r="A703" s="19" t="str">
        <f t="shared" si="1"/>
        <v>David Ordonez NIF Fund</v>
      </c>
      <c r="B703" s="19" t="s">
        <v>4186</v>
      </c>
      <c r="C703" s="101" t="s">
        <v>1604</v>
      </c>
      <c r="D703" s="60" t="s">
        <v>4187</v>
      </c>
      <c r="E703" s="48" t="s">
        <v>4188</v>
      </c>
      <c r="F703" s="135" t="s">
        <v>4189</v>
      </c>
      <c r="G703" s="24" t="s">
        <v>163</v>
      </c>
      <c r="H703" s="26" t="s">
        <v>164</v>
      </c>
      <c r="I703" s="34"/>
      <c r="J703" s="35" t="s">
        <v>4190</v>
      </c>
      <c r="K703" s="27" t="s">
        <v>50</v>
      </c>
      <c r="L703" s="27" t="s">
        <v>4191</v>
      </c>
      <c r="M703" s="26" t="str">
        <f>VLOOKUP(E703,'MTS 2026 registrations'!B:B,1,false)</f>
        <v>#N/A</v>
      </c>
      <c r="N703" s="26" t="str">
        <f>VLOOKUP(B703,'MTS 2026 registrations'!A:A,1,false)</f>
        <v>#N/A</v>
      </c>
      <c r="O703" s="38" t="str">
        <f t="shared" si="2"/>
        <v>Marked</v>
      </c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2.75" customHeight="1">
      <c r="A704" s="19" t="str">
        <f t="shared" si="1"/>
        <v>David Roodenburg huisman-nl</v>
      </c>
      <c r="B704" s="19" t="s">
        <v>4192</v>
      </c>
      <c r="C704" s="134" t="s">
        <v>1604</v>
      </c>
      <c r="D704" s="60" t="s">
        <v>4193</v>
      </c>
      <c r="E704" s="62" t="s">
        <v>4194</v>
      </c>
      <c r="F704" s="64" t="s">
        <v>4195</v>
      </c>
      <c r="G704" s="24" t="s">
        <v>56</v>
      </c>
      <c r="H704" s="25" t="s">
        <v>139</v>
      </c>
      <c r="I704" s="34"/>
      <c r="J704" s="35" t="s">
        <v>4196</v>
      </c>
      <c r="K704" s="27" t="s">
        <v>50</v>
      </c>
      <c r="L704" s="13" t="s">
        <v>4197</v>
      </c>
      <c r="M704" s="26" t="str">
        <f>VLOOKUP(E704,'MTS 2026 registrations'!B:B,1,false)</f>
        <v>#N/A</v>
      </c>
      <c r="N704" s="26" t="str">
        <f>VLOOKUP(B704,'MTS 2026 registrations'!A:A,1,false)</f>
        <v>#N/A</v>
      </c>
      <c r="O704" s="38" t="str">
        <f t="shared" si="2"/>
        <v>Marked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23"/>
      <c r="AE704" s="23"/>
    </row>
    <row r="705" ht="12.75" customHeight="1">
      <c r="A705" s="19" t="str">
        <f t="shared" si="1"/>
        <v>Deborah Mevissen hhs</v>
      </c>
      <c r="B705" s="19" t="s">
        <v>4198</v>
      </c>
      <c r="C705" s="29" t="s">
        <v>4199</v>
      </c>
      <c r="D705" s="29" t="s">
        <v>4200</v>
      </c>
      <c r="E705" s="30" t="s">
        <v>4201</v>
      </c>
      <c r="F705" s="29" t="s">
        <v>2324</v>
      </c>
      <c r="G705" s="32" t="s">
        <v>43</v>
      </c>
      <c r="H705" s="13" t="s">
        <v>45</v>
      </c>
      <c r="I705" s="34"/>
      <c r="J705" s="35" t="s">
        <v>4202</v>
      </c>
      <c r="K705" s="27" t="s">
        <v>50</v>
      </c>
      <c r="L705" s="13" t="s">
        <v>4203</v>
      </c>
      <c r="M705" s="26" t="str">
        <f>VLOOKUP(E705,'MTS 2026 registrations'!B:B,1,false)</f>
        <v>#N/A</v>
      </c>
      <c r="N705" s="26" t="str">
        <f>VLOOKUP(B705,'MTS 2026 registrations'!A:A,1,false)</f>
        <v>#N/A</v>
      </c>
      <c r="O705" s="38" t="str">
        <f t="shared" si="2"/>
        <v>Marked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23"/>
      <c r="AE705" s="23"/>
    </row>
    <row r="706" ht="12.75" customHeight="1">
      <c r="A706" s="19" t="str">
        <f t="shared" si="1"/>
        <v>Dejan Borota mainblades</v>
      </c>
      <c r="B706" s="19" t="s">
        <v>4204</v>
      </c>
      <c r="C706" s="20" t="s">
        <v>4205</v>
      </c>
      <c r="D706" s="20" t="s">
        <v>4206</v>
      </c>
      <c r="E706" s="21" t="s">
        <v>4207</v>
      </c>
      <c r="F706" s="23" t="s">
        <v>4208</v>
      </c>
      <c r="G706" s="32" t="s">
        <v>46</v>
      </c>
      <c r="H706" s="25" t="s">
        <v>47</v>
      </c>
      <c r="I706" s="23"/>
      <c r="J706" s="35" t="s">
        <v>4209</v>
      </c>
      <c r="K706" s="27" t="s">
        <v>50</v>
      </c>
      <c r="L706" s="13" t="s">
        <v>4210</v>
      </c>
      <c r="M706" s="26" t="str">
        <f>VLOOKUP(E706,'MTS 2026 registrations'!B:B,1,false)</f>
        <v>#N/A</v>
      </c>
      <c r="N706" s="26" t="str">
        <f>VLOOKUP(B706,'MTS 2026 registrations'!A:A,1,false)</f>
        <v>#N/A</v>
      </c>
      <c r="O706" s="38" t="str">
        <f t="shared" si="2"/>
        <v>Marked</v>
      </c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2.75" customHeight="1">
      <c r="A707" s="19" t="str">
        <f t="shared" si="1"/>
        <v>Dennis Huizing leapfunder</v>
      </c>
      <c r="B707" s="19" t="s">
        <v>4211</v>
      </c>
      <c r="C707" s="20" t="s">
        <v>587</v>
      </c>
      <c r="D707" s="20" t="s">
        <v>4212</v>
      </c>
      <c r="E707" s="21" t="s">
        <v>4213</v>
      </c>
      <c r="F707" s="23" t="s">
        <v>4214</v>
      </c>
      <c r="G707" s="24" t="s">
        <v>163</v>
      </c>
      <c r="H707" s="25" t="s">
        <v>164</v>
      </c>
      <c r="I707" s="23"/>
      <c r="J707" s="35" t="s">
        <v>4215</v>
      </c>
      <c r="K707" s="27" t="s">
        <v>50</v>
      </c>
      <c r="L707" s="13" t="s">
        <v>4216</v>
      </c>
      <c r="M707" s="26" t="str">
        <f>VLOOKUP(E707,'MTS 2026 registrations'!B:B,1,false)</f>
        <v>#N/A</v>
      </c>
      <c r="N707" s="26" t="str">
        <f>VLOOKUP(B707,'MTS 2026 registrations'!A:A,1,false)</f>
        <v>#N/A</v>
      </c>
      <c r="O707" s="38" t="str">
        <f t="shared" si="2"/>
        <v>Marked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2.75" customHeight="1">
      <c r="A708" s="19" t="str">
        <f t="shared" si="1"/>
        <v>Dennis de Klerk vibestechnology</v>
      </c>
      <c r="B708" s="19" t="s">
        <v>4217</v>
      </c>
      <c r="C708" s="20" t="s">
        <v>587</v>
      </c>
      <c r="D708" s="20" t="s">
        <v>3705</v>
      </c>
      <c r="E708" s="21" t="s">
        <v>4218</v>
      </c>
      <c r="F708" s="23" t="s">
        <v>583</v>
      </c>
      <c r="G708" s="32" t="s">
        <v>46</v>
      </c>
      <c r="H708" s="25" t="s">
        <v>47</v>
      </c>
      <c r="I708" s="26"/>
      <c r="J708" s="35" t="s">
        <v>4219</v>
      </c>
      <c r="K708" s="27" t="s">
        <v>50</v>
      </c>
      <c r="L708" s="13" t="s">
        <v>4220</v>
      </c>
      <c r="M708" s="26" t="str">
        <f>VLOOKUP(E708,'MTS 2026 registrations'!B:B,1,false)</f>
        <v>#N/A</v>
      </c>
      <c r="N708" s="26" t="str">
        <f>VLOOKUP(B708,'MTS 2026 registrations'!A:A,1,false)</f>
        <v>#N/A</v>
      </c>
      <c r="O708" s="38" t="str">
        <f t="shared" si="2"/>
        <v>Marked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2.75" customHeight="1">
      <c r="A709" s="19" t="str">
        <f t="shared" si="1"/>
        <v>Dennis van Rietschoten MIND</v>
      </c>
      <c r="B709" s="19" t="s">
        <v>4221</v>
      </c>
      <c r="C709" s="156" t="s">
        <v>587</v>
      </c>
      <c r="D709" s="156" t="s">
        <v>4222</v>
      </c>
      <c r="E709" s="50" t="s">
        <v>4223</v>
      </c>
      <c r="F709" s="50" t="s">
        <v>2178</v>
      </c>
      <c r="G709" s="24" t="s">
        <v>225</v>
      </c>
      <c r="H709" s="25" t="s">
        <v>47</v>
      </c>
      <c r="I709" s="34"/>
      <c r="J709" s="35" t="s">
        <v>4224</v>
      </c>
      <c r="K709" s="27" t="s">
        <v>50</v>
      </c>
      <c r="L709" s="13" t="s">
        <v>4225</v>
      </c>
      <c r="M709" s="26" t="str">
        <f>VLOOKUP(E709,'MTS 2026 registrations'!B:B,1,false)</f>
        <v>#N/A</v>
      </c>
      <c r="N709" s="26" t="str">
        <f>VLOOKUP(B709,'MTS 2026 registrations'!A:A,1,false)</f>
        <v>#N/A</v>
      </c>
      <c r="O709" s="38" t="str">
        <f t="shared" si="2"/>
        <v>Marked</v>
      </c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</row>
    <row r="710" ht="12.75" customHeight="1">
      <c r="A710" s="19" t="str">
        <f t="shared" si="1"/>
        <v>Derk Lutgert Spotlight Invest</v>
      </c>
      <c r="B710" s="19" t="s">
        <v>4226</v>
      </c>
      <c r="C710" s="20" t="s">
        <v>4227</v>
      </c>
      <c r="D710" s="20" t="s">
        <v>4228</v>
      </c>
      <c r="E710" s="21" t="s">
        <v>4229</v>
      </c>
      <c r="F710" s="49" t="s">
        <v>4230</v>
      </c>
      <c r="G710" s="24" t="s">
        <v>163</v>
      </c>
      <c r="H710" s="26" t="s">
        <v>164</v>
      </c>
      <c r="I710" s="13" t="s">
        <v>188</v>
      </c>
      <c r="J710" s="35" t="s">
        <v>4231</v>
      </c>
      <c r="K710" s="27" t="s">
        <v>50</v>
      </c>
      <c r="L710" s="25" t="s">
        <v>1449</v>
      </c>
      <c r="M710" s="26" t="str">
        <f>VLOOKUP(E710,'MTS 2026 registrations'!B:B,1,false)</f>
        <v>#N/A</v>
      </c>
      <c r="N710" s="26" t="str">
        <f>VLOOKUP(B710,'MTS 2026 registrations'!A:A,1,false)</f>
        <v>#N/A</v>
      </c>
      <c r="O710" s="38" t="str">
        <f t="shared" si="2"/>
        <v>Marked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</row>
    <row r="711" ht="12.75" customHeight="1">
      <c r="A711" s="19" t="str">
        <f t="shared" si="1"/>
        <v>Derk-Jan Van Heerden Aethos</v>
      </c>
      <c r="B711" s="19" t="s">
        <v>4232</v>
      </c>
      <c r="C711" s="116" t="s">
        <v>4233</v>
      </c>
      <c r="D711" s="116" t="s">
        <v>4234</v>
      </c>
      <c r="E711" s="21" t="s">
        <v>4235</v>
      </c>
      <c r="F711" s="23" t="s">
        <v>4236</v>
      </c>
      <c r="G711" s="32" t="s">
        <v>46</v>
      </c>
      <c r="H711" s="25" t="s">
        <v>139</v>
      </c>
      <c r="I711" s="26"/>
      <c r="J711" s="35" t="s">
        <v>4237</v>
      </c>
      <c r="K711" s="27" t="s">
        <v>50</v>
      </c>
      <c r="L711" s="13" t="s">
        <v>4238</v>
      </c>
      <c r="M711" s="26" t="str">
        <f>VLOOKUP(E711,'MTS 2026 registrations'!B:B,1,false)</f>
        <v>#N/A</v>
      </c>
      <c r="N711" s="26" t="str">
        <f>VLOOKUP(B711,'MTS 2026 registrations'!A:A,1,false)</f>
        <v>#N/A</v>
      </c>
      <c r="O711" s="38" t="str">
        <f t="shared" si="2"/>
        <v>Marked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2.75" customHeight="1">
      <c r="A712" s="19" t="str">
        <f t="shared" si="1"/>
        <v>Desmond van der Meer innovattic</v>
      </c>
      <c r="B712" s="19" t="s">
        <v>4239</v>
      </c>
      <c r="C712" s="20" t="s">
        <v>4240</v>
      </c>
      <c r="D712" s="20" t="s">
        <v>1069</v>
      </c>
      <c r="E712" s="21" t="s">
        <v>4241</v>
      </c>
      <c r="F712" s="23" t="s">
        <v>4242</v>
      </c>
      <c r="G712" s="32" t="s">
        <v>46</v>
      </c>
      <c r="H712" s="25" t="s">
        <v>47</v>
      </c>
      <c r="I712" s="23"/>
      <c r="J712" s="35" t="s">
        <v>4243</v>
      </c>
      <c r="K712" s="27" t="s">
        <v>50</v>
      </c>
      <c r="L712" s="13" t="s">
        <v>4244</v>
      </c>
      <c r="M712" s="26" t="str">
        <f>VLOOKUP(E712,'MTS 2026 registrations'!B:B,1,false)</f>
        <v>#N/A</v>
      </c>
      <c r="N712" s="26" t="str">
        <f>VLOOKUP(B712,'MTS 2026 registrations'!A:A,1,false)</f>
        <v>#N/A</v>
      </c>
      <c r="O712" s="38" t="str">
        <f t="shared" si="2"/>
        <v>Marked</v>
      </c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2.75" customHeight="1">
      <c r="A713" s="19" t="str">
        <f t="shared" si="1"/>
        <v>Devin Malone Straw Dog (One Nights Tent )</v>
      </c>
      <c r="B713" s="19" t="s">
        <v>4245</v>
      </c>
      <c r="C713" s="29" t="s">
        <v>4246</v>
      </c>
      <c r="D713" s="29" t="s">
        <v>4247</v>
      </c>
      <c r="E713" s="80" t="s">
        <v>4248</v>
      </c>
      <c r="F713" s="33" t="s">
        <v>4249</v>
      </c>
      <c r="G713" s="24" t="s">
        <v>46</v>
      </c>
      <c r="H713" s="25" t="s">
        <v>47</v>
      </c>
      <c r="I713" s="34"/>
      <c r="J713" s="35" t="s">
        <v>4250</v>
      </c>
      <c r="K713" s="27" t="s">
        <v>50</v>
      </c>
      <c r="L713" s="13" t="s">
        <v>4251</v>
      </c>
      <c r="M713" s="26" t="str">
        <f>VLOOKUP(E713,'MTS 2026 registrations'!B:B,1,false)</f>
        <v>#N/A</v>
      </c>
      <c r="N713" s="26" t="str">
        <f>VLOOKUP(B713,'MTS 2026 registrations'!A:A,1,false)</f>
        <v>#N/A</v>
      </c>
      <c r="O713" s="38" t="str">
        <f t="shared" si="2"/>
        <v>Marked</v>
      </c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23"/>
      <c r="AE713" s="23"/>
    </row>
    <row r="714" ht="12.75" customHeight="1">
      <c r="A714" s="19" t="str">
        <f t="shared" si="1"/>
        <v>Dick Van Driel NewCompliance</v>
      </c>
      <c r="B714" s="19" t="s">
        <v>4252</v>
      </c>
      <c r="C714" s="29" t="s">
        <v>2303</v>
      </c>
      <c r="D714" s="29" t="s">
        <v>4253</v>
      </c>
      <c r="E714" s="62" t="s">
        <v>4254</v>
      </c>
      <c r="F714" s="115" t="s">
        <v>476</v>
      </c>
      <c r="G714" s="32" t="s">
        <v>46</v>
      </c>
      <c r="H714" s="25" t="s">
        <v>139</v>
      </c>
      <c r="I714" s="23"/>
      <c r="J714" s="35" t="s">
        <v>4255</v>
      </c>
      <c r="K714" s="27" t="s">
        <v>50</v>
      </c>
      <c r="L714" s="13" t="s">
        <v>4256</v>
      </c>
      <c r="M714" s="26" t="str">
        <f>VLOOKUP(E714,'MTS 2026 registrations'!B:B,1,false)</f>
        <v>#N/A</v>
      </c>
      <c r="N714" s="26" t="str">
        <f>VLOOKUP(B714,'MTS 2026 registrations'!A:A,1,false)</f>
        <v>#N/A</v>
      </c>
      <c r="O714" s="38" t="str">
        <f t="shared" si="2"/>
        <v>Marked</v>
      </c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2.75" customHeight="1">
      <c r="A715" s="19" t="str">
        <f t="shared" si="1"/>
        <v>Diederik van Dommelen raadrotterdam</v>
      </c>
      <c r="B715" s="19" t="s">
        <v>4257</v>
      </c>
      <c r="C715" s="138" t="s">
        <v>1610</v>
      </c>
      <c r="D715" s="138" t="s">
        <v>4258</v>
      </c>
      <c r="E715" s="139" t="s">
        <v>4259</v>
      </c>
      <c r="F715" s="75" t="s">
        <v>4260</v>
      </c>
      <c r="G715" s="24" t="s">
        <v>323</v>
      </c>
      <c r="H715" s="25" t="s">
        <v>139</v>
      </c>
      <c r="I715" s="23"/>
      <c r="J715" s="35" t="s">
        <v>4261</v>
      </c>
      <c r="K715" s="27" t="s">
        <v>50</v>
      </c>
      <c r="L715" s="13" t="s">
        <v>4262</v>
      </c>
      <c r="M715" s="26" t="str">
        <f>VLOOKUP(E715,'MTS 2026 registrations'!B:B,1,false)</f>
        <v>#N/A</v>
      </c>
      <c r="N715" s="26" t="str">
        <f>VLOOKUP(B715,'MTS 2026 registrations'!A:A,1,false)</f>
        <v>#N/A</v>
      </c>
      <c r="O715" s="38" t="str">
        <f t="shared" si="2"/>
        <v>Marked</v>
      </c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2.75" customHeight="1">
      <c r="A716" s="19" t="str">
        <f t="shared" si="1"/>
        <v>Diederik Rasenberg Sensible (MedCore)</v>
      </c>
      <c r="B716" s="19" t="s">
        <v>4263</v>
      </c>
      <c r="C716" s="29" t="s">
        <v>1610</v>
      </c>
      <c r="D716" s="29" t="s">
        <v>4264</v>
      </c>
      <c r="E716" s="31" t="s">
        <v>4265</v>
      </c>
      <c r="F716" s="33" t="s">
        <v>4266</v>
      </c>
      <c r="G716" s="24" t="s">
        <v>46</v>
      </c>
      <c r="H716" s="25" t="s">
        <v>47</v>
      </c>
      <c r="I716" s="34"/>
      <c r="J716" s="35" t="s">
        <v>4267</v>
      </c>
      <c r="K716" s="27" t="s">
        <v>50</v>
      </c>
      <c r="L716" s="13" t="s">
        <v>4268</v>
      </c>
      <c r="M716" s="26" t="str">
        <f>VLOOKUP(E716,'MTS 2026 registrations'!B:B,1,false)</f>
        <v>#N/A</v>
      </c>
      <c r="N716" s="26" t="str">
        <f>VLOOKUP(B716,'MTS 2026 registrations'!A:A,1,false)</f>
        <v>#N/A</v>
      </c>
      <c r="O716" s="38" t="str">
        <f t="shared" si="2"/>
        <v>Marked</v>
      </c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23"/>
      <c r="AE716" s="23"/>
    </row>
    <row r="717" ht="12.75" customHeight="1">
      <c r="A717" s="19" t="str">
        <f t="shared" si="1"/>
        <v>Dijlan van Vlimmeren AD</v>
      </c>
      <c r="B717" s="19" t="s">
        <v>4269</v>
      </c>
      <c r="C717" s="116" t="s">
        <v>4270</v>
      </c>
      <c r="D717" s="116" t="s">
        <v>4271</v>
      </c>
      <c r="E717" s="70" t="s">
        <v>4272</v>
      </c>
      <c r="F717" s="49" t="s">
        <v>4273</v>
      </c>
      <c r="G717" s="24" t="s">
        <v>1593</v>
      </c>
      <c r="H717" s="13" t="s">
        <v>57</v>
      </c>
      <c r="I717" s="26"/>
      <c r="J717" s="35" t="s">
        <v>4274</v>
      </c>
      <c r="K717" s="27" t="s">
        <v>50</v>
      </c>
      <c r="L717" s="13" t="s">
        <v>4275</v>
      </c>
      <c r="M717" s="26" t="str">
        <f>VLOOKUP(E717,'MTS 2026 registrations'!B:B,1,false)</f>
        <v>#N/A</v>
      </c>
      <c r="N717" s="26" t="str">
        <f>VLOOKUP(B717,'MTS 2026 registrations'!A:A,1,false)</f>
        <v>#N/A</v>
      </c>
      <c r="O717" s="38" t="str">
        <f t="shared" si="2"/>
        <v>Marked</v>
      </c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23"/>
      <c r="AE717" s="23"/>
    </row>
    <row r="718" ht="12.75" customHeight="1">
      <c r="A718" s="19" t="str">
        <f t="shared" si="1"/>
        <v>Dimitri Hehanussa TNO</v>
      </c>
      <c r="B718" s="19" t="s">
        <v>4276</v>
      </c>
      <c r="C718" s="156" t="s">
        <v>2120</v>
      </c>
      <c r="D718" s="156" t="s">
        <v>4277</v>
      </c>
      <c r="E718" s="50" t="s">
        <v>4278</v>
      </c>
      <c r="F718" s="50" t="s">
        <v>2484</v>
      </c>
      <c r="G718" s="24" t="s">
        <v>225</v>
      </c>
      <c r="H718" s="25" t="s">
        <v>47</v>
      </c>
      <c r="I718" s="34"/>
      <c r="J718" s="35" t="s">
        <v>4279</v>
      </c>
      <c r="K718" s="27" t="s">
        <v>50</v>
      </c>
      <c r="L718" s="13" t="s">
        <v>4280</v>
      </c>
      <c r="M718" s="26" t="str">
        <f>VLOOKUP(E718,'MTS 2026 registrations'!B:B,1,false)</f>
        <v>#N/A</v>
      </c>
      <c r="N718" s="26" t="str">
        <f>VLOOKUP(B718,'MTS 2026 registrations'!A:A,1,false)</f>
        <v>#N/A</v>
      </c>
      <c r="O718" s="38" t="str">
        <f t="shared" si="2"/>
        <v>Marked</v>
      </c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</row>
    <row r="719" ht="12.75" customHeight="1">
      <c r="A719" s="19" t="str">
        <f t="shared" si="1"/>
        <v>Dimitrie Morrison pzh</v>
      </c>
      <c r="B719" s="19" t="s">
        <v>4281</v>
      </c>
      <c r="C719" s="60" t="s">
        <v>4282</v>
      </c>
      <c r="D719" s="60" t="s">
        <v>4283</v>
      </c>
      <c r="E719" s="62" t="s">
        <v>4284</v>
      </c>
      <c r="F719" s="64" t="s">
        <v>1532</v>
      </c>
      <c r="G719" s="42" t="s">
        <v>323</v>
      </c>
      <c r="H719" s="25" t="s">
        <v>139</v>
      </c>
      <c r="I719" s="23"/>
      <c r="J719" s="35" t="s">
        <v>4285</v>
      </c>
      <c r="K719" s="27" t="s">
        <v>50</v>
      </c>
      <c r="L719" s="13" t="s">
        <v>4286</v>
      </c>
      <c r="M719" s="26" t="str">
        <f>VLOOKUP(E719,'MTS 2026 registrations'!B:B,1,false)</f>
        <v>#N/A</v>
      </c>
      <c r="N719" s="26" t="str">
        <f>VLOOKUP(B719,'MTS 2026 registrations'!A:A,1,false)</f>
        <v>#N/A</v>
      </c>
      <c r="O719" s="38" t="str">
        <f t="shared" si="2"/>
        <v>Marked</v>
      </c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2.75" customHeight="1">
      <c r="A720" s="19" t="str">
        <f t="shared" si="1"/>
        <v>Dimitrios Zarouchas AIMS</v>
      </c>
      <c r="B720" s="19" t="s">
        <v>4287</v>
      </c>
      <c r="C720" s="60" t="s">
        <v>4288</v>
      </c>
      <c r="D720" s="60" t="s">
        <v>4289</v>
      </c>
      <c r="E720" s="62" t="s">
        <v>4290</v>
      </c>
      <c r="F720" s="23" t="s">
        <v>4291</v>
      </c>
      <c r="G720" s="24" t="s">
        <v>750</v>
      </c>
      <c r="H720" s="25" t="s">
        <v>31</v>
      </c>
      <c r="I720" s="23"/>
      <c r="J720" s="35" t="s">
        <v>4292</v>
      </c>
      <c r="K720" s="27" t="s">
        <v>50</v>
      </c>
      <c r="L720" s="13" t="s">
        <v>4293</v>
      </c>
      <c r="M720" s="26" t="str">
        <f>VLOOKUP(E720,'MTS 2026 registrations'!B:B,1,false)</f>
        <v>#N/A</v>
      </c>
      <c r="N720" s="26" t="str">
        <f>VLOOKUP(B720,'MTS 2026 registrations'!A:A,1,false)</f>
        <v>#N/A</v>
      </c>
      <c r="O720" s="38" t="str">
        <f t="shared" si="2"/>
        <v>Marked</v>
      </c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2.75" customHeight="1">
      <c r="A721" s="19" t="str">
        <f t="shared" si="1"/>
        <v>Dimmes Doornhein </v>
      </c>
      <c r="B721" s="19" t="s">
        <v>4294</v>
      </c>
      <c r="C721" s="20" t="s">
        <v>4295</v>
      </c>
      <c r="D721" s="20" t="s">
        <v>4296</v>
      </c>
      <c r="E721" s="21" t="s">
        <v>4297</v>
      </c>
      <c r="F721" s="52"/>
      <c r="G721" s="24" t="s">
        <v>29</v>
      </c>
      <c r="H721" s="25" t="s">
        <v>47</v>
      </c>
      <c r="I721" s="26"/>
      <c r="J721" s="35" t="s">
        <v>4298</v>
      </c>
      <c r="K721" s="27" t="s">
        <v>50</v>
      </c>
      <c r="L721" s="13" t="s">
        <v>4299</v>
      </c>
      <c r="M721" s="26" t="str">
        <f>VLOOKUP(E721,'MTS 2026 registrations'!B:B,1,false)</f>
        <v>#N/A</v>
      </c>
      <c r="N721" s="26" t="str">
        <f>VLOOKUP(B721,'MTS 2026 registrations'!A:A,1,false)</f>
        <v>#N/A</v>
      </c>
      <c r="O721" s="38" t="str">
        <f t="shared" si="2"/>
        <v>Marked</v>
      </c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2.75" customHeight="1">
      <c r="A722" s="19" t="str">
        <f t="shared" si="1"/>
        <v>Dirk Schraven erasmusmc</v>
      </c>
      <c r="B722" s="19" t="s">
        <v>4300</v>
      </c>
      <c r="C722" s="60" t="s">
        <v>562</v>
      </c>
      <c r="D722" s="60" t="s">
        <v>4301</v>
      </c>
      <c r="E722" s="62" t="s">
        <v>4302</v>
      </c>
      <c r="F722" s="64" t="s">
        <v>4303</v>
      </c>
      <c r="G722" s="42" t="s">
        <v>43</v>
      </c>
      <c r="H722" s="25" t="s">
        <v>139</v>
      </c>
      <c r="I722" s="23"/>
      <c r="J722" s="178" t="s">
        <v>4304</v>
      </c>
      <c r="K722" s="27" t="s">
        <v>50</v>
      </c>
      <c r="L722" s="13" t="s">
        <v>4305</v>
      </c>
      <c r="M722" s="26" t="str">
        <f>VLOOKUP(E722,'MTS 2026 registrations'!B:B,1,false)</f>
        <v>#N/A</v>
      </c>
      <c r="N722" s="26" t="str">
        <f>VLOOKUP(B722,'MTS 2026 registrations'!A:A,1,false)</f>
        <v>#N/A</v>
      </c>
      <c r="O722" s="38" t="str">
        <f t="shared" si="2"/>
        <v>Marked</v>
      </c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2.75" customHeight="1">
      <c r="A723" s="19" t="str">
        <f t="shared" si="1"/>
        <v>Dirk de Bilde siemens</v>
      </c>
      <c r="B723" s="19" t="s">
        <v>4306</v>
      </c>
      <c r="C723" s="60" t="s">
        <v>562</v>
      </c>
      <c r="D723" s="60" t="s">
        <v>4307</v>
      </c>
      <c r="E723" s="62" t="s">
        <v>4308</v>
      </c>
      <c r="F723" s="64" t="s">
        <v>4309</v>
      </c>
      <c r="G723" s="42" t="s">
        <v>56</v>
      </c>
      <c r="H723" s="25" t="s">
        <v>139</v>
      </c>
      <c r="I723" s="23"/>
      <c r="J723" s="124" t="s">
        <v>4310</v>
      </c>
      <c r="K723" s="27" t="s">
        <v>50</v>
      </c>
      <c r="L723" s="13" t="s">
        <v>4311</v>
      </c>
      <c r="M723" s="26" t="str">
        <f>VLOOKUP(E723,'MTS 2026 registrations'!B:B,1,false)</f>
        <v>#N/A</v>
      </c>
      <c r="N723" s="26" t="str">
        <f>VLOOKUP(B723,'MTS 2026 registrations'!A:A,1,false)</f>
        <v>#N/A</v>
      </c>
      <c r="O723" s="38" t="str">
        <f t="shared" si="2"/>
        <v>Marked</v>
      </c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2.75" customHeight="1">
      <c r="A724" s="19" t="str">
        <f t="shared" si="1"/>
        <v>Dirkjan Walstra deltares</v>
      </c>
      <c r="B724" s="19" t="s">
        <v>4312</v>
      </c>
      <c r="C724" s="43" t="s">
        <v>4313</v>
      </c>
      <c r="D724" s="43" t="s">
        <v>4314</v>
      </c>
      <c r="E724" s="31" t="s">
        <v>4315</v>
      </c>
      <c r="F724" s="33" t="s">
        <v>3431</v>
      </c>
      <c r="G724" s="51" t="s">
        <v>69</v>
      </c>
      <c r="H724" s="25" t="s">
        <v>139</v>
      </c>
      <c r="I724" s="34"/>
      <c r="J724" s="35" t="s">
        <v>4316</v>
      </c>
      <c r="K724" s="27" t="s">
        <v>50</v>
      </c>
      <c r="L724" s="25" t="s">
        <v>4317</v>
      </c>
      <c r="M724" s="26" t="str">
        <f>VLOOKUP(E724,'MTS 2026 registrations'!B:B,1,false)</f>
        <v>#N/A</v>
      </c>
      <c r="N724" s="26" t="str">
        <f>VLOOKUP(B724,'MTS 2026 registrations'!A:A,1,false)</f>
        <v>#N/A</v>
      </c>
      <c r="O724" s="38" t="str">
        <f t="shared" si="2"/>
        <v>Marked</v>
      </c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</row>
    <row r="725" ht="12.75" customHeight="1">
      <c r="A725" s="19" t="str">
        <f t="shared" si="1"/>
        <v>Dogan Altundag geosignum</v>
      </c>
      <c r="B725" s="19" t="s">
        <v>4318</v>
      </c>
      <c r="C725" s="20" t="s">
        <v>4319</v>
      </c>
      <c r="D725" s="20" t="s">
        <v>4320</v>
      </c>
      <c r="E725" s="21" t="s">
        <v>4321</v>
      </c>
      <c r="F725" s="23" t="s">
        <v>4322</v>
      </c>
      <c r="G725" s="32" t="s">
        <v>46</v>
      </c>
      <c r="H725" s="25" t="s">
        <v>47</v>
      </c>
      <c r="I725" s="23"/>
      <c r="J725" s="35" t="s">
        <v>4323</v>
      </c>
      <c r="K725" s="27" t="s">
        <v>50</v>
      </c>
      <c r="L725" s="13" t="s">
        <v>4324</v>
      </c>
      <c r="M725" s="26" t="str">
        <f>VLOOKUP(E725,'MTS 2026 registrations'!B:B,1,false)</f>
        <v>#N/A</v>
      </c>
      <c r="N725" s="26" t="str">
        <f>VLOOKUP(B725,'MTS 2026 registrations'!A:A,1,false)</f>
        <v>#N/A</v>
      </c>
      <c r="O725" s="38" t="str">
        <f t="shared" si="2"/>
        <v>Marked</v>
      </c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2.75" customHeight="1">
      <c r="A726" s="19" t="str">
        <f t="shared" si="1"/>
        <v>Dominique Balassi VEMS</v>
      </c>
      <c r="B726" s="19" t="s">
        <v>4325</v>
      </c>
      <c r="C726" s="29" t="s">
        <v>4326</v>
      </c>
      <c r="D726" s="29" t="s">
        <v>4327</v>
      </c>
      <c r="E726" s="62" t="s">
        <v>4328</v>
      </c>
      <c r="F726" s="50" t="s">
        <v>4329</v>
      </c>
      <c r="G726" s="32" t="s">
        <v>46</v>
      </c>
      <c r="H726" s="25" t="s">
        <v>139</v>
      </c>
      <c r="I726" s="13" t="s">
        <v>188</v>
      </c>
      <c r="J726" s="35" t="s">
        <v>4330</v>
      </c>
      <c r="K726" s="27" t="s">
        <v>50</v>
      </c>
      <c r="L726" s="13" t="s">
        <v>4331</v>
      </c>
      <c r="M726" s="26" t="str">
        <f>VLOOKUP(E726,'MTS 2026 registrations'!B:B,1,false)</f>
        <v>#N/A</v>
      </c>
      <c r="N726" s="26" t="str">
        <f>VLOOKUP(B726,'MTS 2026 registrations'!A:A,1,false)</f>
        <v>#N/A</v>
      </c>
      <c r="O726" s="38" t="str">
        <f t="shared" si="2"/>
        <v>Marked</v>
      </c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2.75" customHeight="1">
      <c r="A727" s="19" t="str">
        <f t="shared" si="1"/>
        <v>Dominique Kwaks shapewave</v>
      </c>
      <c r="B727" s="19" t="s">
        <v>4332</v>
      </c>
      <c r="C727" s="20" t="s">
        <v>4333</v>
      </c>
      <c r="D727" s="93" t="s">
        <v>4334</v>
      </c>
      <c r="E727" s="21" t="s">
        <v>4335</v>
      </c>
      <c r="F727" s="23" t="s">
        <v>4336</v>
      </c>
      <c r="G727" s="32" t="s">
        <v>46</v>
      </c>
      <c r="H727" s="25" t="s">
        <v>47</v>
      </c>
      <c r="I727" s="23"/>
      <c r="J727" s="35" t="s">
        <v>4337</v>
      </c>
      <c r="K727" s="27" t="s">
        <v>50</v>
      </c>
      <c r="L727" s="13" t="s">
        <v>4338</v>
      </c>
      <c r="M727" s="26" t="str">
        <f>VLOOKUP(E727,'MTS 2026 registrations'!B:B,1,false)</f>
        <v>#N/A</v>
      </c>
      <c r="N727" s="26" t="str">
        <f>VLOOKUP(B727,'MTS 2026 registrations'!A:A,1,false)</f>
        <v>#N/A</v>
      </c>
      <c r="O727" s="38" t="str">
        <f t="shared" si="2"/>
        <v>Marked</v>
      </c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2.75" customHeight="1">
      <c r="A728" s="19" t="str">
        <f t="shared" si="1"/>
        <v>Dora Tempelaars-Busa Elarix Labs</v>
      </c>
      <c r="B728" s="19" t="s">
        <v>4339</v>
      </c>
      <c r="C728" s="13" t="s">
        <v>4340</v>
      </c>
      <c r="D728" s="13" t="s">
        <v>4341</v>
      </c>
      <c r="E728" s="60" t="s">
        <v>4342</v>
      </c>
      <c r="F728" s="60" t="s">
        <v>2795</v>
      </c>
      <c r="G728" s="32" t="s">
        <v>46</v>
      </c>
      <c r="H728" s="25" t="s">
        <v>47</v>
      </c>
      <c r="I728" s="34"/>
      <c r="J728" s="35" t="s">
        <v>4343</v>
      </c>
      <c r="K728" s="27" t="s">
        <v>50</v>
      </c>
      <c r="L728" s="13" t="s">
        <v>4344</v>
      </c>
      <c r="M728" s="26" t="str">
        <f>VLOOKUP(E728,'MTS 2026 registrations'!B:B,1,false)</f>
        <v>busadora@outlook.com</v>
      </c>
      <c r="N728" s="26" t="str">
        <f>VLOOKUP(B728,'MTS 2026 registrations'!A:A,1,false)</f>
        <v>#N/A</v>
      </c>
      <c r="O728" s="38" t="str">
        <f t="shared" si="2"/>
        <v/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23"/>
      <c r="AE728" s="23"/>
    </row>
    <row r="729" ht="12.75" customHeight="1">
      <c r="A729" s="19" t="str">
        <f t="shared" si="1"/>
        <v>Dorus Galama Repeat (Gerrard Street)</v>
      </c>
      <c r="B729" s="19" t="s">
        <v>4345</v>
      </c>
      <c r="C729" s="29" t="s">
        <v>4346</v>
      </c>
      <c r="D729" s="29" t="s">
        <v>4347</v>
      </c>
      <c r="E729" s="31" t="s">
        <v>4348</v>
      </c>
      <c r="F729" s="33" t="s">
        <v>4349</v>
      </c>
      <c r="G729" s="24" t="s">
        <v>46</v>
      </c>
      <c r="H729" s="25" t="s">
        <v>47</v>
      </c>
      <c r="I729" s="34"/>
      <c r="J729" s="35" t="s">
        <v>4350</v>
      </c>
      <c r="K729" s="27" t="s">
        <v>50</v>
      </c>
      <c r="L729" s="13" t="s">
        <v>4351</v>
      </c>
      <c r="M729" s="26" t="str">
        <f>VLOOKUP(E729,'MTS 2026 registrations'!B:B,1,false)</f>
        <v>#N/A</v>
      </c>
      <c r="N729" s="26" t="str">
        <f>VLOOKUP(B729,'MTS 2026 registrations'!A:A,1,false)</f>
        <v>#N/A</v>
      </c>
      <c r="O729" s="38" t="str">
        <f t="shared" si="2"/>
        <v>Marked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23"/>
      <c r="AE729" s="23"/>
    </row>
    <row r="730" ht="12.75" customHeight="1">
      <c r="A730" s="19" t="str">
        <f t="shared" si="1"/>
        <v>Douwe van de Wall-Bake tbi</v>
      </c>
      <c r="B730" s="19" t="s">
        <v>4352</v>
      </c>
      <c r="C730" s="20" t="s">
        <v>4353</v>
      </c>
      <c r="D730" s="20" t="s">
        <v>4354</v>
      </c>
      <c r="E730" s="21" t="s">
        <v>4355</v>
      </c>
      <c r="F730" s="75" t="s">
        <v>4356</v>
      </c>
      <c r="G730" s="24" t="s">
        <v>56</v>
      </c>
      <c r="H730" s="25" t="s">
        <v>139</v>
      </c>
      <c r="I730" s="23"/>
      <c r="J730" s="35" t="s">
        <v>4357</v>
      </c>
      <c r="K730" s="27" t="s">
        <v>50</v>
      </c>
      <c r="L730" s="13" t="s">
        <v>4358</v>
      </c>
      <c r="M730" s="26" t="str">
        <f>VLOOKUP(E730,'MTS 2026 registrations'!B:B,1,false)</f>
        <v>#N/A</v>
      </c>
      <c r="N730" s="26" t="str">
        <f>VLOOKUP(B730,'MTS 2026 registrations'!A:A,1,false)</f>
        <v>#N/A</v>
      </c>
      <c r="O730" s="38" t="str">
        <f t="shared" si="2"/>
        <v>Marked</v>
      </c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2.75" customHeight="1">
      <c r="A731" s="19" t="str">
        <f t="shared" si="1"/>
        <v>Douwe jacobs FLUX CHAIRS</v>
      </c>
      <c r="B731" s="19" t="s">
        <v>4359</v>
      </c>
      <c r="C731" s="29" t="s">
        <v>4353</v>
      </c>
      <c r="D731" s="29" t="s">
        <v>4360</v>
      </c>
      <c r="E731" s="31" t="s">
        <v>4361</v>
      </c>
      <c r="F731" s="33" t="s">
        <v>4362</v>
      </c>
      <c r="G731" s="32" t="s">
        <v>46</v>
      </c>
      <c r="H731" s="25" t="s">
        <v>47</v>
      </c>
      <c r="I731" s="34"/>
      <c r="J731" s="35" t="s">
        <v>4363</v>
      </c>
      <c r="K731" s="27" t="s">
        <v>50</v>
      </c>
      <c r="L731" s="13" t="s">
        <v>4364</v>
      </c>
      <c r="M731" s="26" t="str">
        <f>VLOOKUP(E731,'MTS 2026 registrations'!B:B,1,false)</f>
        <v>#N/A</v>
      </c>
      <c r="N731" s="26" t="str">
        <f>VLOOKUP(B731,'MTS 2026 registrations'!A:A,1,false)</f>
        <v>#N/A</v>
      </c>
      <c r="O731" s="38" t="str">
        <f t="shared" si="2"/>
        <v>Marked</v>
      </c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23"/>
      <c r="AE731" s="23"/>
    </row>
    <row r="732" ht="12.75" customHeight="1">
      <c r="A732" s="19" t="str">
        <f t="shared" si="1"/>
        <v>Douwe Jippes healthy.capital</v>
      </c>
      <c r="B732" s="19" t="s">
        <v>4365</v>
      </c>
      <c r="C732" s="20" t="s">
        <v>4353</v>
      </c>
      <c r="D732" s="20" t="s">
        <v>4366</v>
      </c>
      <c r="E732" s="21" t="s">
        <v>4367</v>
      </c>
      <c r="F732" s="23" t="s">
        <v>4368</v>
      </c>
      <c r="G732" s="24" t="s">
        <v>163</v>
      </c>
      <c r="H732" s="25" t="s">
        <v>164</v>
      </c>
      <c r="I732" s="23"/>
      <c r="J732" s="35" t="s">
        <v>4369</v>
      </c>
      <c r="K732" s="27" t="s">
        <v>50</v>
      </c>
      <c r="L732" s="13" t="s">
        <v>4370</v>
      </c>
      <c r="M732" s="26" t="str">
        <f>VLOOKUP(E732,'MTS 2026 registrations'!B:B,1,false)</f>
        <v>#N/A</v>
      </c>
      <c r="N732" s="26" t="str">
        <f>VLOOKUP(B732,'MTS 2026 registrations'!A:A,1,false)</f>
        <v>#N/A</v>
      </c>
      <c r="O732" s="38" t="str">
        <f t="shared" si="2"/>
        <v>Marked</v>
      </c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2.75" customHeight="1">
      <c r="A733" s="19" t="str">
        <f t="shared" si="1"/>
        <v>Dries Gisolf direc</v>
      </c>
      <c r="B733" s="19" t="s">
        <v>4371</v>
      </c>
      <c r="C733" s="20" t="s">
        <v>4372</v>
      </c>
      <c r="D733" s="20" t="s">
        <v>4373</v>
      </c>
      <c r="E733" s="21" t="s">
        <v>4374</v>
      </c>
      <c r="F733" s="23" t="s">
        <v>4375</v>
      </c>
      <c r="G733" s="32" t="s">
        <v>46</v>
      </c>
      <c r="H733" s="25" t="s">
        <v>47</v>
      </c>
      <c r="I733" s="23"/>
      <c r="J733" s="35" t="s">
        <v>4376</v>
      </c>
      <c r="K733" s="27" t="s">
        <v>50</v>
      </c>
      <c r="L733" s="13" t="s">
        <v>4377</v>
      </c>
      <c r="M733" s="26" t="str">
        <f>VLOOKUP(E733,'MTS 2026 registrations'!B:B,1,false)</f>
        <v>#N/A</v>
      </c>
      <c r="N733" s="26" t="str">
        <f>VLOOKUP(B733,'MTS 2026 registrations'!A:A,1,false)</f>
        <v>#N/A</v>
      </c>
      <c r="O733" s="38" t="str">
        <f t="shared" si="2"/>
        <v>Marked</v>
      </c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2.75" customHeight="1">
      <c r="A734" s="19" t="str">
        <f t="shared" si="1"/>
        <v>Duke Urbanik </v>
      </c>
      <c r="B734" s="19" t="s">
        <v>4378</v>
      </c>
      <c r="C734" s="20" t="s">
        <v>4379</v>
      </c>
      <c r="D734" s="20" t="s">
        <v>4380</v>
      </c>
      <c r="E734" s="62" t="s">
        <v>4381</v>
      </c>
      <c r="F734" s="52"/>
      <c r="G734" s="24" t="s">
        <v>29</v>
      </c>
      <c r="H734" s="25" t="s">
        <v>47</v>
      </c>
      <c r="I734" s="26"/>
      <c r="J734" s="35" t="s">
        <v>4382</v>
      </c>
      <c r="K734" s="27" t="s">
        <v>50</v>
      </c>
      <c r="L734" s="13" t="s">
        <v>4383</v>
      </c>
      <c r="M734" s="26" t="str">
        <f>VLOOKUP(E734,'MTS 2026 registrations'!B:B,1,false)</f>
        <v>#N/A</v>
      </c>
      <c r="N734" s="26" t="str">
        <f>VLOOKUP(B734,'MTS 2026 registrations'!A:A,1,false)</f>
        <v>#N/A</v>
      </c>
      <c r="O734" s="38" t="str">
        <f t="shared" si="2"/>
        <v>Marked</v>
      </c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2.75" customHeight="1">
      <c r="A735" s="19" t="str">
        <f t="shared" si="1"/>
        <v>Dylan Hirsch loxsolution</v>
      </c>
      <c r="B735" s="19" t="s">
        <v>4384</v>
      </c>
      <c r="C735" s="20" t="s">
        <v>4385</v>
      </c>
      <c r="D735" s="20" t="s">
        <v>4386</v>
      </c>
      <c r="E735" s="21" t="s">
        <v>4387</v>
      </c>
      <c r="F735" s="23" t="s">
        <v>3379</v>
      </c>
      <c r="G735" s="32" t="s">
        <v>46</v>
      </c>
      <c r="H735" s="25" t="s">
        <v>47</v>
      </c>
      <c r="I735" s="23"/>
      <c r="J735" s="35" t="s">
        <v>4388</v>
      </c>
      <c r="K735" s="27" t="s">
        <v>50</v>
      </c>
      <c r="L735" s="13" t="s">
        <v>4389</v>
      </c>
      <c r="M735" s="26" t="str">
        <f>VLOOKUP(E735,'MTS 2026 registrations'!B:B,1,false)</f>
        <v>#N/A</v>
      </c>
      <c r="N735" s="26" t="str">
        <f>VLOOKUP(B735,'MTS 2026 registrations'!A:A,1,false)</f>
        <v>#N/A</v>
      </c>
      <c r="O735" s="38" t="str">
        <f t="shared" si="2"/>
        <v>Marked</v>
      </c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2.75" customHeight="1">
      <c r="A736" s="19" t="str">
        <f t="shared" si="1"/>
        <v>Eddie Van Breukelen Innovative Solutions in Space B.V.</v>
      </c>
      <c r="B736" s="19" t="s">
        <v>4390</v>
      </c>
      <c r="C736" s="29" t="s">
        <v>4391</v>
      </c>
      <c r="D736" s="29" t="s">
        <v>4392</v>
      </c>
      <c r="E736" s="80" t="s">
        <v>4393</v>
      </c>
      <c r="F736" s="33" t="s">
        <v>4394</v>
      </c>
      <c r="G736" s="32" t="s">
        <v>46</v>
      </c>
      <c r="H736" s="25" t="s">
        <v>47</v>
      </c>
      <c r="I736" s="34"/>
      <c r="J736" s="35" t="s">
        <v>4395</v>
      </c>
      <c r="K736" s="27" t="s">
        <v>50</v>
      </c>
      <c r="L736" s="13" t="s">
        <v>4396</v>
      </c>
      <c r="M736" s="26" t="str">
        <f>VLOOKUP(E736,'MTS 2026 registrations'!B:B,1,false)</f>
        <v>#N/A</v>
      </c>
      <c r="N736" s="26" t="str">
        <f>VLOOKUP(B736,'MTS 2026 registrations'!A:A,1,false)</f>
        <v>#N/A</v>
      </c>
      <c r="O736" s="38" t="str">
        <f t="shared" si="2"/>
        <v>Marked</v>
      </c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23"/>
      <c r="AE736" s="23"/>
    </row>
    <row r="737" ht="12.75" customHeight="1">
      <c r="A737" s="19" t="str">
        <f t="shared" si="1"/>
        <v>Edward SeaState5 SeaState5</v>
      </c>
      <c r="B737" s="19" t="s">
        <v>4397</v>
      </c>
      <c r="C737" s="29" t="s">
        <v>4398</v>
      </c>
      <c r="D737" s="29" t="s">
        <v>4399</v>
      </c>
      <c r="E737" s="105" t="s">
        <v>4400</v>
      </c>
      <c r="F737" s="33" t="s">
        <v>4399</v>
      </c>
      <c r="G737" s="24" t="s">
        <v>46</v>
      </c>
      <c r="H737" s="25" t="s">
        <v>47</v>
      </c>
      <c r="I737" s="34"/>
      <c r="J737" s="35" t="s">
        <v>4401</v>
      </c>
      <c r="K737" s="27" t="s">
        <v>50</v>
      </c>
      <c r="L737" s="13" t="s">
        <v>4402</v>
      </c>
      <c r="M737" s="26" t="str">
        <f>VLOOKUP(E737,'MTS 2026 registrations'!B:B,1,false)</f>
        <v>#N/A</v>
      </c>
      <c r="N737" s="26" t="str">
        <f>VLOOKUP(B737,'MTS 2026 registrations'!A:A,1,false)</f>
        <v>#N/A</v>
      </c>
      <c r="O737" s="38" t="str">
        <f t="shared" si="2"/>
        <v>Marked</v>
      </c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23"/>
      <c r="AE737" s="23"/>
    </row>
    <row r="738" ht="12.75" customHeight="1">
      <c r="A738" s="19" t="str">
        <f t="shared" si="1"/>
        <v>Edward de Jager unknowngroup</v>
      </c>
      <c r="B738" s="19" t="s">
        <v>4403</v>
      </c>
      <c r="C738" s="20" t="s">
        <v>4398</v>
      </c>
      <c r="D738" s="20" t="s">
        <v>4404</v>
      </c>
      <c r="E738" s="21" t="s">
        <v>4405</v>
      </c>
      <c r="F738" s="23" t="s">
        <v>1756</v>
      </c>
      <c r="G738" s="24" t="s">
        <v>29</v>
      </c>
      <c r="H738" s="25" t="s">
        <v>139</v>
      </c>
      <c r="I738" s="26"/>
      <c r="J738" s="35" t="s">
        <v>4406</v>
      </c>
      <c r="K738" s="27" t="s">
        <v>50</v>
      </c>
      <c r="L738" s="13" t="s">
        <v>4407</v>
      </c>
      <c r="M738" s="26" t="str">
        <f>VLOOKUP(E738,'MTS 2026 registrations'!B:B,1,false)</f>
        <v>#N/A</v>
      </c>
      <c r="N738" s="26" t="str">
        <f>VLOOKUP(B738,'MTS 2026 registrations'!A:A,1,false)</f>
        <v>#N/A</v>
      </c>
      <c r="O738" s="38" t="str">
        <f t="shared" si="2"/>
        <v>Marked</v>
      </c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34"/>
      <c r="AE738" s="34"/>
    </row>
    <row r="739" ht="12.75" customHeight="1">
      <c r="A739" s="19" t="str">
        <f t="shared" si="1"/>
        <v>Edwin Blokker Blokker</v>
      </c>
      <c r="B739" s="19" t="s">
        <v>4408</v>
      </c>
      <c r="C739" s="20" t="s">
        <v>4409</v>
      </c>
      <c r="D739" s="20" t="s">
        <v>992</v>
      </c>
      <c r="E739" s="21" t="s">
        <v>4410</v>
      </c>
      <c r="F739" s="49" t="s">
        <v>992</v>
      </c>
      <c r="G739" s="24" t="s">
        <v>163</v>
      </c>
      <c r="H739" s="26" t="s">
        <v>164</v>
      </c>
      <c r="I739" s="13"/>
      <c r="J739" s="35" t="s">
        <v>4411</v>
      </c>
      <c r="K739" s="27" t="s">
        <v>50</v>
      </c>
      <c r="L739" s="25" t="s">
        <v>4412</v>
      </c>
      <c r="M739" s="26" t="str">
        <f>VLOOKUP(E739,'MTS 2026 registrations'!B:B,1,false)</f>
        <v>e.blokker@blokkergroup.com</v>
      </c>
      <c r="N739" s="26" t="str">
        <f>VLOOKUP(B739,'MTS 2026 registrations'!A:A,1,false)</f>
        <v>edwin blokker</v>
      </c>
      <c r="O739" s="38" t="str">
        <f t="shared" si="2"/>
        <v/>
      </c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</row>
    <row r="740" ht="12.75" customHeight="1">
      <c r="A740" s="19" t="str">
        <f t="shared" si="1"/>
        <v>Edwin van der Heide mcnetiq</v>
      </c>
      <c r="B740" s="19" t="s">
        <v>4413</v>
      </c>
      <c r="C740" s="20" t="s">
        <v>4409</v>
      </c>
      <c r="D740" s="20" t="s">
        <v>4414</v>
      </c>
      <c r="E740" s="21" t="s">
        <v>4415</v>
      </c>
      <c r="F740" s="23" t="s">
        <v>4416</v>
      </c>
      <c r="G740" s="32" t="s">
        <v>46</v>
      </c>
      <c r="H740" s="25" t="s">
        <v>47</v>
      </c>
      <c r="I740" s="23"/>
      <c r="J740" s="35" t="s">
        <v>4417</v>
      </c>
      <c r="K740" s="27" t="s">
        <v>50</v>
      </c>
      <c r="L740" s="13" t="s">
        <v>4418</v>
      </c>
      <c r="M740" s="26" t="str">
        <f>VLOOKUP(E740,'MTS 2026 registrations'!B:B,1,false)</f>
        <v>#N/A</v>
      </c>
      <c r="N740" s="26" t="str">
        <f>VLOOKUP(B740,'MTS 2026 registrations'!A:A,1,false)</f>
        <v>#N/A</v>
      </c>
      <c r="O740" s="38" t="str">
        <f t="shared" si="2"/>
        <v>Marked</v>
      </c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2.75" customHeight="1">
      <c r="A741" s="19" t="str">
        <f t="shared" si="1"/>
        <v>Edwin thehaguetech</v>
      </c>
      <c r="B741" s="19" t="s">
        <v>4409</v>
      </c>
      <c r="C741" s="72" t="s">
        <v>4409</v>
      </c>
      <c r="D741" s="145"/>
      <c r="E741" s="30" t="s">
        <v>4419</v>
      </c>
      <c r="F741" s="29" t="s">
        <v>2101</v>
      </c>
      <c r="G741" s="24" t="s">
        <v>29</v>
      </c>
      <c r="H741" s="13" t="s">
        <v>45</v>
      </c>
      <c r="I741" s="34"/>
      <c r="J741" s="35" t="s">
        <v>4420</v>
      </c>
      <c r="K741" s="27" t="s">
        <v>50</v>
      </c>
      <c r="L741" s="13" t="s">
        <v>4421</v>
      </c>
      <c r="M741" s="26" t="str">
        <f>VLOOKUP(E741,'MTS 2026 registrations'!B:B,1,false)</f>
        <v>#N/A</v>
      </c>
      <c r="N741" s="26" t="str">
        <f>VLOOKUP(B741,'MTS 2026 registrations'!A:A,1,false)</f>
        <v>#N/A</v>
      </c>
      <c r="O741" s="38" t="str">
        <f t="shared" si="2"/>
        <v>Marked</v>
      </c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23"/>
      <c r="AE741" s="23"/>
    </row>
    <row r="742" ht="12.75" customHeight="1">
      <c r="A742" s="19" t="str">
        <f t="shared" si="1"/>
        <v>Edzo van den Berg Angel</v>
      </c>
      <c r="B742" s="19" t="s">
        <v>4422</v>
      </c>
      <c r="C742" s="20" t="s">
        <v>4423</v>
      </c>
      <c r="D742" s="20" t="s">
        <v>4424</v>
      </c>
      <c r="E742" s="21" t="s">
        <v>4425</v>
      </c>
      <c r="F742" s="49" t="s">
        <v>1430</v>
      </c>
      <c r="G742" s="24" t="s">
        <v>163</v>
      </c>
      <c r="H742" s="26" t="s">
        <v>164</v>
      </c>
      <c r="I742" s="13"/>
      <c r="J742" s="35" t="s">
        <v>4426</v>
      </c>
      <c r="K742" s="27" t="s">
        <v>50</v>
      </c>
      <c r="L742" s="25" t="s">
        <v>4427</v>
      </c>
      <c r="M742" s="26" t="str">
        <f>VLOOKUP(E742,'MTS 2026 registrations'!B:B,1,false)</f>
        <v>#N/A</v>
      </c>
      <c r="N742" s="26" t="str">
        <f>VLOOKUP(B742,'MTS 2026 registrations'!A:A,1,false)</f>
        <v>#N/A</v>
      </c>
      <c r="O742" s="38" t="str">
        <f t="shared" si="2"/>
        <v>Marked</v>
      </c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</row>
    <row r="743" ht="12.75" customHeight="1">
      <c r="A743" s="19" t="str">
        <f t="shared" si="1"/>
        <v>Eef Lamers Micro Cosmos - A better environment for patients</v>
      </c>
      <c r="B743" s="19" t="s">
        <v>4428</v>
      </c>
      <c r="C743" s="29" t="s">
        <v>4429</v>
      </c>
      <c r="D743" s="29" t="s">
        <v>4430</v>
      </c>
      <c r="E743" s="31" t="s">
        <v>4431</v>
      </c>
      <c r="F743" s="33" t="s">
        <v>4432</v>
      </c>
      <c r="G743" s="24" t="s">
        <v>46</v>
      </c>
      <c r="H743" s="25" t="s">
        <v>47</v>
      </c>
      <c r="I743" s="34"/>
      <c r="J743" s="35" t="s">
        <v>4433</v>
      </c>
      <c r="K743" s="27" t="s">
        <v>50</v>
      </c>
      <c r="L743" s="13" t="s">
        <v>4434</v>
      </c>
      <c r="M743" s="26" t="str">
        <f>VLOOKUP(E743,'MTS 2026 registrations'!B:B,1,false)</f>
        <v>#N/A</v>
      </c>
      <c r="N743" s="26" t="str">
        <f>VLOOKUP(B743,'MTS 2026 registrations'!A:A,1,false)</f>
        <v>#N/A</v>
      </c>
      <c r="O743" s="38" t="str">
        <f t="shared" si="2"/>
        <v>Marked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23"/>
      <c r="AE743" s="23"/>
    </row>
    <row r="744" ht="12.75" customHeight="1">
      <c r="A744" s="19" t="str">
        <f t="shared" si="1"/>
        <v>Eelko Ronner Corbotics B.V.</v>
      </c>
      <c r="B744" s="19" t="s">
        <v>4435</v>
      </c>
      <c r="C744" s="13" t="s">
        <v>4436</v>
      </c>
      <c r="D744" s="13" t="s">
        <v>4437</v>
      </c>
      <c r="E744" s="60" t="s">
        <v>4438</v>
      </c>
      <c r="F744" s="60" t="s">
        <v>3090</v>
      </c>
      <c r="G744" s="32" t="s">
        <v>46</v>
      </c>
      <c r="H744" s="25" t="s">
        <v>47</v>
      </c>
      <c r="I744" s="34"/>
      <c r="J744" s="35" t="s">
        <v>4439</v>
      </c>
      <c r="K744" s="27" t="s">
        <v>50</v>
      </c>
      <c r="L744" s="13" t="s">
        <v>4440</v>
      </c>
      <c r="M744" s="26" t="str">
        <f>VLOOKUP(E744,'MTS 2026 registrations'!B:B,1,false)</f>
        <v>#N/A</v>
      </c>
      <c r="N744" s="26" t="str">
        <f>VLOOKUP(B744,'MTS 2026 registrations'!A:A,1,false)</f>
        <v>#N/A</v>
      </c>
      <c r="O744" s="38" t="str">
        <f t="shared" si="2"/>
        <v>Marked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23"/>
      <c r="AE744" s="23"/>
    </row>
    <row r="745" ht="12.75" customHeight="1">
      <c r="A745" s="19" t="str">
        <f t="shared" si="1"/>
        <v>Egbert Hendriks ephh</v>
      </c>
      <c r="B745" s="19" t="s">
        <v>4441</v>
      </c>
      <c r="C745" s="20" t="s">
        <v>4442</v>
      </c>
      <c r="D745" s="20" t="s">
        <v>4443</v>
      </c>
      <c r="E745" s="21" t="s">
        <v>4444</v>
      </c>
      <c r="F745" s="23" t="s">
        <v>4445</v>
      </c>
      <c r="G745" s="24" t="s">
        <v>29</v>
      </c>
      <c r="H745" s="49" t="s">
        <v>47</v>
      </c>
      <c r="I745" s="49"/>
      <c r="J745" s="35" t="s">
        <v>4446</v>
      </c>
      <c r="K745" s="27" t="s">
        <v>50</v>
      </c>
      <c r="L745" s="27" t="s">
        <v>4447</v>
      </c>
      <c r="M745" s="26" t="str">
        <f>VLOOKUP(E745,'MTS 2026 registrations'!B:B,1,false)</f>
        <v>#N/A</v>
      </c>
      <c r="N745" s="26" t="str">
        <f>VLOOKUP(B745,'MTS 2026 registrations'!A:A,1,false)</f>
        <v>#N/A</v>
      </c>
      <c r="O745" s="38" t="str">
        <f t="shared" si="2"/>
        <v>Marked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2.75" customHeight="1">
      <c r="A746" s="19" t="str">
        <f t="shared" si="1"/>
        <v>Eijnden TNO</v>
      </c>
      <c r="B746" s="19" t="s">
        <v>4448</v>
      </c>
      <c r="C746" s="29" t="s">
        <v>4448</v>
      </c>
      <c r="D746" s="145"/>
      <c r="E746" s="30" t="s">
        <v>4449</v>
      </c>
      <c r="F746" s="72" t="s">
        <v>2484</v>
      </c>
      <c r="G746" s="32" t="s">
        <v>3432</v>
      </c>
      <c r="H746" s="13" t="s">
        <v>45</v>
      </c>
      <c r="I746" s="34"/>
      <c r="J746" s="35" t="s">
        <v>4450</v>
      </c>
      <c r="K746" s="27" t="s">
        <v>50</v>
      </c>
      <c r="L746" s="27" t="s">
        <v>4451</v>
      </c>
      <c r="M746" s="26" t="str">
        <f>VLOOKUP(E746,'MTS 2026 registrations'!B:B,1,false)</f>
        <v>#N/A</v>
      </c>
      <c r="N746" s="26" t="str">
        <f>VLOOKUP(B746,'MTS 2026 registrations'!A:A,1,false)</f>
        <v>#N/A</v>
      </c>
      <c r="O746" s="38" t="str">
        <f t="shared" si="2"/>
        <v>Marked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23"/>
      <c r="AE746" s="23"/>
    </row>
    <row r="747" ht="12.75" customHeight="1">
      <c r="A747" s="19" t="str">
        <f t="shared" si="1"/>
        <v>Elena Marselis Signify</v>
      </c>
      <c r="B747" s="19" t="s">
        <v>4452</v>
      </c>
      <c r="C747" s="172" t="s">
        <v>4453</v>
      </c>
      <c r="D747" s="117" t="s">
        <v>4454</v>
      </c>
      <c r="E747" s="76" t="s">
        <v>4455</v>
      </c>
      <c r="F747" s="135" t="s">
        <v>4456</v>
      </c>
      <c r="G747" s="24" t="s">
        <v>163</v>
      </c>
      <c r="H747" s="25" t="s">
        <v>164</v>
      </c>
      <c r="I747" s="34"/>
      <c r="J747" s="35" t="s">
        <v>4457</v>
      </c>
      <c r="K747" s="27" t="s">
        <v>50</v>
      </c>
      <c r="L747" s="13" t="s">
        <v>4458</v>
      </c>
      <c r="M747" s="26" t="str">
        <f>VLOOKUP(E747,'MTS 2026 registrations'!B:B,1,false)</f>
        <v>#N/A</v>
      </c>
      <c r="N747" s="26" t="str">
        <f>VLOOKUP(B747,'MTS 2026 registrations'!A:A,1,false)</f>
        <v>#N/A</v>
      </c>
      <c r="O747" s="38" t="str">
        <f t="shared" si="2"/>
        <v>Marked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23"/>
      <c r="AE747" s="23"/>
    </row>
    <row r="748" ht="12.75" customHeight="1">
      <c r="A748" s="19" t="str">
        <f t="shared" si="1"/>
        <v>Eliane Khoury vfatechnology</v>
      </c>
      <c r="B748" s="19" t="s">
        <v>4459</v>
      </c>
      <c r="C748" s="20" t="s">
        <v>4460</v>
      </c>
      <c r="D748" s="20" t="s">
        <v>4461</v>
      </c>
      <c r="E748" s="21" t="s">
        <v>4462</v>
      </c>
      <c r="F748" s="23" t="s">
        <v>4463</v>
      </c>
      <c r="G748" s="32" t="s">
        <v>46</v>
      </c>
      <c r="H748" s="25" t="s">
        <v>47</v>
      </c>
      <c r="I748" s="26"/>
      <c r="J748" s="35" t="s">
        <v>4464</v>
      </c>
      <c r="K748" s="27" t="s">
        <v>50</v>
      </c>
      <c r="L748" s="13" t="s">
        <v>4465</v>
      </c>
      <c r="M748" s="26" t="str">
        <f>VLOOKUP(E748,'MTS 2026 registrations'!B:B,1,false)</f>
        <v>#N/A</v>
      </c>
      <c r="N748" s="26" t="str">
        <f>VLOOKUP(B748,'MTS 2026 registrations'!A:A,1,false)</f>
        <v>#N/A</v>
      </c>
      <c r="O748" s="38" t="str">
        <f t="shared" si="2"/>
        <v>Marked</v>
      </c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2.75" customHeight="1">
      <c r="A749" s="19" t="str">
        <f t="shared" si="1"/>
        <v>Eline de Haan rubio</v>
      </c>
      <c r="B749" s="19" t="s">
        <v>4466</v>
      </c>
      <c r="C749" s="20" t="s">
        <v>4467</v>
      </c>
      <c r="D749" s="20" t="s">
        <v>4468</v>
      </c>
      <c r="E749" s="21" t="s">
        <v>4469</v>
      </c>
      <c r="F749" s="23" t="s">
        <v>4470</v>
      </c>
      <c r="G749" s="24" t="s">
        <v>163</v>
      </c>
      <c r="H749" s="25" t="s">
        <v>164</v>
      </c>
      <c r="I749" s="23"/>
      <c r="J749" s="35" t="s">
        <v>4471</v>
      </c>
      <c r="K749" s="27" t="s">
        <v>50</v>
      </c>
      <c r="L749" s="13" t="s">
        <v>4472</v>
      </c>
      <c r="M749" s="26" t="str">
        <f>VLOOKUP(E749,'MTS 2026 registrations'!B:B,1,false)</f>
        <v>#N/A</v>
      </c>
      <c r="N749" s="26" t="str">
        <f>VLOOKUP(B749,'MTS 2026 registrations'!A:A,1,false)</f>
        <v>#N/A</v>
      </c>
      <c r="O749" s="38" t="str">
        <f t="shared" si="2"/>
        <v>Marked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2.75" customHeight="1">
      <c r="A750" s="19" t="str">
        <f t="shared" si="1"/>
        <v>Eline van Beest Thuja</v>
      </c>
      <c r="B750" s="19" t="s">
        <v>4473</v>
      </c>
      <c r="C750" s="20" t="s">
        <v>4474</v>
      </c>
      <c r="D750" s="20" t="s">
        <v>4475</v>
      </c>
      <c r="E750" s="112" t="s">
        <v>4476</v>
      </c>
      <c r="F750" s="49" t="s">
        <v>4477</v>
      </c>
      <c r="G750" s="24" t="s">
        <v>29</v>
      </c>
      <c r="H750" s="25" t="s">
        <v>139</v>
      </c>
      <c r="I750" s="23"/>
      <c r="J750" s="35" t="s">
        <v>4478</v>
      </c>
      <c r="K750" s="27" t="s">
        <v>50</v>
      </c>
      <c r="L750" s="13" t="s">
        <v>4479</v>
      </c>
      <c r="M750" s="26" t="str">
        <f>VLOOKUP(E750,'MTS 2026 registrations'!B:B,1,false)</f>
        <v>#N/A</v>
      </c>
      <c r="N750" s="26" t="str">
        <f>VLOOKUP(B750,'MTS 2026 registrations'!A:A,1,false)</f>
        <v>#N/A</v>
      </c>
      <c r="O750" s="38" t="str">
        <f t="shared" si="2"/>
        <v>Marked</v>
      </c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2.75" customHeight="1">
      <c r="A751" s="19" t="str">
        <f t="shared" si="1"/>
        <v>Elke Evers rvo</v>
      </c>
      <c r="B751" s="19" t="s">
        <v>4480</v>
      </c>
      <c r="C751" s="20" t="s">
        <v>4481</v>
      </c>
      <c r="D751" s="20" t="s">
        <v>4482</v>
      </c>
      <c r="E751" s="21" t="s">
        <v>4483</v>
      </c>
      <c r="F751" s="23" t="s">
        <v>689</v>
      </c>
      <c r="G751" s="24" t="s">
        <v>163</v>
      </c>
      <c r="H751" s="25" t="s">
        <v>164</v>
      </c>
      <c r="I751" s="23"/>
      <c r="J751" s="35" t="s">
        <v>4484</v>
      </c>
      <c r="K751" s="27" t="s">
        <v>50</v>
      </c>
      <c r="L751" s="13" t="s">
        <v>4485</v>
      </c>
      <c r="M751" s="26" t="str">
        <f>VLOOKUP(E751,'MTS 2026 registrations'!B:B,1,false)</f>
        <v>elke.evers@rvo.nl</v>
      </c>
      <c r="N751" s="26" t="str">
        <f>VLOOKUP(B751,'MTS 2026 registrations'!A:A,1,false)</f>
        <v>Elke Evers</v>
      </c>
      <c r="O751" s="38" t="str">
        <f t="shared" si="2"/>
        <v/>
      </c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2.75" customHeight="1">
      <c r="A752" s="19" t="str">
        <f t="shared" si="1"/>
        <v>Elke van de Graaf rvo</v>
      </c>
      <c r="B752" s="19" t="s">
        <v>4486</v>
      </c>
      <c r="C752" s="20" t="s">
        <v>4481</v>
      </c>
      <c r="D752" s="20" t="s">
        <v>4487</v>
      </c>
      <c r="E752" s="21" t="s">
        <v>4488</v>
      </c>
      <c r="F752" s="23" t="s">
        <v>689</v>
      </c>
      <c r="G752" s="24" t="s">
        <v>29</v>
      </c>
      <c r="H752" s="26" t="s">
        <v>164</v>
      </c>
      <c r="I752" s="23"/>
      <c r="J752" s="35" t="s">
        <v>4489</v>
      </c>
      <c r="K752" s="27" t="s">
        <v>50</v>
      </c>
      <c r="L752" s="27" t="s">
        <v>4490</v>
      </c>
      <c r="M752" s="26" t="str">
        <f>VLOOKUP(E752,'MTS 2026 registrations'!B:B,1,false)</f>
        <v>#N/A</v>
      </c>
      <c r="N752" s="26" t="str">
        <f>VLOOKUP(B752,'MTS 2026 registrations'!A:A,1,false)</f>
        <v>#N/A</v>
      </c>
      <c r="O752" s="38" t="str">
        <f t="shared" si="2"/>
        <v>Marked</v>
      </c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2.75" customHeight="1">
      <c r="A753" s="19" t="str">
        <f t="shared" si="1"/>
        <v>Ellen Smit rotterdamsquare</v>
      </c>
      <c r="B753" s="19" t="s">
        <v>4491</v>
      </c>
      <c r="C753" s="60" t="s">
        <v>380</v>
      </c>
      <c r="D753" s="60" t="s">
        <v>521</v>
      </c>
      <c r="E753" s="62" t="s">
        <v>4492</v>
      </c>
      <c r="F753" s="64" t="s">
        <v>4493</v>
      </c>
      <c r="G753" s="24" t="s">
        <v>69</v>
      </c>
      <c r="H753" s="25" t="s">
        <v>139</v>
      </c>
      <c r="I753" s="23"/>
      <c r="J753" s="35" t="s">
        <v>4494</v>
      </c>
      <c r="K753" s="27" t="s">
        <v>50</v>
      </c>
      <c r="L753" s="13" t="s">
        <v>4495</v>
      </c>
      <c r="M753" s="26" t="str">
        <f>VLOOKUP(E753,'MTS 2026 registrations'!B:B,1,false)</f>
        <v>#N/A</v>
      </c>
      <c r="N753" s="26" t="str">
        <f>VLOOKUP(B753,'MTS 2026 registrations'!A:A,1,false)</f>
        <v>#N/A</v>
      </c>
      <c r="O753" s="38" t="str">
        <f t="shared" si="2"/>
        <v>Marked</v>
      </c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2.75" customHeight="1">
      <c r="A754" s="19" t="str">
        <f t="shared" si="1"/>
        <v>Ellen van Schoten EUR</v>
      </c>
      <c r="B754" s="19" t="s">
        <v>4496</v>
      </c>
      <c r="C754" s="134" t="s">
        <v>380</v>
      </c>
      <c r="D754" s="134" t="s">
        <v>4497</v>
      </c>
      <c r="E754" s="76" t="s">
        <v>4498</v>
      </c>
      <c r="F754" s="64" t="s">
        <v>1766</v>
      </c>
      <c r="G754" s="42" t="s">
        <v>43</v>
      </c>
      <c r="H754" s="25" t="s">
        <v>139</v>
      </c>
      <c r="I754" s="23"/>
      <c r="J754" s="35" t="s">
        <v>4499</v>
      </c>
      <c r="K754" s="27" t="s">
        <v>50</v>
      </c>
      <c r="L754" s="13" t="s">
        <v>4500</v>
      </c>
      <c r="M754" s="26" t="str">
        <f>VLOOKUP(E754,'MTS 2026 registrations'!B:B,1,false)</f>
        <v>#N/A</v>
      </c>
      <c r="N754" s="26" t="str">
        <f>VLOOKUP(B754,'MTS 2026 registrations'!A:A,1,false)</f>
        <v>#N/A</v>
      </c>
      <c r="O754" s="38" t="str">
        <f t="shared" si="2"/>
        <v>Marked</v>
      </c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2.75" customHeight="1">
      <c r="A755" s="19" t="str">
        <f t="shared" si="1"/>
        <v>Ellen Mok mokadvies</v>
      </c>
      <c r="B755" s="19" t="s">
        <v>4501</v>
      </c>
      <c r="C755" s="60" t="s">
        <v>380</v>
      </c>
      <c r="D755" s="60" t="s">
        <v>4502</v>
      </c>
      <c r="E755" s="62" t="s">
        <v>4503</v>
      </c>
      <c r="F755" s="64" t="s">
        <v>4504</v>
      </c>
      <c r="G755" s="42" t="s">
        <v>1306</v>
      </c>
      <c r="H755" s="25" t="s">
        <v>139</v>
      </c>
      <c r="I755" s="23"/>
      <c r="J755" s="35" t="s">
        <v>4505</v>
      </c>
      <c r="K755" s="27" t="s">
        <v>50</v>
      </c>
      <c r="L755" s="13" t="s">
        <v>4506</v>
      </c>
      <c r="M755" s="26" t="str">
        <f>VLOOKUP(E755,'MTS 2026 registrations'!B:B,1,false)</f>
        <v>#N/A</v>
      </c>
      <c r="N755" s="26" t="str">
        <f>VLOOKUP(B755,'MTS 2026 registrations'!A:A,1,false)</f>
        <v>#N/A</v>
      </c>
      <c r="O755" s="38" t="str">
        <f t="shared" si="2"/>
        <v>Marked</v>
      </c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2.75" customHeight="1">
      <c r="A756" s="19" t="str">
        <f t="shared" si="1"/>
        <v>Ellen van den Ende-Schenkeveld tudelft</v>
      </c>
      <c r="B756" s="19" t="s">
        <v>4507</v>
      </c>
      <c r="C756" s="43" t="s">
        <v>380</v>
      </c>
      <c r="D756" s="43" t="s">
        <v>4508</v>
      </c>
      <c r="E756" s="31" t="s">
        <v>4509</v>
      </c>
      <c r="F756" s="33" t="s">
        <v>184</v>
      </c>
      <c r="G756" s="32" t="s">
        <v>43</v>
      </c>
      <c r="H756" s="25" t="s">
        <v>139</v>
      </c>
      <c r="I756" s="34"/>
      <c r="J756" s="35" t="s">
        <v>4510</v>
      </c>
      <c r="K756" s="27" t="s">
        <v>50</v>
      </c>
      <c r="L756" s="25" t="s">
        <v>4511</v>
      </c>
      <c r="M756" s="26" t="str">
        <f>VLOOKUP(E756,'MTS 2026 registrations'!B:B,1,false)</f>
        <v>#N/A</v>
      </c>
      <c r="N756" s="26" t="str">
        <f>VLOOKUP(B756,'MTS 2026 registrations'!A:A,1,false)</f>
        <v>#N/A</v>
      </c>
      <c r="O756" s="38" t="str">
        <f t="shared" si="2"/>
        <v>Marked</v>
      </c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</row>
    <row r="757" ht="12.75" customHeight="1">
      <c r="A757" s="19" t="str">
        <f t="shared" si="1"/>
        <v>Ellen Wang sentechai</v>
      </c>
      <c r="B757" s="19" t="s">
        <v>4512</v>
      </c>
      <c r="C757" s="20" t="s">
        <v>4513</v>
      </c>
      <c r="D757" s="93" t="s">
        <v>4514</v>
      </c>
      <c r="E757" s="21" t="s">
        <v>4515</v>
      </c>
      <c r="F757" s="23" t="s">
        <v>4516</v>
      </c>
      <c r="G757" s="32" t="s">
        <v>46</v>
      </c>
      <c r="H757" s="25" t="s">
        <v>47</v>
      </c>
      <c r="I757" s="23"/>
      <c r="J757" s="35" t="s">
        <v>4517</v>
      </c>
      <c r="K757" s="27" t="s">
        <v>50</v>
      </c>
      <c r="L757" s="13" t="s">
        <v>4518</v>
      </c>
      <c r="M757" s="26" t="str">
        <f>VLOOKUP(E757,'MTS 2026 registrations'!B:B,1,false)</f>
        <v>#N/A</v>
      </c>
      <c r="N757" s="26" t="str">
        <f>VLOOKUP(B757,'MTS 2026 registrations'!A:A,1,false)</f>
        <v>#N/A</v>
      </c>
      <c r="O757" s="38" t="str">
        <f t="shared" si="2"/>
        <v>Marked</v>
      </c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2.75" customHeight="1">
      <c r="A758" s="19" t="str">
        <f t="shared" si="1"/>
        <v>Elzan Godlewski KOPA Ventures (Keep Our Planet Alive)</v>
      </c>
      <c r="B758" s="19" t="s">
        <v>4519</v>
      </c>
      <c r="C758" s="20" t="s">
        <v>4520</v>
      </c>
      <c r="D758" s="20" t="s">
        <v>4521</v>
      </c>
      <c r="E758" s="21" t="s">
        <v>4522</v>
      </c>
      <c r="F758" s="49" t="s">
        <v>3701</v>
      </c>
      <c r="G758" s="24" t="s">
        <v>163</v>
      </c>
      <c r="H758" s="26" t="s">
        <v>164</v>
      </c>
      <c r="I758" s="13"/>
      <c r="J758" s="35" t="s">
        <v>4523</v>
      </c>
      <c r="K758" s="27" t="s">
        <v>50</v>
      </c>
      <c r="L758" s="25" t="s">
        <v>4524</v>
      </c>
      <c r="M758" s="26" t="str">
        <f>VLOOKUP(E758,'MTS 2026 registrations'!B:B,1,false)</f>
        <v>#N/A</v>
      </c>
      <c r="N758" s="26" t="str">
        <f>VLOOKUP(B758,'MTS 2026 registrations'!A:A,1,false)</f>
        <v>#N/A</v>
      </c>
      <c r="O758" s="38" t="str">
        <f t="shared" si="2"/>
        <v>Marked</v>
      </c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</row>
    <row r="759" ht="12.75" customHeight="1">
      <c r="A759" s="19" t="str">
        <f t="shared" si="1"/>
        <v>Emma Schepers verve-capital</v>
      </c>
      <c r="B759" s="19" t="s">
        <v>4525</v>
      </c>
      <c r="C759" s="20" t="s">
        <v>4526</v>
      </c>
      <c r="D759" s="20" t="s">
        <v>4527</v>
      </c>
      <c r="E759" s="112" t="s">
        <v>4528</v>
      </c>
      <c r="F759" s="23" t="s">
        <v>4529</v>
      </c>
      <c r="G759" s="24" t="s">
        <v>163</v>
      </c>
      <c r="H759" s="25" t="s">
        <v>164</v>
      </c>
      <c r="I759" s="26"/>
      <c r="J759" s="35" t="s">
        <v>4530</v>
      </c>
      <c r="K759" s="27" t="s">
        <v>50</v>
      </c>
      <c r="L759" s="13" t="s">
        <v>4531</v>
      </c>
      <c r="M759" s="26" t="str">
        <f>VLOOKUP(E759,'MTS 2026 registrations'!B:B,1,false)</f>
        <v>#N/A</v>
      </c>
      <c r="N759" s="26" t="str">
        <f>VLOOKUP(B759,'MTS 2026 registrations'!A:A,1,false)</f>
        <v>#N/A</v>
      </c>
      <c r="O759" s="38" t="str">
        <f t="shared" si="2"/>
        <v>Marked</v>
      </c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2.75" customHeight="1">
      <c r="A760" s="19" t="str">
        <f t="shared" si="1"/>
        <v>Emma Wong arnold-siedsma</v>
      </c>
      <c r="B760" s="19" t="s">
        <v>4532</v>
      </c>
      <c r="C760" s="20" t="s">
        <v>4526</v>
      </c>
      <c r="D760" s="20" t="s">
        <v>1183</v>
      </c>
      <c r="E760" s="21" t="s">
        <v>4533</v>
      </c>
      <c r="F760" s="23" t="s">
        <v>627</v>
      </c>
      <c r="G760" s="42" t="s">
        <v>69</v>
      </c>
      <c r="H760" s="25" t="s">
        <v>47</v>
      </c>
      <c r="I760" s="26"/>
      <c r="J760" s="35" t="s">
        <v>4534</v>
      </c>
      <c r="K760" s="27" t="s">
        <v>50</v>
      </c>
      <c r="L760" s="13" t="s">
        <v>4535</v>
      </c>
      <c r="M760" s="26" t="str">
        <f>VLOOKUP(E760,'MTS 2026 registrations'!B:B,1,false)</f>
        <v>#N/A</v>
      </c>
      <c r="N760" s="26" t="str">
        <f>VLOOKUP(B760,'MTS 2026 registrations'!A:A,1,false)</f>
        <v>#N/A</v>
      </c>
      <c r="O760" s="38" t="str">
        <f t="shared" si="2"/>
        <v>Marked</v>
      </c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2.75" customHeight="1">
      <c r="A761" s="19" t="str">
        <f t="shared" si="1"/>
        <v>Ena Voûte tudelft</v>
      </c>
      <c r="B761" s="19" t="s">
        <v>4536</v>
      </c>
      <c r="C761" s="20" t="s">
        <v>4537</v>
      </c>
      <c r="D761" s="20" t="s">
        <v>4538</v>
      </c>
      <c r="E761" s="21" t="s">
        <v>4539</v>
      </c>
      <c r="F761" s="52" t="s">
        <v>184</v>
      </c>
      <c r="G761" s="32" t="s">
        <v>43</v>
      </c>
      <c r="H761" s="25" t="s">
        <v>139</v>
      </c>
      <c r="I761" s="26"/>
      <c r="J761" s="35" t="s">
        <v>4540</v>
      </c>
      <c r="K761" s="27" t="s">
        <v>50</v>
      </c>
      <c r="L761" s="13" t="s">
        <v>4541</v>
      </c>
      <c r="M761" s="26" t="str">
        <f>VLOOKUP(E761,'MTS 2026 registrations'!B:B,1,false)</f>
        <v>#N/A</v>
      </c>
      <c r="N761" s="26" t="str">
        <f>VLOOKUP(B761,'MTS 2026 registrations'!A:A,1,false)</f>
        <v>#N/A</v>
      </c>
      <c r="O761" s="38" t="str">
        <f t="shared" si="2"/>
        <v>Marked</v>
      </c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23"/>
      <c r="AE761" s="23"/>
    </row>
    <row r="762" ht="12.75" customHeight="1">
      <c r="A762" s="19" t="str">
        <f t="shared" si="1"/>
        <v>Engbert Wilmink w-po</v>
      </c>
      <c r="B762" s="19" t="s">
        <v>4542</v>
      </c>
      <c r="C762" s="20" t="s">
        <v>4543</v>
      </c>
      <c r="D762" s="20" t="s">
        <v>4544</v>
      </c>
      <c r="E762" s="21" t="s">
        <v>4545</v>
      </c>
      <c r="F762" s="23" t="s">
        <v>4546</v>
      </c>
      <c r="G762" s="32" t="s">
        <v>46</v>
      </c>
      <c r="H762" s="25" t="s">
        <v>139</v>
      </c>
      <c r="I762" s="26"/>
      <c r="J762" s="35" t="s">
        <v>4547</v>
      </c>
      <c r="K762" s="27" t="s">
        <v>50</v>
      </c>
      <c r="L762" s="13" t="s">
        <v>4548</v>
      </c>
      <c r="M762" s="26" t="str">
        <f>VLOOKUP(E762,'MTS 2026 registrations'!B:B,1,false)</f>
        <v>#N/A</v>
      </c>
      <c r="N762" s="26" t="str">
        <f>VLOOKUP(B762,'MTS 2026 registrations'!A:A,1,false)</f>
        <v>#N/A</v>
      </c>
      <c r="O762" s="38" t="str">
        <f t="shared" si="2"/>
        <v>Marked</v>
      </c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2.75" customHeight="1">
      <c r="A763" s="19" t="str">
        <f t="shared" si="1"/>
        <v>Eric Smit t-minus</v>
      </c>
      <c r="B763" s="19" t="s">
        <v>4549</v>
      </c>
      <c r="C763" s="20" t="s">
        <v>4550</v>
      </c>
      <c r="D763" s="20" t="s">
        <v>521</v>
      </c>
      <c r="E763" s="21" t="s">
        <v>4551</v>
      </c>
      <c r="F763" s="23" t="s">
        <v>4552</v>
      </c>
      <c r="G763" s="32" t="s">
        <v>46</v>
      </c>
      <c r="H763" s="25" t="s">
        <v>47</v>
      </c>
      <c r="I763" s="23"/>
      <c r="J763" s="35" t="s">
        <v>4553</v>
      </c>
      <c r="K763" s="27" t="s">
        <v>50</v>
      </c>
      <c r="L763" s="13" t="s">
        <v>4554</v>
      </c>
      <c r="M763" s="26" t="str">
        <f>VLOOKUP(E763,'MTS 2026 registrations'!B:B,1,false)</f>
        <v>#N/A</v>
      </c>
      <c r="N763" s="26" t="str">
        <f>VLOOKUP(B763,'MTS 2026 registrations'!A:A,1,false)</f>
        <v>#N/A</v>
      </c>
      <c r="O763" s="38" t="str">
        <f t="shared" si="2"/>
        <v>Marked</v>
      </c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2.75" customHeight="1">
      <c r="A764" s="19" t="str">
        <f t="shared" si="1"/>
        <v>Eric Poot delphy</v>
      </c>
      <c r="B764" s="19" t="s">
        <v>4555</v>
      </c>
      <c r="C764" s="60" t="s">
        <v>4550</v>
      </c>
      <c r="D764" s="60" t="s">
        <v>4556</v>
      </c>
      <c r="E764" s="62" t="s">
        <v>4557</v>
      </c>
      <c r="F764" s="64" t="s">
        <v>4558</v>
      </c>
      <c r="G764" s="24" t="s">
        <v>1447</v>
      </c>
      <c r="H764" s="25" t="s">
        <v>139</v>
      </c>
      <c r="I764" s="23"/>
      <c r="J764" s="35" t="s">
        <v>4559</v>
      </c>
      <c r="K764" s="27" t="s">
        <v>50</v>
      </c>
      <c r="L764" s="13" t="s">
        <v>4560</v>
      </c>
      <c r="M764" s="26" t="str">
        <f>VLOOKUP(E764,'MTS 2026 registrations'!B:B,1,false)</f>
        <v>e.poot@delphy.nl</v>
      </c>
      <c r="N764" s="26" t="str">
        <f>VLOOKUP(B764,'MTS 2026 registrations'!A:A,1,false)</f>
        <v>Eric Poot</v>
      </c>
      <c r="O764" s="38" t="str">
        <f t="shared" si="2"/>
        <v/>
      </c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2.75" customHeight="1">
      <c r="A765" s="19" t="str">
        <f t="shared" si="1"/>
        <v>Eric Both ecginternational</v>
      </c>
      <c r="B765" s="19" t="s">
        <v>4561</v>
      </c>
      <c r="C765" s="20" t="s">
        <v>4550</v>
      </c>
      <c r="D765" s="20" t="s">
        <v>4562</v>
      </c>
      <c r="E765" s="21" t="s">
        <v>4563</v>
      </c>
      <c r="F765" s="23" t="s">
        <v>4564</v>
      </c>
      <c r="G765" s="24" t="s">
        <v>225</v>
      </c>
      <c r="H765" s="25" t="s">
        <v>47</v>
      </c>
      <c r="I765" s="23"/>
      <c r="J765" s="35" t="s">
        <v>4565</v>
      </c>
      <c r="K765" s="27" t="s">
        <v>50</v>
      </c>
      <c r="L765" s="13" t="s">
        <v>4566</v>
      </c>
      <c r="M765" s="26" t="str">
        <f>VLOOKUP(E765,'MTS 2026 registrations'!B:B,1,false)</f>
        <v>#N/A</v>
      </c>
      <c r="N765" s="26" t="str">
        <f>VLOOKUP(B765,'MTS 2026 registrations'!A:A,1,false)</f>
        <v>#N/A</v>
      </c>
      <c r="O765" s="38" t="str">
        <f t="shared" si="2"/>
        <v>Marked</v>
      </c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2.75" customHeight="1">
      <c r="A766" s="19" t="str">
        <f t="shared" si="1"/>
        <v>Eric de Groot tribess</v>
      </c>
      <c r="B766" s="19" t="s">
        <v>4567</v>
      </c>
      <c r="C766" s="20" t="s">
        <v>4550</v>
      </c>
      <c r="D766" s="20" t="s">
        <v>1230</v>
      </c>
      <c r="E766" s="21" t="s">
        <v>4568</v>
      </c>
      <c r="F766" s="23" t="s">
        <v>649</v>
      </c>
      <c r="G766" s="32" t="s">
        <v>46</v>
      </c>
      <c r="H766" s="25" t="s">
        <v>47</v>
      </c>
      <c r="I766" s="26"/>
      <c r="J766" s="35" t="s">
        <v>4569</v>
      </c>
      <c r="K766" s="27" t="s">
        <v>50</v>
      </c>
      <c r="L766" s="13" t="s">
        <v>4570</v>
      </c>
      <c r="M766" s="26" t="str">
        <f>VLOOKUP(E766,'MTS 2026 registrations'!B:B,1,false)</f>
        <v>#N/A</v>
      </c>
      <c r="N766" s="26" t="str">
        <f>VLOOKUP(B766,'MTS 2026 registrations'!A:A,1,false)</f>
        <v>#N/A</v>
      </c>
      <c r="O766" s="38" t="str">
        <f t="shared" si="2"/>
        <v>Marked</v>
      </c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2.75" customHeight="1">
      <c r="A767" s="19" t="str">
        <f t="shared" si="1"/>
        <v>Eric Terry actiflow</v>
      </c>
      <c r="B767" s="19" t="s">
        <v>4571</v>
      </c>
      <c r="C767" s="20" t="s">
        <v>4550</v>
      </c>
      <c r="D767" s="20" t="s">
        <v>4572</v>
      </c>
      <c r="E767" s="21" t="s">
        <v>4573</v>
      </c>
      <c r="F767" s="23" t="s">
        <v>4574</v>
      </c>
      <c r="G767" s="32" t="s">
        <v>46</v>
      </c>
      <c r="H767" s="25" t="s">
        <v>47</v>
      </c>
      <c r="I767" s="26"/>
      <c r="J767" s="35" t="s">
        <v>4575</v>
      </c>
      <c r="K767" s="27" t="s">
        <v>50</v>
      </c>
      <c r="L767" s="13" t="s">
        <v>4576</v>
      </c>
      <c r="M767" s="26" t="str">
        <f>VLOOKUP(E767,'MTS 2026 registrations'!B:B,1,false)</f>
        <v>#N/A</v>
      </c>
      <c r="N767" s="26" t="str">
        <f>VLOOKUP(B767,'MTS 2026 registrations'!A:A,1,false)</f>
        <v>#N/A</v>
      </c>
      <c r="O767" s="38" t="str">
        <f t="shared" si="2"/>
        <v>Marked</v>
      </c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2.75" customHeight="1">
      <c r="A768" s="19" t="str">
        <f t="shared" si="1"/>
        <v>Eric Gu Ailixr</v>
      </c>
      <c r="B768" s="19" t="s">
        <v>4577</v>
      </c>
      <c r="C768" s="29" t="s">
        <v>4550</v>
      </c>
      <c r="D768" s="29" t="s">
        <v>4578</v>
      </c>
      <c r="E768" s="62" t="s">
        <v>4579</v>
      </c>
      <c r="F768" s="50" t="s">
        <v>4580</v>
      </c>
      <c r="G768" s="32" t="s">
        <v>46</v>
      </c>
      <c r="H768" s="25" t="s">
        <v>139</v>
      </c>
      <c r="I768" s="13" t="s">
        <v>188</v>
      </c>
      <c r="J768" s="35" t="s">
        <v>4581</v>
      </c>
      <c r="K768" s="27" t="s">
        <v>50</v>
      </c>
      <c r="L768" s="13" t="s">
        <v>4582</v>
      </c>
      <c r="M768" s="26" t="str">
        <f>VLOOKUP(E768,'MTS 2026 registrations'!B:B,1,false)</f>
        <v>#N/A</v>
      </c>
      <c r="N768" s="26" t="str">
        <f>VLOOKUP(B768,'MTS 2026 registrations'!A:A,1,false)</f>
        <v>#N/A</v>
      </c>
      <c r="O768" s="38" t="str">
        <f t="shared" si="2"/>
        <v>Marked</v>
      </c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2.75" customHeight="1">
      <c r="A769" s="19" t="str">
        <f t="shared" si="1"/>
        <v>Eric Pasma vibestechnology</v>
      </c>
      <c r="B769" s="19" t="s">
        <v>4583</v>
      </c>
      <c r="C769" s="116" t="s">
        <v>4550</v>
      </c>
      <c r="D769" s="116" t="s">
        <v>4584</v>
      </c>
      <c r="E769" s="112" t="s">
        <v>4585</v>
      </c>
      <c r="F769" s="23" t="s">
        <v>583</v>
      </c>
      <c r="G769" s="32" t="s">
        <v>46</v>
      </c>
      <c r="H769" s="25" t="s">
        <v>47</v>
      </c>
      <c r="I769" s="26"/>
      <c r="J769" s="35" t="s">
        <v>4586</v>
      </c>
      <c r="K769" s="27" t="s">
        <v>50</v>
      </c>
      <c r="L769" s="13" t="s">
        <v>4587</v>
      </c>
      <c r="M769" s="26" t="str">
        <f>VLOOKUP(E769,'MTS 2026 registrations'!B:B,1,false)</f>
        <v>#N/A</v>
      </c>
      <c r="N769" s="26" t="str">
        <f>VLOOKUP(B769,'MTS 2026 registrations'!A:A,1,false)</f>
        <v>#N/A</v>
      </c>
      <c r="O769" s="38" t="str">
        <f t="shared" si="2"/>
        <v>Marked</v>
      </c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</row>
    <row r="770" ht="12.75" customHeight="1">
      <c r="A770" s="19" t="str">
        <f t="shared" si="1"/>
        <v>Eric Heng Gu Ailixr</v>
      </c>
      <c r="B770" s="19" t="s">
        <v>4588</v>
      </c>
      <c r="C770" s="60" t="s">
        <v>4589</v>
      </c>
      <c r="D770" s="60" t="s">
        <v>4590</v>
      </c>
      <c r="E770" s="62" t="s">
        <v>4591</v>
      </c>
      <c r="F770" s="49" t="s">
        <v>4580</v>
      </c>
      <c r="G770" s="32" t="s">
        <v>46</v>
      </c>
      <c r="H770" s="25" t="s">
        <v>31</v>
      </c>
      <c r="I770" s="23"/>
      <c r="J770" s="35" t="s">
        <v>4592</v>
      </c>
      <c r="K770" s="27" t="s">
        <v>50</v>
      </c>
      <c r="L770" s="13" t="s">
        <v>4593</v>
      </c>
      <c r="M770" s="26" t="str">
        <f>VLOOKUP(E770,'MTS 2026 registrations'!B:B,1,false)</f>
        <v>#N/A</v>
      </c>
      <c r="N770" s="26" t="str">
        <f>VLOOKUP(B770,'MTS 2026 registrations'!A:A,1,false)</f>
        <v>#N/A</v>
      </c>
      <c r="O770" s="38" t="str">
        <f t="shared" si="2"/>
        <v>Marked</v>
      </c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34"/>
      <c r="AE770" s="34"/>
    </row>
    <row r="771" ht="12.75" customHeight="1">
      <c r="A771" s="19" t="str">
        <f t="shared" si="1"/>
        <v>Erik van der Wal Hyer Power</v>
      </c>
      <c r="B771" s="19" t="s">
        <v>4594</v>
      </c>
      <c r="C771" s="13" t="s">
        <v>546</v>
      </c>
      <c r="D771" s="13" t="s">
        <v>4595</v>
      </c>
      <c r="E771" s="60" t="s">
        <v>4596</v>
      </c>
      <c r="F771" s="60" t="s">
        <v>2711</v>
      </c>
      <c r="G771" s="32" t="s">
        <v>46</v>
      </c>
      <c r="H771" s="25" t="s">
        <v>47</v>
      </c>
      <c r="I771" s="34"/>
      <c r="J771" s="35" t="s">
        <v>4597</v>
      </c>
      <c r="K771" s="27" t="s">
        <v>50</v>
      </c>
      <c r="L771" s="13" t="s">
        <v>4598</v>
      </c>
      <c r="M771" s="26" t="str">
        <f>VLOOKUP(E771,'MTS 2026 registrations'!B:B,1,false)</f>
        <v>e.vanderwal@hyerpower.nl</v>
      </c>
      <c r="N771" s="26" t="str">
        <f>VLOOKUP(B771,'MTS 2026 registrations'!A:A,1,false)</f>
        <v>Erik van der Wal</v>
      </c>
      <c r="O771" s="38" t="str">
        <f t="shared" si="2"/>
        <v/>
      </c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23"/>
      <c r="AE771" s="23"/>
    </row>
    <row r="772" ht="12.75" customHeight="1">
      <c r="A772" s="19" t="str">
        <f t="shared" si="1"/>
        <v>Erik Kraaijeveld CIWI</v>
      </c>
      <c r="B772" s="19" t="s">
        <v>4599</v>
      </c>
      <c r="C772" s="108" t="s">
        <v>546</v>
      </c>
      <c r="D772" s="108" t="s">
        <v>4600</v>
      </c>
      <c r="E772" s="62" t="s">
        <v>4601</v>
      </c>
      <c r="F772" s="23" t="s">
        <v>2523</v>
      </c>
      <c r="G772" s="32" t="s">
        <v>46</v>
      </c>
      <c r="H772" s="25" t="s">
        <v>31</v>
      </c>
      <c r="I772" s="23"/>
      <c r="J772" s="35" t="s">
        <v>4602</v>
      </c>
      <c r="K772" s="27" t="s">
        <v>50</v>
      </c>
      <c r="L772" s="13" t="s">
        <v>4603</v>
      </c>
      <c r="M772" s="26" t="str">
        <f>VLOOKUP(E772,'MTS 2026 registrations'!B:B,1,false)</f>
        <v>#N/A</v>
      </c>
      <c r="N772" s="26" t="str">
        <f>VLOOKUP(B772,'MTS 2026 registrations'!A:A,1,false)</f>
        <v>#N/A</v>
      </c>
      <c r="O772" s="38" t="str">
        <f t="shared" si="2"/>
        <v>Marked</v>
      </c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2.75" customHeight="1">
      <c r="A773" s="19" t="str">
        <f t="shared" si="1"/>
        <v>Erik Verboom albatros.digital</v>
      </c>
      <c r="B773" s="19" t="s">
        <v>4604</v>
      </c>
      <c r="C773" s="120" t="s">
        <v>546</v>
      </c>
      <c r="D773" s="20" t="s">
        <v>4605</v>
      </c>
      <c r="E773" s="21" t="s">
        <v>4606</v>
      </c>
      <c r="F773" s="23" t="s">
        <v>4607</v>
      </c>
      <c r="G773" s="32" t="s">
        <v>46</v>
      </c>
      <c r="H773" s="25" t="s">
        <v>47</v>
      </c>
      <c r="I773" s="26"/>
      <c r="J773" s="35" t="s">
        <v>4608</v>
      </c>
      <c r="K773" s="27" t="s">
        <v>50</v>
      </c>
      <c r="L773" s="13" t="s">
        <v>4609</v>
      </c>
      <c r="M773" s="26" t="str">
        <f>VLOOKUP(E773,'MTS 2026 registrations'!B:B,1,false)</f>
        <v>#N/A</v>
      </c>
      <c r="N773" s="26" t="str">
        <f>VLOOKUP(B773,'MTS 2026 registrations'!A:A,1,false)</f>
        <v>#N/A</v>
      </c>
      <c r="O773" s="38" t="str">
        <f t="shared" si="2"/>
        <v>Marked</v>
      </c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2.75" customHeight="1">
      <c r="A774" s="19" t="str">
        <f t="shared" si="1"/>
        <v>Erik Peters Alert Solutions</v>
      </c>
      <c r="B774" s="19" t="s">
        <v>4610</v>
      </c>
      <c r="C774" s="29" t="s">
        <v>546</v>
      </c>
      <c r="D774" s="29" t="s">
        <v>4611</v>
      </c>
      <c r="E774" s="31" t="s">
        <v>4612</v>
      </c>
      <c r="F774" s="33" t="s">
        <v>4613</v>
      </c>
      <c r="G774" s="32" t="s">
        <v>46</v>
      </c>
      <c r="H774" s="25" t="s">
        <v>47</v>
      </c>
      <c r="I774" s="34"/>
      <c r="J774" s="35" t="s">
        <v>4614</v>
      </c>
      <c r="K774" s="27" t="s">
        <v>50</v>
      </c>
      <c r="L774" s="13" t="s">
        <v>4615</v>
      </c>
      <c r="M774" s="26" t="str">
        <f>VLOOKUP(E774,'MTS 2026 registrations'!B:B,1,false)</f>
        <v>#N/A</v>
      </c>
      <c r="N774" s="26" t="str">
        <f>VLOOKUP(B774,'MTS 2026 registrations'!A:A,1,false)</f>
        <v>#N/A</v>
      </c>
      <c r="O774" s="38" t="str">
        <f t="shared" si="2"/>
        <v>Marked</v>
      </c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23"/>
      <c r="AE774" s="23"/>
    </row>
    <row r="775" ht="12.75" customHeight="1">
      <c r="A775" s="19" t="str">
        <f t="shared" si="1"/>
        <v>Erik van Oorschot dordrecht</v>
      </c>
      <c r="B775" s="19" t="s">
        <v>4616</v>
      </c>
      <c r="C775" s="138" t="s">
        <v>546</v>
      </c>
      <c r="D775" s="138" t="s">
        <v>789</v>
      </c>
      <c r="E775" s="139" t="s">
        <v>4617</v>
      </c>
      <c r="F775" s="75" t="s">
        <v>4618</v>
      </c>
      <c r="G775" s="24" t="s">
        <v>323</v>
      </c>
      <c r="H775" s="25" t="s">
        <v>139</v>
      </c>
      <c r="I775" s="23"/>
      <c r="J775" s="35" t="s">
        <v>4619</v>
      </c>
      <c r="K775" s="27" t="s">
        <v>50</v>
      </c>
      <c r="L775" s="13" t="s">
        <v>4620</v>
      </c>
      <c r="M775" s="26" t="str">
        <f>VLOOKUP(E775,'MTS 2026 registrations'!B:B,1,false)</f>
        <v>#N/A</v>
      </c>
      <c r="N775" s="26" t="str">
        <f>VLOOKUP(B775,'MTS 2026 registrations'!A:A,1,false)</f>
        <v>#N/A</v>
      </c>
      <c r="O775" s="38" t="str">
        <f t="shared" si="2"/>
        <v>Marked</v>
      </c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2.75" customHeight="1">
      <c r="A776" s="19" t="str">
        <f t="shared" si="1"/>
        <v>Ernst Van Bruggen Source</v>
      </c>
      <c r="B776" s="19" t="s">
        <v>4621</v>
      </c>
      <c r="C776" s="29" t="s">
        <v>2359</v>
      </c>
      <c r="D776" s="121" t="s">
        <v>4622</v>
      </c>
      <c r="E776" s="31" t="s">
        <v>4623</v>
      </c>
      <c r="F776" s="33" t="s">
        <v>4624</v>
      </c>
      <c r="G776" s="24" t="s">
        <v>46</v>
      </c>
      <c r="H776" s="25" t="s">
        <v>47</v>
      </c>
      <c r="I776" s="34"/>
      <c r="J776" s="35" t="s">
        <v>4625</v>
      </c>
      <c r="K776" s="27" t="s">
        <v>50</v>
      </c>
      <c r="L776" s="13" t="s">
        <v>4626</v>
      </c>
      <c r="M776" s="26" t="str">
        <f>VLOOKUP(E776,'MTS 2026 registrations'!B:B,1,false)</f>
        <v>#N/A</v>
      </c>
      <c r="N776" s="26" t="str">
        <f>VLOOKUP(B776,'MTS 2026 registrations'!A:A,1,false)</f>
        <v>#N/A</v>
      </c>
      <c r="O776" s="38" t="str">
        <f t="shared" si="2"/>
        <v>Marked</v>
      </c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</row>
    <row r="777" ht="12.75" customHeight="1">
      <c r="A777" s="19" t="str">
        <f t="shared" si="1"/>
        <v>Ernst van der Putten vanderputten</v>
      </c>
      <c r="B777" s="19" t="s">
        <v>4627</v>
      </c>
      <c r="C777" s="20" t="s">
        <v>2359</v>
      </c>
      <c r="D777" s="53" t="s">
        <v>4628</v>
      </c>
      <c r="E777" s="21" t="s">
        <v>4629</v>
      </c>
      <c r="F777" s="23" t="s">
        <v>4630</v>
      </c>
      <c r="G777" s="24" t="s">
        <v>163</v>
      </c>
      <c r="H777" s="25" t="s">
        <v>164</v>
      </c>
      <c r="I777" s="26"/>
      <c r="J777" s="35" t="s">
        <v>4631</v>
      </c>
      <c r="K777" s="27" t="s">
        <v>50</v>
      </c>
      <c r="L777" s="13" t="s">
        <v>4632</v>
      </c>
      <c r="M777" s="26" t="str">
        <f>VLOOKUP(E777,'MTS 2026 registrations'!B:B,1,false)</f>
        <v>#N/A</v>
      </c>
      <c r="N777" s="26" t="str">
        <f>VLOOKUP(B777,'MTS 2026 registrations'!A:A,1,false)</f>
        <v>#N/A</v>
      </c>
      <c r="O777" s="38" t="str">
        <f t="shared" si="2"/>
        <v>Marked</v>
      </c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2.75" customHeight="1">
      <c r="A778" s="19" t="str">
        <f t="shared" si="1"/>
        <v>Erwin Buckers chainels</v>
      </c>
      <c r="B778" s="19" t="s">
        <v>4633</v>
      </c>
      <c r="C778" s="20" t="s">
        <v>4634</v>
      </c>
      <c r="D778" s="20" t="s">
        <v>4635</v>
      </c>
      <c r="E778" s="21" t="s">
        <v>4636</v>
      </c>
      <c r="F778" s="23" t="s">
        <v>1152</v>
      </c>
      <c r="G778" s="32" t="s">
        <v>46</v>
      </c>
      <c r="H778" s="25" t="s">
        <v>47</v>
      </c>
      <c r="I778" s="26"/>
      <c r="J778" s="35" t="s">
        <v>4637</v>
      </c>
      <c r="K778" s="27" t="s">
        <v>50</v>
      </c>
      <c r="L778" s="13" t="s">
        <v>4638</v>
      </c>
      <c r="M778" s="26" t="str">
        <f>VLOOKUP(E778,'MTS 2026 registrations'!B:B,1,false)</f>
        <v>#N/A</v>
      </c>
      <c r="N778" s="26" t="str">
        <f>VLOOKUP(B778,'MTS 2026 registrations'!A:A,1,false)</f>
        <v>#N/A</v>
      </c>
      <c r="O778" s="38" t="str">
        <f t="shared" si="2"/>
        <v>Marked</v>
      </c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2.75" customHeight="1">
      <c r="A779" s="19" t="str">
        <f t="shared" si="1"/>
        <v>Esther Peters leidenbiosciencepark</v>
      </c>
      <c r="B779" s="19" t="s">
        <v>4639</v>
      </c>
      <c r="C779" s="134" t="s">
        <v>4640</v>
      </c>
      <c r="D779" s="60" t="s">
        <v>4611</v>
      </c>
      <c r="E779" s="62" t="s">
        <v>4641</v>
      </c>
      <c r="F779" s="64" t="s">
        <v>4642</v>
      </c>
      <c r="G779" s="32" t="s">
        <v>46</v>
      </c>
      <c r="H779" s="25" t="s">
        <v>139</v>
      </c>
      <c r="I779" s="23"/>
      <c r="J779" s="35" t="s">
        <v>4643</v>
      </c>
      <c r="K779" s="27" t="s">
        <v>50</v>
      </c>
      <c r="L779" s="13" t="s">
        <v>4644</v>
      </c>
      <c r="M779" s="26" t="str">
        <f>VLOOKUP(E779,'MTS 2026 registrations'!B:B,1,false)</f>
        <v>#N/A</v>
      </c>
      <c r="N779" s="26" t="str">
        <f>VLOOKUP(B779,'MTS 2026 registrations'!A:A,1,false)</f>
        <v>#N/A</v>
      </c>
      <c r="O779" s="38" t="str">
        <f t="shared" si="2"/>
        <v>Marked</v>
      </c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2.75" customHeight="1">
      <c r="A780" s="19" t="str">
        <f t="shared" si="1"/>
        <v>Esther van der Meulen techleap</v>
      </c>
      <c r="B780" s="19" t="s">
        <v>4645</v>
      </c>
      <c r="C780" s="60" t="s">
        <v>4640</v>
      </c>
      <c r="D780" s="60" t="s">
        <v>4646</v>
      </c>
      <c r="E780" s="62" t="s">
        <v>4647</v>
      </c>
      <c r="F780" s="64" t="s">
        <v>1952</v>
      </c>
      <c r="G780" s="24" t="s">
        <v>29</v>
      </c>
      <c r="H780" s="25" t="s">
        <v>139</v>
      </c>
      <c r="I780" s="23"/>
      <c r="J780" s="35" t="s">
        <v>4648</v>
      </c>
      <c r="K780" s="27" t="s">
        <v>50</v>
      </c>
      <c r="L780" s="13" t="s">
        <v>4649</v>
      </c>
      <c r="M780" s="26" t="str">
        <f>VLOOKUP(E780,'MTS 2026 registrations'!B:B,1,false)</f>
        <v>#N/A</v>
      </c>
      <c r="N780" s="26" t="str">
        <f>VLOOKUP(B780,'MTS 2026 registrations'!A:A,1,false)</f>
        <v>#N/A</v>
      </c>
      <c r="O780" s="38" t="str">
        <f t="shared" si="2"/>
        <v>Marked</v>
      </c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2.75" customHeight="1">
      <c r="A781" s="19" t="str">
        <f t="shared" si="1"/>
        <v>Eva Post graduate</v>
      </c>
      <c r="B781" s="19" t="s">
        <v>4650</v>
      </c>
      <c r="C781" s="20" t="s">
        <v>4651</v>
      </c>
      <c r="D781" s="20" t="s">
        <v>2527</v>
      </c>
      <c r="E781" s="21" t="s">
        <v>4652</v>
      </c>
      <c r="F781" s="23" t="s">
        <v>1964</v>
      </c>
      <c r="G781" s="24" t="s">
        <v>163</v>
      </c>
      <c r="H781" s="13" t="s">
        <v>213</v>
      </c>
      <c r="I781" s="23"/>
      <c r="J781" s="35" t="s">
        <v>4653</v>
      </c>
      <c r="K781" s="27" t="s">
        <v>50</v>
      </c>
      <c r="L781" s="13" t="s">
        <v>4654</v>
      </c>
      <c r="M781" s="26" t="str">
        <f>VLOOKUP(E781,'MTS 2026 registrations'!B:B,1,false)</f>
        <v>#N/A</v>
      </c>
      <c r="N781" s="26" t="str">
        <f>VLOOKUP(B781,'MTS 2026 registrations'!A:A,1,false)</f>
        <v>#N/A</v>
      </c>
      <c r="O781" s="38" t="str">
        <f t="shared" si="2"/>
        <v>Marked</v>
      </c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2.75" customHeight="1">
      <c r="A782" s="19" t="str">
        <f t="shared" si="1"/>
        <v>Eva Van Overmeire korys</v>
      </c>
      <c r="B782" s="19" t="s">
        <v>4655</v>
      </c>
      <c r="C782" s="20" t="s">
        <v>4651</v>
      </c>
      <c r="D782" s="20" t="s">
        <v>4656</v>
      </c>
      <c r="E782" s="21" t="s">
        <v>4657</v>
      </c>
      <c r="F782" s="23" t="s">
        <v>4658</v>
      </c>
      <c r="G782" s="24" t="s">
        <v>163</v>
      </c>
      <c r="H782" s="25" t="s">
        <v>164</v>
      </c>
      <c r="I782" s="23"/>
      <c r="J782" s="35" t="s">
        <v>4659</v>
      </c>
      <c r="K782" s="27" t="s">
        <v>50</v>
      </c>
      <c r="L782" s="13" t="s">
        <v>4660</v>
      </c>
      <c r="M782" s="26" t="str">
        <f>VLOOKUP(E782,'MTS 2026 registrations'!B:B,1,false)</f>
        <v>#N/A</v>
      </c>
      <c r="N782" s="26" t="str">
        <f>VLOOKUP(B782,'MTS 2026 registrations'!A:A,1,false)</f>
        <v>#N/A</v>
      </c>
      <c r="O782" s="38" t="str">
        <f t="shared" si="2"/>
        <v>Marked</v>
      </c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2.75" customHeight="1">
      <c r="A783" s="19" t="str">
        <f t="shared" si="1"/>
        <v>Evelien de Vries asml</v>
      </c>
      <c r="B783" s="19" t="s">
        <v>4661</v>
      </c>
      <c r="C783" s="134" t="s">
        <v>473</v>
      </c>
      <c r="D783" s="134" t="s">
        <v>105</v>
      </c>
      <c r="E783" s="128" t="s">
        <v>4662</v>
      </c>
      <c r="F783" s="64" t="s">
        <v>1454</v>
      </c>
      <c r="G783" s="42" t="s">
        <v>56</v>
      </c>
      <c r="H783" s="25" t="s">
        <v>139</v>
      </c>
      <c r="I783" s="34"/>
      <c r="J783" s="35" t="s">
        <v>4663</v>
      </c>
      <c r="K783" s="27" t="s">
        <v>50</v>
      </c>
      <c r="L783" s="13" t="s">
        <v>4664</v>
      </c>
      <c r="M783" s="26" t="str">
        <f>VLOOKUP(E783,'MTS 2026 registrations'!B:B,1,false)</f>
        <v>#N/A</v>
      </c>
      <c r="N783" s="26" t="str">
        <f>VLOOKUP(B783,'MTS 2026 registrations'!A:A,1,false)</f>
        <v>#N/A</v>
      </c>
      <c r="O783" s="38" t="str">
        <f t="shared" si="2"/>
        <v>Marked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</row>
    <row r="784" ht="12.75" customHeight="1">
      <c r="A784" s="19" t="str">
        <f t="shared" si="1"/>
        <v>Evgeny Uslamin cyberhydra</v>
      </c>
      <c r="B784" s="19" t="s">
        <v>4665</v>
      </c>
      <c r="C784" s="20" t="s">
        <v>629</v>
      </c>
      <c r="D784" s="20" t="s">
        <v>4666</v>
      </c>
      <c r="E784" s="21" t="s">
        <v>4667</v>
      </c>
      <c r="F784" s="23" t="s">
        <v>4668</v>
      </c>
      <c r="G784" s="32" t="s">
        <v>46</v>
      </c>
      <c r="H784" s="25" t="s">
        <v>47</v>
      </c>
      <c r="I784" s="26"/>
      <c r="J784" s="35" t="s">
        <v>4669</v>
      </c>
      <c r="K784" s="27" t="s">
        <v>50</v>
      </c>
      <c r="L784" s="13" t="s">
        <v>4670</v>
      </c>
      <c r="M784" s="26" t="str">
        <f>VLOOKUP(E784,'MTS 2026 registrations'!B:B,1,false)</f>
        <v>#N/A</v>
      </c>
      <c r="N784" s="26" t="str">
        <f>VLOOKUP(B784,'MTS 2026 registrations'!A:A,1,false)</f>
        <v>#N/A</v>
      </c>
      <c r="O784" s="38" t="str">
        <f t="shared" si="2"/>
        <v>Marked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2.75" customHeight="1">
      <c r="A785" s="19" t="str">
        <f t="shared" si="1"/>
        <v>Ewoud Volbeda mindef</v>
      </c>
      <c r="B785" s="19" t="s">
        <v>4671</v>
      </c>
      <c r="C785" s="72" t="s">
        <v>4672</v>
      </c>
      <c r="D785" s="72" t="s">
        <v>4673</v>
      </c>
      <c r="E785" s="30" t="s">
        <v>4674</v>
      </c>
      <c r="F785" s="29" t="s">
        <v>1527</v>
      </c>
      <c r="G785" s="32" t="s">
        <v>323</v>
      </c>
      <c r="H785" s="13" t="s">
        <v>213</v>
      </c>
      <c r="I785" s="23"/>
      <c r="J785" s="35" t="s">
        <v>4675</v>
      </c>
      <c r="K785" s="27" t="s">
        <v>50</v>
      </c>
      <c r="L785" s="13" t="s">
        <v>4676</v>
      </c>
      <c r="M785" s="26" t="str">
        <f>VLOOKUP(E785,'MTS 2026 registrations'!B:B,1,false)</f>
        <v>#N/A</v>
      </c>
      <c r="N785" s="26" t="str">
        <f>VLOOKUP(B785,'MTS 2026 registrations'!A:A,1,false)</f>
        <v>#N/A</v>
      </c>
      <c r="O785" s="38" t="str">
        <f t="shared" si="2"/>
        <v>Marked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2.75" customHeight="1">
      <c r="A786" s="19" t="str">
        <f t="shared" si="1"/>
        <v>Ewoud de Kok feedbackfruits</v>
      </c>
      <c r="B786" s="19" t="s">
        <v>4677</v>
      </c>
      <c r="C786" s="20" t="s">
        <v>4672</v>
      </c>
      <c r="D786" s="20" t="s">
        <v>4678</v>
      </c>
      <c r="E786" s="21" t="s">
        <v>4679</v>
      </c>
      <c r="F786" s="23" t="s">
        <v>1037</v>
      </c>
      <c r="G786" s="32" t="s">
        <v>46</v>
      </c>
      <c r="H786" s="25" t="s">
        <v>47</v>
      </c>
      <c r="I786" s="23"/>
      <c r="J786" s="35" t="s">
        <v>4680</v>
      </c>
      <c r="K786" s="27" t="s">
        <v>50</v>
      </c>
      <c r="L786" s="13" t="s">
        <v>4681</v>
      </c>
      <c r="M786" s="26" t="str">
        <f>VLOOKUP(E786,'MTS 2026 registrations'!B:B,1,false)</f>
        <v>#N/A</v>
      </c>
      <c r="N786" s="26" t="str">
        <f>VLOOKUP(B786,'MTS 2026 registrations'!A:A,1,false)</f>
        <v>#N/A</v>
      </c>
      <c r="O786" s="38" t="str">
        <f t="shared" si="2"/>
        <v>Marked</v>
      </c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2.75" customHeight="1">
      <c r="A787" s="19" t="str">
        <f t="shared" si="1"/>
        <v>fabian faul nxp</v>
      </c>
      <c r="B787" s="19" t="s">
        <v>4682</v>
      </c>
      <c r="C787" s="29" t="s">
        <v>4683</v>
      </c>
      <c r="D787" s="29" t="s">
        <v>4684</v>
      </c>
      <c r="E787" s="30" t="s">
        <v>4685</v>
      </c>
      <c r="F787" s="29" t="s">
        <v>1910</v>
      </c>
      <c r="G787" s="32" t="s">
        <v>56</v>
      </c>
      <c r="H787" s="25" t="s">
        <v>139</v>
      </c>
      <c r="I787" s="23"/>
      <c r="J787" s="35" t="s">
        <v>4686</v>
      </c>
      <c r="K787" s="27" t="s">
        <v>50</v>
      </c>
      <c r="L787" s="27" t="s">
        <v>4687</v>
      </c>
      <c r="M787" s="26" t="str">
        <f>VLOOKUP(E787,'MTS 2026 registrations'!B:B,1,false)</f>
        <v>#N/A</v>
      </c>
      <c r="N787" s="26" t="str">
        <f>VLOOKUP(B787,'MTS 2026 registrations'!A:A,1,false)</f>
        <v>#N/A</v>
      </c>
      <c r="O787" s="38" t="str">
        <f t="shared" si="2"/>
        <v>Marked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34"/>
      <c r="AE787" s="34"/>
    </row>
    <row r="788" ht="12.75" customHeight="1">
      <c r="A788" s="19" t="str">
        <f t="shared" si="1"/>
        <v>Fabian Oberndorfer supplyz</v>
      </c>
      <c r="B788" s="19" t="s">
        <v>4688</v>
      </c>
      <c r="C788" s="20" t="s">
        <v>274</v>
      </c>
      <c r="D788" s="20" t="s">
        <v>4689</v>
      </c>
      <c r="E788" s="21" t="s">
        <v>4690</v>
      </c>
      <c r="F788" s="23" t="s">
        <v>695</v>
      </c>
      <c r="G788" s="32" t="s">
        <v>46</v>
      </c>
      <c r="H788" s="25" t="s">
        <v>47</v>
      </c>
      <c r="I788" s="23"/>
      <c r="J788" s="35" t="s">
        <v>4691</v>
      </c>
      <c r="K788" s="27" t="s">
        <v>50</v>
      </c>
      <c r="L788" s="13" t="s">
        <v>4692</v>
      </c>
      <c r="M788" s="26" t="str">
        <f>VLOOKUP(E788,'MTS 2026 registrations'!B:B,1,false)</f>
        <v>#N/A</v>
      </c>
      <c r="N788" s="26" t="str">
        <f>VLOOKUP(B788,'MTS 2026 registrations'!A:A,1,false)</f>
        <v>#N/A</v>
      </c>
      <c r="O788" s="38" t="str">
        <f t="shared" si="2"/>
        <v>Marked</v>
      </c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34"/>
      <c r="AE788" s="34"/>
    </row>
    <row r="789" ht="12.75" customHeight="1">
      <c r="A789" s="19" t="str">
        <f t="shared" si="1"/>
        <v>Fabian König PropTech1 Ventures</v>
      </c>
      <c r="B789" s="19" t="s">
        <v>4693</v>
      </c>
      <c r="C789" s="20" t="s">
        <v>274</v>
      </c>
      <c r="D789" s="20" t="s">
        <v>4694</v>
      </c>
      <c r="E789" s="21" t="s">
        <v>4695</v>
      </c>
      <c r="F789" s="49" t="s">
        <v>4696</v>
      </c>
      <c r="G789" s="24" t="s">
        <v>163</v>
      </c>
      <c r="H789" s="26" t="s">
        <v>164</v>
      </c>
      <c r="I789" s="13"/>
      <c r="J789" s="35" t="s">
        <v>4697</v>
      </c>
      <c r="K789" s="27" t="s">
        <v>50</v>
      </c>
      <c r="L789" s="25" t="s">
        <v>4698</v>
      </c>
      <c r="M789" s="26" t="str">
        <f>VLOOKUP(E789,'MTS 2026 registrations'!B:B,1,false)</f>
        <v>#N/A</v>
      </c>
      <c r="N789" s="26" t="str">
        <f>VLOOKUP(B789,'MTS 2026 registrations'!A:A,1,false)</f>
        <v>#N/A</v>
      </c>
      <c r="O789" s="38" t="str">
        <f t="shared" si="2"/>
        <v>Marked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</row>
    <row r="790" ht="12.75" customHeight="1">
      <c r="A790" s="19" t="str">
        <f t="shared" si="1"/>
        <v>Fabienne van der Klugt-Gram hortiheroes</v>
      </c>
      <c r="B790" s="19" t="s">
        <v>4699</v>
      </c>
      <c r="C790" s="60" t="s">
        <v>4700</v>
      </c>
      <c r="D790" s="60" t="s">
        <v>4701</v>
      </c>
      <c r="E790" s="62" t="s">
        <v>4702</v>
      </c>
      <c r="F790" s="64" t="s">
        <v>4703</v>
      </c>
      <c r="G790" s="24" t="s">
        <v>29</v>
      </c>
      <c r="H790" s="25" t="s">
        <v>139</v>
      </c>
      <c r="I790" s="23"/>
      <c r="J790" s="35" t="s">
        <v>4704</v>
      </c>
      <c r="K790" s="27" t="s">
        <v>50</v>
      </c>
      <c r="L790" s="13" t="s">
        <v>4705</v>
      </c>
      <c r="M790" s="26" t="str">
        <f>VLOOKUP(E790,'MTS 2026 registrations'!B:B,1,false)</f>
        <v>#N/A</v>
      </c>
      <c r="N790" s="26" t="str">
        <f>VLOOKUP(B790,'MTS 2026 registrations'!A:A,1,false)</f>
        <v>#N/A</v>
      </c>
      <c r="O790" s="38" t="str">
        <f t="shared" si="2"/>
        <v>Marked</v>
      </c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34"/>
      <c r="AE790" s="34"/>
    </row>
    <row r="791" ht="12.75" customHeight="1">
      <c r="A791" s="19" t="str">
        <f t="shared" si="1"/>
        <v>Fabiola Polli </v>
      </c>
      <c r="B791" s="19" t="s">
        <v>4706</v>
      </c>
      <c r="C791" s="20" t="s">
        <v>4707</v>
      </c>
      <c r="D791" s="20" t="s">
        <v>4708</v>
      </c>
      <c r="E791" s="21" t="s">
        <v>4709</v>
      </c>
      <c r="F791" s="52"/>
      <c r="G791" s="32" t="s">
        <v>46</v>
      </c>
      <c r="H791" s="25" t="s">
        <v>47</v>
      </c>
      <c r="I791" s="26"/>
      <c r="J791" s="35" t="s">
        <v>4710</v>
      </c>
      <c r="K791" s="27" t="s">
        <v>50</v>
      </c>
      <c r="L791" s="13" t="s">
        <v>4711</v>
      </c>
      <c r="M791" s="26" t="str">
        <f>VLOOKUP(E791,'MTS 2026 registrations'!B:B,1,false)</f>
        <v>#N/A</v>
      </c>
      <c r="N791" s="26" t="str">
        <f>VLOOKUP(B791,'MTS 2026 registrations'!A:A,1,false)</f>
        <v>#N/A</v>
      </c>
      <c r="O791" s="38" t="str">
        <f t="shared" si="2"/>
        <v>Marked</v>
      </c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2.75" customHeight="1">
      <c r="A792" s="19" t="str">
        <f t="shared" si="1"/>
        <v>Faizel Ghazi Independent</v>
      </c>
      <c r="B792" s="19" t="s">
        <v>4712</v>
      </c>
      <c r="C792" s="116" t="s">
        <v>4713</v>
      </c>
      <c r="D792" s="116" t="s">
        <v>4714</v>
      </c>
      <c r="E792" s="112" t="s">
        <v>4715</v>
      </c>
      <c r="F792" s="66" t="s">
        <v>1209</v>
      </c>
      <c r="G792" s="24" t="s">
        <v>225</v>
      </c>
      <c r="H792" s="25" t="s">
        <v>47</v>
      </c>
      <c r="I792" s="34"/>
      <c r="J792" s="35" t="s">
        <v>4716</v>
      </c>
      <c r="K792" s="27" t="s">
        <v>50</v>
      </c>
      <c r="L792" s="13" t="s">
        <v>4717</v>
      </c>
      <c r="M792" s="26" t="str">
        <f>VLOOKUP(E792,'MTS 2026 registrations'!B:B,1,false)</f>
        <v>#N/A</v>
      </c>
      <c r="N792" s="26" t="str">
        <f>VLOOKUP(B792,'MTS 2026 registrations'!A:A,1,false)</f>
        <v>#N/A</v>
      </c>
      <c r="O792" s="38" t="str">
        <f t="shared" si="2"/>
        <v>Marked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</row>
    <row r="793" ht="12.75" customHeight="1">
      <c r="A793" s="19" t="str">
        <f t="shared" si="1"/>
        <v>Felix Wassmann RESONIKS (SUPPLYZ)</v>
      </c>
      <c r="B793" s="19" t="s">
        <v>4718</v>
      </c>
      <c r="C793" s="29" t="s">
        <v>4719</v>
      </c>
      <c r="D793" s="29" t="s">
        <v>4720</v>
      </c>
      <c r="E793" s="31" t="s">
        <v>4721</v>
      </c>
      <c r="F793" s="33" t="s">
        <v>4722</v>
      </c>
      <c r="G793" s="24" t="s">
        <v>46</v>
      </c>
      <c r="H793" s="25" t="s">
        <v>47</v>
      </c>
      <c r="I793" s="34"/>
      <c r="J793" s="35" t="s">
        <v>4723</v>
      </c>
      <c r="K793" s="27" t="s">
        <v>50</v>
      </c>
      <c r="L793" s="13" t="s">
        <v>4724</v>
      </c>
      <c r="M793" s="26" t="str">
        <f>VLOOKUP(E793,'MTS 2026 registrations'!B:B,1,false)</f>
        <v>felix.wassmann@resoniks.com</v>
      </c>
      <c r="N793" s="26" t="str">
        <f>VLOOKUP(B793,'MTS 2026 registrations'!A:A,1,false)</f>
        <v>Felix Wassmann</v>
      </c>
      <c r="O793" s="38" t="str">
        <f t="shared" si="2"/>
        <v/>
      </c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23"/>
      <c r="AE793" s="23"/>
    </row>
    <row r="794" ht="12.75" customHeight="1">
      <c r="A794" s="19" t="str">
        <f t="shared" si="1"/>
        <v>Femke Verdegaal tudelft</v>
      </c>
      <c r="B794" s="19" t="s">
        <v>4725</v>
      </c>
      <c r="C794" s="60" t="s">
        <v>4726</v>
      </c>
      <c r="D794" s="60" t="s">
        <v>4727</v>
      </c>
      <c r="E794" s="62" t="s">
        <v>4728</v>
      </c>
      <c r="F794" s="64" t="s">
        <v>184</v>
      </c>
      <c r="G794" s="42" t="s">
        <v>43</v>
      </c>
      <c r="H794" s="25" t="s">
        <v>139</v>
      </c>
      <c r="I794" s="34"/>
      <c r="J794" s="35" t="s">
        <v>4729</v>
      </c>
      <c r="K794" s="27" t="s">
        <v>50</v>
      </c>
      <c r="L794" s="13" t="s">
        <v>4730</v>
      </c>
      <c r="M794" s="26" t="str">
        <f>VLOOKUP(E794,'MTS 2026 registrations'!B:B,1,false)</f>
        <v>#N/A</v>
      </c>
      <c r="N794" s="26" t="str">
        <f>VLOOKUP(B794,'MTS 2026 registrations'!A:A,1,false)</f>
        <v>#N/A</v>
      </c>
      <c r="O794" s="38" t="str">
        <f t="shared" si="2"/>
        <v>Marked</v>
      </c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2.75" customHeight="1">
      <c r="A795" s="19" t="str">
        <f t="shared" si="1"/>
        <v>Femke Brenninkmeijer nprc</v>
      </c>
      <c r="B795" s="19" t="s">
        <v>4731</v>
      </c>
      <c r="C795" s="60" t="s">
        <v>4726</v>
      </c>
      <c r="D795" s="60" t="s">
        <v>4732</v>
      </c>
      <c r="E795" s="62" t="s">
        <v>4733</v>
      </c>
      <c r="F795" s="64" t="s">
        <v>4734</v>
      </c>
      <c r="G795" s="42" t="s">
        <v>1306</v>
      </c>
      <c r="H795" s="25" t="s">
        <v>139</v>
      </c>
      <c r="I795" s="23"/>
      <c r="J795" s="35" t="s">
        <v>4735</v>
      </c>
      <c r="K795" s="27" t="s">
        <v>50</v>
      </c>
      <c r="L795" s="13" t="s">
        <v>4736</v>
      </c>
      <c r="M795" s="26" t="str">
        <f>VLOOKUP(E795,'MTS 2026 registrations'!B:B,1,false)</f>
        <v>#N/A</v>
      </c>
      <c r="N795" s="26" t="str">
        <f>VLOOKUP(B795,'MTS 2026 registrations'!A:A,1,false)</f>
        <v>#N/A</v>
      </c>
      <c r="O795" s="38" t="str">
        <f t="shared" si="2"/>
        <v>Marked</v>
      </c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2.75" customHeight="1">
      <c r="A796" s="19" t="str">
        <f t="shared" si="1"/>
        <v>Femke Markus spring-associates</v>
      </c>
      <c r="B796" s="19" t="s">
        <v>4737</v>
      </c>
      <c r="C796" s="20" t="s">
        <v>4726</v>
      </c>
      <c r="D796" s="20" t="s">
        <v>4738</v>
      </c>
      <c r="E796" s="21" t="s">
        <v>4739</v>
      </c>
      <c r="F796" s="23" t="s">
        <v>4740</v>
      </c>
      <c r="G796" s="24" t="s">
        <v>225</v>
      </c>
      <c r="H796" s="25" t="s">
        <v>47</v>
      </c>
      <c r="I796" s="23"/>
      <c r="J796" s="35" t="s">
        <v>4741</v>
      </c>
      <c r="K796" s="27" t="s">
        <v>50</v>
      </c>
      <c r="L796" s="13" t="s">
        <v>4742</v>
      </c>
      <c r="M796" s="26" t="str">
        <f>VLOOKUP(E796,'MTS 2026 registrations'!B:B,1,false)</f>
        <v>#N/A</v>
      </c>
      <c r="N796" s="26" t="str">
        <f>VLOOKUP(B796,'MTS 2026 registrations'!A:A,1,false)</f>
        <v>#N/A</v>
      </c>
      <c r="O796" s="38" t="str">
        <f t="shared" si="2"/>
        <v>Marked</v>
      </c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2.75" customHeight="1">
      <c r="A797" s="19" t="str">
        <f t="shared" si="1"/>
        <v>Femke Delissen PAVA</v>
      </c>
      <c r="B797" s="19" t="s">
        <v>4743</v>
      </c>
      <c r="C797" s="13" t="s">
        <v>4726</v>
      </c>
      <c r="D797" s="13" t="s">
        <v>4744</v>
      </c>
      <c r="E797" s="60" t="s">
        <v>4745</v>
      </c>
      <c r="F797" s="60" t="s">
        <v>4109</v>
      </c>
      <c r="G797" s="32" t="s">
        <v>46</v>
      </c>
      <c r="H797" s="25" t="s">
        <v>47</v>
      </c>
      <c r="I797" s="34"/>
      <c r="J797" s="35" t="s">
        <v>4746</v>
      </c>
      <c r="K797" s="27" t="s">
        <v>50</v>
      </c>
      <c r="L797" s="13" t="s">
        <v>4747</v>
      </c>
      <c r="M797" s="26" t="str">
        <f>VLOOKUP(E797,'MTS 2026 registrations'!B:B,1,false)</f>
        <v>#N/A</v>
      </c>
      <c r="N797" s="26" t="str">
        <f>VLOOKUP(B797,'MTS 2026 registrations'!A:A,1,false)</f>
        <v>#N/A</v>
      </c>
      <c r="O797" s="38" t="str">
        <f t="shared" si="2"/>
        <v>Marked</v>
      </c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23"/>
      <c r="AE797" s="23"/>
    </row>
    <row r="798" ht="12.75" customHeight="1">
      <c r="A798" s="19" t="str">
        <f t="shared" si="1"/>
        <v>Ferdinand Grapperhaus PhySee (Powerwindow)</v>
      </c>
      <c r="B798" s="19" t="s">
        <v>4748</v>
      </c>
      <c r="C798" s="29" t="s">
        <v>4749</v>
      </c>
      <c r="D798" s="29" t="s">
        <v>4750</v>
      </c>
      <c r="E798" s="31" t="s">
        <v>4751</v>
      </c>
      <c r="F798" s="33" t="s">
        <v>4752</v>
      </c>
      <c r="G798" s="24" t="s">
        <v>46</v>
      </c>
      <c r="H798" s="25" t="s">
        <v>47</v>
      </c>
      <c r="I798" s="34"/>
      <c r="J798" s="35" t="s">
        <v>4753</v>
      </c>
      <c r="K798" s="27" t="s">
        <v>50</v>
      </c>
      <c r="L798" s="13" t="s">
        <v>4754</v>
      </c>
      <c r="M798" s="26" t="str">
        <f>VLOOKUP(E798,'MTS 2026 registrations'!B:B,1,false)</f>
        <v>#N/A</v>
      </c>
      <c r="N798" s="26" t="str">
        <f>VLOOKUP(B798,'MTS 2026 registrations'!A:A,1,false)</f>
        <v>#N/A</v>
      </c>
      <c r="O798" s="38" t="str">
        <f t="shared" si="2"/>
        <v>Marked</v>
      </c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23"/>
      <c r="AE798" s="23"/>
    </row>
    <row r="799" ht="12.75" customHeight="1">
      <c r="A799" s="19" t="str">
        <f t="shared" si="1"/>
        <v>Ferrie Forster economicboardzuidholland</v>
      </c>
      <c r="B799" s="19" t="s">
        <v>4755</v>
      </c>
      <c r="C799" s="60" t="s">
        <v>4756</v>
      </c>
      <c r="D799" s="60" t="s">
        <v>4757</v>
      </c>
      <c r="E799" s="62" t="s">
        <v>4758</v>
      </c>
      <c r="F799" s="64" t="s">
        <v>4074</v>
      </c>
      <c r="G799" s="24" t="s">
        <v>29</v>
      </c>
      <c r="H799" s="25" t="s">
        <v>139</v>
      </c>
      <c r="I799" s="23"/>
      <c r="J799" s="35" t="s">
        <v>4759</v>
      </c>
      <c r="K799" s="27" t="s">
        <v>50</v>
      </c>
      <c r="L799" s="13" t="s">
        <v>4760</v>
      </c>
      <c r="M799" s="26" t="str">
        <f>VLOOKUP(E799,'MTS 2026 registrations'!B:B,1,false)</f>
        <v>#N/A</v>
      </c>
      <c r="N799" s="26" t="str">
        <f>VLOOKUP(B799,'MTS 2026 registrations'!A:A,1,false)</f>
        <v>#N/A</v>
      </c>
      <c r="O799" s="38" t="str">
        <f t="shared" si="2"/>
        <v>Marked</v>
      </c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34"/>
      <c r="AE799" s="34"/>
    </row>
    <row r="800" ht="12.75" customHeight="1">
      <c r="A800" s="19" t="str">
        <f t="shared" si="1"/>
        <v>Ferrie Förster innovationquarter</v>
      </c>
      <c r="B800" s="19" t="s">
        <v>4761</v>
      </c>
      <c r="C800" s="60" t="s">
        <v>4756</v>
      </c>
      <c r="D800" s="60" t="s">
        <v>4762</v>
      </c>
      <c r="E800" s="62" t="s">
        <v>4763</v>
      </c>
      <c r="F800" s="64" t="s">
        <v>161</v>
      </c>
      <c r="G800" s="24" t="s">
        <v>29</v>
      </c>
      <c r="H800" s="25" t="s">
        <v>139</v>
      </c>
      <c r="I800" s="23"/>
      <c r="J800" s="35" t="s">
        <v>4764</v>
      </c>
      <c r="K800" s="27" t="s">
        <v>50</v>
      </c>
      <c r="L800" s="13" t="s">
        <v>4765</v>
      </c>
      <c r="M800" s="26" t="str">
        <f>VLOOKUP(E800,'MTS 2026 registrations'!B:B,1,false)</f>
        <v>#N/A</v>
      </c>
      <c r="N800" s="26" t="str">
        <f>VLOOKUP(B800,'MTS 2026 registrations'!A:A,1,false)</f>
        <v>#N/A</v>
      </c>
      <c r="O800" s="38" t="str">
        <f t="shared" si="2"/>
        <v>Marked</v>
      </c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2.75" customHeight="1">
      <c r="A801" s="19" t="str">
        <f t="shared" si="1"/>
        <v>Ferry Tillekens denhaag</v>
      </c>
      <c r="B801" s="19" t="s">
        <v>4766</v>
      </c>
      <c r="C801" s="134" t="s">
        <v>4767</v>
      </c>
      <c r="D801" s="60" t="s">
        <v>4768</v>
      </c>
      <c r="E801" s="62" t="s">
        <v>4769</v>
      </c>
      <c r="F801" s="64" t="s">
        <v>738</v>
      </c>
      <c r="G801" s="42" t="s">
        <v>323</v>
      </c>
      <c r="H801" s="25" t="s">
        <v>139</v>
      </c>
      <c r="I801" s="23"/>
      <c r="J801" s="35" t="s">
        <v>4770</v>
      </c>
      <c r="K801" s="27" t="s">
        <v>50</v>
      </c>
      <c r="L801" s="13" t="s">
        <v>4771</v>
      </c>
      <c r="M801" s="26" t="str">
        <f>VLOOKUP(E801,'MTS 2026 registrations'!B:B,1,false)</f>
        <v>ferry.tillekens@denhaag.nl</v>
      </c>
      <c r="N801" s="26" t="str">
        <f>VLOOKUP(B801,'MTS 2026 registrations'!A:A,1,false)</f>
        <v>Ferry Tillekens</v>
      </c>
      <c r="O801" s="38" t="str">
        <f t="shared" si="2"/>
        <v/>
      </c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2.75" customHeight="1">
      <c r="A802" s="19" t="str">
        <f t="shared" si="1"/>
        <v>Fiebke Opdemacks Novuqare Pelvic Health (Maxam Medical)</v>
      </c>
      <c r="B802" s="19" t="s">
        <v>4772</v>
      </c>
      <c r="C802" s="29" t="s">
        <v>4773</v>
      </c>
      <c r="D802" s="29" t="s">
        <v>4774</v>
      </c>
      <c r="E802" s="31" t="s">
        <v>4775</v>
      </c>
      <c r="F802" s="33" t="s">
        <v>4776</v>
      </c>
      <c r="G802" s="32" t="s">
        <v>46</v>
      </c>
      <c r="H802" s="25" t="s">
        <v>47</v>
      </c>
      <c r="I802" s="34"/>
      <c r="J802" s="35" t="s">
        <v>4777</v>
      </c>
      <c r="K802" s="27" t="s">
        <v>50</v>
      </c>
      <c r="L802" s="27" t="s">
        <v>4778</v>
      </c>
      <c r="M802" s="26" t="str">
        <f>VLOOKUP(E802,'MTS 2026 registrations'!B:B,1,false)</f>
        <v>#N/A</v>
      </c>
      <c r="N802" s="26" t="str">
        <f>VLOOKUP(B802,'MTS 2026 registrations'!A:A,1,false)</f>
        <v>#N/A</v>
      </c>
      <c r="O802" s="38" t="str">
        <f t="shared" si="2"/>
        <v>Marked</v>
      </c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23"/>
      <c r="AE802" s="23"/>
    </row>
    <row r="803" ht="12.75" customHeight="1">
      <c r="A803" s="19" t="str">
        <f t="shared" si="1"/>
        <v>Flip Van Haren Projectcampus (Shareworks)</v>
      </c>
      <c r="B803" s="19" t="s">
        <v>4779</v>
      </c>
      <c r="C803" s="29" t="s">
        <v>4780</v>
      </c>
      <c r="D803" s="29" t="s">
        <v>4781</v>
      </c>
      <c r="E803" s="31" t="s">
        <v>4782</v>
      </c>
      <c r="F803" s="33" t="s">
        <v>4783</v>
      </c>
      <c r="G803" s="32" t="s">
        <v>46</v>
      </c>
      <c r="H803" s="25" t="s">
        <v>47</v>
      </c>
      <c r="I803" s="34"/>
      <c r="J803" s="35" t="s">
        <v>4784</v>
      </c>
      <c r="K803" s="27" t="s">
        <v>50</v>
      </c>
      <c r="L803" s="13" t="s">
        <v>4785</v>
      </c>
      <c r="M803" s="26" t="str">
        <f>VLOOKUP(E803,'MTS 2026 registrations'!B:B,1,false)</f>
        <v>#N/A</v>
      </c>
      <c r="N803" s="26" t="str">
        <f>VLOOKUP(B803,'MTS 2026 registrations'!A:A,1,false)</f>
        <v>#N/A</v>
      </c>
      <c r="O803" s="38" t="str">
        <f t="shared" si="2"/>
        <v>Marked</v>
      </c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23"/>
      <c r="AE803" s="23"/>
    </row>
    <row r="804" ht="12.75" customHeight="1">
      <c r="A804" s="19" t="str">
        <f t="shared" si="1"/>
        <v>Fliz tvilight</v>
      </c>
      <c r="B804" s="19" t="s">
        <v>4786</v>
      </c>
      <c r="C804" s="20" t="s">
        <v>4786</v>
      </c>
      <c r="D804" s="20"/>
      <c r="E804" s="21" t="s">
        <v>4787</v>
      </c>
      <c r="F804" s="23" t="s">
        <v>3939</v>
      </c>
      <c r="G804" s="32" t="s">
        <v>46</v>
      </c>
      <c r="H804" s="25" t="s">
        <v>47</v>
      </c>
      <c r="I804" s="26"/>
      <c r="J804" s="35" t="s">
        <v>4788</v>
      </c>
      <c r="K804" s="27" t="s">
        <v>50</v>
      </c>
      <c r="L804" s="13" t="s">
        <v>4789</v>
      </c>
      <c r="M804" s="26" t="str">
        <f>VLOOKUP(E804,'MTS 2026 registrations'!B:B,1,false)</f>
        <v>#N/A</v>
      </c>
      <c r="N804" s="26" t="str">
        <f>VLOOKUP(B804,'MTS 2026 registrations'!A:A,1,false)</f>
        <v>#N/A</v>
      </c>
      <c r="O804" s="38" t="str">
        <f t="shared" si="2"/>
        <v>Marked</v>
      </c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2.75" customHeight="1">
      <c r="A805" s="19" t="str">
        <f t="shared" si="1"/>
        <v>Flo Pattiwael Photon Ventures</v>
      </c>
      <c r="B805" s="19" t="s">
        <v>4790</v>
      </c>
      <c r="C805" s="116" t="s">
        <v>4791</v>
      </c>
      <c r="D805" s="117" t="s">
        <v>4792</v>
      </c>
      <c r="E805" s="128" t="s">
        <v>4793</v>
      </c>
      <c r="F805" s="66" t="s">
        <v>4794</v>
      </c>
      <c r="G805" s="42" t="s">
        <v>163</v>
      </c>
      <c r="H805" s="25" t="s">
        <v>164</v>
      </c>
      <c r="I805" s="34"/>
      <c r="J805" s="35" t="s">
        <v>4795</v>
      </c>
      <c r="K805" s="27" t="s">
        <v>50</v>
      </c>
      <c r="L805" s="13" t="s">
        <v>4796</v>
      </c>
      <c r="M805" s="26" t="str">
        <f>VLOOKUP(E805,'MTS 2026 registrations'!B:B,1,false)</f>
        <v>#N/A</v>
      </c>
      <c r="N805" s="26" t="str">
        <f>VLOOKUP(B805,'MTS 2026 registrations'!A:A,1,false)</f>
        <v>#N/A</v>
      </c>
      <c r="O805" s="38" t="str">
        <f t="shared" si="2"/>
        <v>Marked</v>
      </c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23"/>
      <c r="AE805" s="23"/>
    </row>
    <row r="806" ht="12.75" customHeight="1">
      <c r="A806" s="19" t="str">
        <f t="shared" si="1"/>
        <v>Floor van Wingerden perpetuum</v>
      </c>
      <c r="B806" s="19" t="s">
        <v>4797</v>
      </c>
      <c r="C806" s="60" t="s">
        <v>4798</v>
      </c>
      <c r="D806" s="60" t="s">
        <v>4799</v>
      </c>
      <c r="E806" s="62" t="s">
        <v>4800</v>
      </c>
      <c r="F806" s="64" t="s">
        <v>4801</v>
      </c>
      <c r="G806" s="24" t="s">
        <v>46</v>
      </c>
      <c r="H806" s="25" t="s">
        <v>139</v>
      </c>
      <c r="I806" s="23"/>
      <c r="J806" s="35" t="s">
        <v>4802</v>
      </c>
      <c r="K806" s="27" t="s">
        <v>50</v>
      </c>
      <c r="L806" s="13" t="s">
        <v>4803</v>
      </c>
      <c r="M806" s="26" t="str">
        <f>VLOOKUP(E806,'MTS 2026 registrations'!B:B,1,false)</f>
        <v>#N/A</v>
      </c>
      <c r="N806" s="26" t="str">
        <f>VLOOKUP(B806,'MTS 2026 registrations'!A:A,1,false)</f>
        <v>#N/A</v>
      </c>
      <c r="O806" s="38" t="str">
        <f t="shared" si="2"/>
        <v>Marked</v>
      </c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2.75" customHeight="1">
      <c r="A807" s="19" t="str">
        <f t="shared" si="1"/>
        <v>Florentine Fockema shiftinvest</v>
      </c>
      <c r="B807" s="19" t="s">
        <v>4804</v>
      </c>
      <c r="C807" s="20" t="s">
        <v>4805</v>
      </c>
      <c r="D807" s="20" t="s">
        <v>4806</v>
      </c>
      <c r="E807" s="21" t="s">
        <v>4807</v>
      </c>
      <c r="F807" s="23" t="s">
        <v>4808</v>
      </c>
      <c r="G807" s="24" t="s">
        <v>163</v>
      </c>
      <c r="H807" s="25" t="s">
        <v>164</v>
      </c>
      <c r="I807" s="52"/>
      <c r="J807" s="35" t="s">
        <v>4809</v>
      </c>
      <c r="K807" s="27" t="s">
        <v>50</v>
      </c>
      <c r="L807" s="13" t="s">
        <v>4810</v>
      </c>
      <c r="M807" s="26" t="str">
        <f>VLOOKUP(E807,'MTS 2026 registrations'!B:B,1,false)</f>
        <v>#N/A</v>
      </c>
      <c r="N807" s="26" t="str">
        <f>VLOOKUP(B807,'MTS 2026 registrations'!A:A,1,false)</f>
        <v>#N/A</v>
      </c>
      <c r="O807" s="38" t="str">
        <f t="shared" si="2"/>
        <v>Marked</v>
      </c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2.75" customHeight="1">
      <c r="A808" s="19" t="str">
        <f t="shared" si="1"/>
        <v>Florian Ludwig thujacapital</v>
      </c>
      <c r="B808" s="19" t="s">
        <v>4811</v>
      </c>
      <c r="C808" s="20" t="s">
        <v>4812</v>
      </c>
      <c r="D808" s="20" t="s">
        <v>4813</v>
      </c>
      <c r="E808" s="21" t="s">
        <v>4814</v>
      </c>
      <c r="F808" s="23" t="s">
        <v>4815</v>
      </c>
      <c r="G808" s="24" t="s">
        <v>163</v>
      </c>
      <c r="H808" s="25" t="s">
        <v>164</v>
      </c>
      <c r="I808" s="23"/>
      <c r="J808" s="35" t="s">
        <v>4816</v>
      </c>
      <c r="K808" s="27" t="s">
        <v>50</v>
      </c>
      <c r="L808" s="13" t="s">
        <v>4817</v>
      </c>
      <c r="M808" s="26" t="str">
        <f>VLOOKUP(E808,'MTS 2026 registrations'!B:B,1,false)</f>
        <v>#N/A</v>
      </c>
      <c r="N808" s="26" t="str">
        <f>VLOOKUP(B808,'MTS 2026 registrations'!A:A,1,false)</f>
        <v>#N/A</v>
      </c>
      <c r="O808" s="38" t="str">
        <f t="shared" si="2"/>
        <v>Marked</v>
      </c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2.75" customHeight="1">
      <c r="A809" s="19" t="str">
        <f t="shared" si="1"/>
        <v>Florian Schneider Nerdalize</v>
      </c>
      <c r="B809" s="19" t="s">
        <v>4818</v>
      </c>
      <c r="C809" s="29" t="s">
        <v>4812</v>
      </c>
      <c r="D809" s="29" t="s">
        <v>578</v>
      </c>
      <c r="E809" s="62" t="s">
        <v>4819</v>
      </c>
      <c r="F809" s="50" t="s">
        <v>843</v>
      </c>
      <c r="G809" s="32" t="s">
        <v>46</v>
      </c>
      <c r="H809" s="25" t="s">
        <v>139</v>
      </c>
      <c r="I809" s="23"/>
      <c r="J809" s="35" t="s">
        <v>4820</v>
      </c>
      <c r="K809" s="27" t="s">
        <v>50</v>
      </c>
      <c r="L809" s="13" t="s">
        <v>4821</v>
      </c>
      <c r="M809" s="26" t="str">
        <f>VLOOKUP(E809,'MTS 2026 registrations'!B:B,1,false)</f>
        <v>#N/A</v>
      </c>
      <c r="N809" s="26" t="str">
        <f>VLOOKUP(B809,'MTS 2026 registrations'!A:A,1,false)</f>
        <v>#N/A</v>
      </c>
      <c r="O809" s="38" t="str">
        <f t="shared" si="2"/>
        <v>Marked</v>
      </c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2.75" customHeight="1">
      <c r="A810" s="19" t="str">
        <f t="shared" si="1"/>
        <v>Florian Obst speedinvest</v>
      </c>
      <c r="B810" s="19" t="s">
        <v>4822</v>
      </c>
      <c r="C810" s="20" t="s">
        <v>4812</v>
      </c>
      <c r="D810" s="20" t="s">
        <v>4823</v>
      </c>
      <c r="E810" s="21" t="s">
        <v>4824</v>
      </c>
      <c r="F810" s="23" t="s">
        <v>1337</v>
      </c>
      <c r="G810" s="24" t="s">
        <v>163</v>
      </c>
      <c r="H810" s="25" t="s">
        <v>164</v>
      </c>
      <c r="I810" s="23"/>
      <c r="J810" s="35" t="s">
        <v>4825</v>
      </c>
      <c r="K810" s="27" t="s">
        <v>50</v>
      </c>
      <c r="L810" s="13" t="s">
        <v>4826</v>
      </c>
      <c r="M810" s="26" t="str">
        <f>VLOOKUP(E810,'MTS 2026 registrations'!B:B,1,false)</f>
        <v>#N/A</v>
      </c>
      <c r="N810" s="26" t="str">
        <f>VLOOKUP(B810,'MTS 2026 registrations'!A:A,1,false)</f>
        <v>#N/A</v>
      </c>
      <c r="O810" s="38" t="str">
        <f t="shared" si="2"/>
        <v>Marked</v>
      </c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2.75" customHeight="1">
      <c r="A811" s="19" t="str">
        <f t="shared" si="1"/>
        <v>Florian Arthur Witsenburg tygron</v>
      </c>
      <c r="B811" s="19" t="s">
        <v>4827</v>
      </c>
      <c r="C811" s="20" t="s">
        <v>4812</v>
      </c>
      <c r="D811" s="20" t="s">
        <v>4828</v>
      </c>
      <c r="E811" s="21" t="s">
        <v>4829</v>
      </c>
      <c r="F811" s="23" t="s">
        <v>4830</v>
      </c>
      <c r="G811" s="32" t="s">
        <v>46</v>
      </c>
      <c r="H811" s="25" t="s">
        <v>47</v>
      </c>
      <c r="I811" s="26"/>
      <c r="J811" s="35" t="s">
        <v>4831</v>
      </c>
      <c r="K811" s="27" t="s">
        <v>50</v>
      </c>
      <c r="L811" s="13" t="s">
        <v>4832</v>
      </c>
      <c r="M811" s="26" t="str">
        <f>VLOOKUP(E811,'MTS 2026 registrations'!B:B,1,false)</f>
        <v>#N/A</v>
      </c>
      <c r="N811" s="26" t="str">
        <f>VLOOKUP(B811,'MTS 2026 registrations'!A:A,1,false)</f>
        <v>#N/A</v>
      </c>
      <c r="O811" s="38" t="str">
        <f t="shared" si="2"/>
        <v>Marked</v>
      </c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2.75" customHeight="1">
      <c r="A812" s="19" t="str">
        <f t="shared" si="1"/>
        <v>Florijn de Graaf smarthoods</v>
      </c>
      <c r="B812" s="19" t="s">
        <v>4833</v>
      </c>
      <c r="C812" s="20" t="s">
        <v>4834</v>
      </c>
      <c r="D812" s="93" t="s">
        <v>2904</v>
      </c>
      <c r="E812" s="94" t="s">
        <v>4835</v>
      </c>
      <c r="F812" s="23" t="s">
        <v>4836</v>
      </c>
      <c r="G812" s="32" t="s">
        <v>46</v>
      </c>
      <c r="H812" s="25" t="s">
        <v>47</v>
      </c>
      <c r="I812" s="23"/>
      <c r="J812" s="35" t="s">
        <v>4837</v>
      </c>
      <c r="K812" s="27" t="s">
        <v>50</v>
      </c>
      <c r="L812" s="13" t="s">
        <v>4838</v>
      </c>
      <c r="M812" s="26" t="str">
        <f>VLOOKUP(E812,'MTS 2026 registrations'!B:B,1,false)</f>
        <v>#N/A</v>
      </c>
      <c r="N812" s="26" t="str">
        <f>VLOOKUP(B812,'MTS 2026 registrations'!A:A,1,false)</f>
        <v>#N/A</v>
      </c>
      <c r="O812" s="38" t="str">
        <f t="shared" si="2"/>
        <v>Marked</v>
      </c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2.75" customHeight="1">
      <c r="A813" s="19" t="str">
        <f t="shared" si="1"/>
        <v>Floris Achterberg villari</v>
      </c>
      <c r="B813" s="19" t="s">
        <v>4839</v>
      </c>
      <c r="C813" s="20" t="s">
        <v>2382</v>
      </c>
      <c r="D813" s="20" t="s">
        <v>4840</v>
      </c>
      <c r="E813" s="21" t="s">
        <v>4841</v>
      </c>
      <c r="F813" s="23" t="s">
        <v>2756</v>
      </c>
      <c r="G813" s="32" t="s">
        <v>46</v>
      </c>
      <c r="H813" s="25" t="s">
        <v>47</v>
      </c>
      <c r="I813" s="26"/>
      <c r="J813" s="35" t="s">
        <v>4842</v>
      </c>
      <c r="K813" s="27" t="s">
        <v>50</v>
      </c>
      <c r="L813" s="13" t="s">
        <v>4843</v>
      </c>
      <c r="M813" s="26" t="str">
        <f>VLOOKUP(E813,'MTS 2026 registrations'!B:B,1,false)</f>
        <v>#N/A</v>
      </c>
      <c r="N813" s="26" t="str">
        <f>VLOOKUP(B813,'MTS 2026 registrations'!A:A,1,false)</f>
        <v>#N/A</v>
      </c>
      <c r="O813" s="38" t="str">
        <f t="shared" si="2"/>
        <v>Marked</v>
      </c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2.75" customHeight="1">
      <c r="A814" s="19" t="str">
        <f t="shared" si="1"/>
        <v>Francesca Devrient Independent</v>
      </c>
      <c r="B814" s="19" t="s">
        <v>4844</v>
      </c>
      <c r="C814" s="13" t="s">
        <v>4845</v>
      </c>
      <c r="D814" s="13" t="s">
        <v>4846</v>
      </c>
      <c r="E814" s="13" t="s">
        <v>4847</v>
      </c>
      <c r="F814" s="66" t="s">
        <v>1209</v>
      </c>
      <c r="G814" s="24" t="s">
        <v>225</v>
      </c>
      <c r="H814" s="25" t="s">
        <v>47</v>
      </c>
      <c r="I814" s="34"/>
      <c r="J814" s="35" t="s">
        <v>4848</v>
      </c>
      <c r="K814" s="27" t="s">
        <v>50</v>
      </c>
      <c r="L814" s="13" t="s">
        <v>4849</v>
      </c>
      <c r="M814" s="26" t="str">
        <f>VLOOKUP(E814,'MTS 2026 registrations'!B:B,1,false)</f>
        <v>#N/A</v>
      </c>
      <c r="N814" s="26" t="str">
        <f>VLOOKUP(B814,'MTS 2026 registrations'!A:A,1,false)</f>
        <v>#N/A</v>
      </c>
      <c r="O814" s="38" t="str">
        <f t="shared" si="2"/>
        <v>Marked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</row>
    <row r="815" ht="12.75" customHeight="1">
      <c r="A815" s="19" t="str">
        <f t="shared" si="1"/>
        <v>Frank Groeneveld kplusv</v>
      </c>
      <c r="B815" s="19" t="s">
        <v>4850</v>
      </c>
      <c r="C815" s="20" t="s">
        <v>646</v>
      </c>
      <c r="D815" s="20" t="s">
        <v>2372</v>
      </c>
      <c r="E815" s="21" t="s">
        <v>4851</v>
      </c>
      <c r="F815" s="23" t="s">
        <v>4852</v>
      </c>
      <c r="G815" s="24" t="s">
        <v>163</v>
      </c>
      <c r="H815" s="25" t="s">
        <v>164</v>
      </c>
      <c r="I815" s="23"/>
      <c r="J815" s="35" t="s">
        <v>4853</v>
      </c>
      <c r="K815" s="27" t="s">
        <v>50</v>
      </c>
      <c r="L815" s="13" t="s">
        <v>4854</v>
      </c>
      <c r="M815" s="26" t="str">
        <f>VLOOKUP(E815,'MTS 2026 registrations'!B:B,1,false)</f>
        <v>#N/A</v>
      </c>
      <c r="N815" s="26" t="str">
        <f>VLOOKUP(B815,'MTS 2026 registrations'!A:A,1,false)</f>
        <v>#N/A</v>
      </c>
      <c r="O815" s="38" t="str">
        <f t="shared" si="2"/>
        <v>Marked</v>
      </c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2.75" customHeight="1">
      <c r="A816" s="19" t="str">
        <f t="shared" si="1"/>
        <v>Frank Schuyer </v>
      </c>
      <c r="B816" s="19" t="s">
        <v>4855</v>
      </c>
      <c r="C816" s="29" t="s">
        <v>646</v>
      </c>
      <c r="D816" s="29" t="s">
        <v>4856</v>
      </c>
      <c r="E816" s="30" t="s">
        <v>4857</v>
      </c>
      <c r="F816" s="72"/>
      <c r="G816" s="32" t="s">
        <v>46</v>
      </c>
      <c r="H816" s="13" t="s">
        <v>213</v>
      </c>
      <c r="I816" s="34"/>
      <c r="J816" s="35" t="s">
        <v>4858</v>
      </c>
      <c r="K816" s="27" t="s">
        <v>50</v>
      </c>
      <c r="L816" s="13" t="s">
        <v>4859</v>
      </c>
      <c r="M816" s="26" t="str">
        <f>VLOOKUP(E816,'MTS 2026 registrations'!B:B,1,false)</f>
        <v>#N/A</v>
      </c>
      <c r="N816" s="26" t="str">
        <f>VLOOKUP(B816,'MTS 2026 registrations'!A:A,1,false)</f>
        <v>#N/A</v>
      </c>
      <c r="O816" s="38" t="str">
        <f t="shared" si="2"/>
        <v>Marked</v>
      </c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2.75" customHeight="1">
      <c r="A817" s="19" t="str">
        <f t="shared" si="1"/>
        <v>Frank Anema sd-insights</v>
      </c>
      <c r="B817" s="19" t="s">
        <v>4860</v>
      </c>
      <c r="C817" s="20" t="s">
        <v>646</v>
      </c>
      <c r="D817" s="20" t="s">
        <v>4861</v>
      </c>
      <c r="E817" s="123" t="s">
        <v>4862</v>
      </c>
      <c r="F817" s="23" t="s">
        <v>4863</v>
      </c>
      <c r="G817" s="44" t="s">
        <v>46</v>
      </c>
      <c r="H817" s="25" t="s">
        <v>47</v>
      </c>
      <c r="I817" s="23"/>
      <c r="J817" s="35" t="s">
        <v>4864</v>
      </c>
      <c r="K817" s="27" t="s">
        <v>50</v>
      </c>
      <c r="L817" s="25" t="s">
        <v>4865</v>
      </c>
      <c r="M817" s="26" t="str">
        <f>VLOOKUP(E817,'MTS 2026 registrations'!B:B,1,false)</f>
        <v>#N/A</v>
      </c>
      <c r="N817" s="26" t="str">
        <f>VLOOKUP(B817,'MTS 2026 registrations'!A:A,1,false)</f>
        <v>#N/A</v>
      </c>
      <c r="O817" s="38" t="str">
        <f t="shared" si="2"/>
        <v>Marked</v>
      </c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2.75" customHeight="1">
      <c r="A818" s="19" t="str">
        <f t="shared" si="1"/>
        <v>Frank van Os </v>
      </c>
      <c r="B818" s="19" t="s">
        <v>4866</v>
      </c>
      <c r="C818" s="20" t="s">
        <v>646</v>
      </c>
      <c r="D818" s="20" t="s">
        <v>3990</v>
      </c>
      <c r="E818" s="21" t="s">
        <v>4867</v>
      </c>
      <c r="F818" s="52"/>
      <c r="G818" s="24" t="s">
        <v>29</v>
      </c>
      <c r="H818" s="25" t="s">
        <v>47</v>
      </c>
      <c r="I818" s="26"/>
      <c r="J818" s="35" t="s">
        <v>4868</v>
      </c>
      <c r="K818" s="27" t="s">
        <v>50</v>
      </c>
      <c r="L818" s="27" t="s">
        <v>4869</v>
      </c>
      <c r="M818" s="26" t="str">
        <f>VLOOKUP(E818,'MTS 2026 registrations'!B:B,1,false)</f>
        <v>#N/A</v>
      </c>
      <c r="N818" s="26" t="str">
        <f>VLOOKUP(B818,'MTS 2026 registrations'!A:A,1,false)</f>
        <v>#N/A</v>
      </c>
      <c r="O818" s="38" t="str">
        <f t="shared" si="2"/>
        <v>Marked</v>
      </c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2.75" customHeight="1">
      <c r="A819" s="19" t="str">
        <f t="shared" si="1"/>
        <v>Frank Smallegange franksmallegange</v>
      </c>
      <c r="B819" s="19" t="s">
        <v>4870</v>
      </c>
      <c r="C819" s="20" t="s">
        <v>4871</v>
      </c>
      <c r="D819" s="20" t="s">
        <v>4872</v>
      </c>
      <c r="E819" s="62" t="s">
        <v>4873</v>
      </c>
      <c r="F819" s="23" t="s">
        <v>4874</v>
      </c>
      <c r="G819" s="24" t="s">
        <v>225</v>
      </c>
      <c r="H819" s="25" t="s">
        <v>47</v>
      </c>
      <c r="I819" s="23"/>
      <c r="J819" s="35" t="s">
        <v>4875</v>
      </c>
      <c r="K819" s="27" t="s">
        <v>50</v>
      </c>
      <c r="L819" s="13" t="s">
        <v>4876</v>
      </c>
      <c r="M819" s="26" t="str">
        <f>VLOOKUP(E819,'MTS 2026 registrations'!B:B,1,false)</f>
        <v>#N/A</v>
      </c>
      <c r="N819" s="26" t="str">
        <f>VLOOKUP(B819,'MTS 2026 registrations'!A:A,1,false)</f>
        <v>#N/A</v>
      </c>
      <c r="O819" s="38" t="str">
        <f t="shared" si="2"/>
        <v>Marked</v>
      </c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2.75" customHeight="1">
      <c r="A820" s="19" t="str">
        <f t="shared" si="1"/>
        <v>Frank-Jan Van Waveren EXO-L</v>
      </c>
      <c r="B820" s="19" t="s">
        <v>4877</v>
      </c>
      <c r="C820" s="29" t="s">
        <v>4878</v>
      </c>
      <c r="D820" s="29" t="s">
        <v>4879</v>
      </c>
      <c r="E820" s="31" t="s">
        <v>4880</v>
      </c>
      <c r="F820" s="33" t="s">
        <v>4881</v>
      </c>
      <c r="G820" s="24" t="s">
        <v>46</v>
      </c>
      <c r="H820" s="25" t="s">
        <v>47</v>
      </c>
      <c r="I820" s="34"/>
      <c r="J820" s="35" t="s">
        <v>4882</v>
      </c>
      <c r="K820" s="27" t="s">
        <v>50</v>
      </c>
      <c r="L820" s="13" t="s">
        <v>4883</v>
      </c>
      <c r="M820" s="26" t="str">
        <f>VLOOKUP(E820,'MTS 2026 registrations'!B:B,1,false)</f>
        <v>#N/A</v>
      </c>
      <c r="N820" s="26" t="str">
        <f>VLOOKUP(B820,'MTS 2026 registrations'!A:A,1,false)</f>
        <v>#N/A</v>
      </c>
      <c r="O820" s="38" t="str">
        <f t="shared" si="2"/>
        <v>Marked</v>
      </c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23"/>
      <c r="AE820" s="23"/>
    </row>
    <row r="821" ht="12.75" customHeight="1">
      <c r="A821" s="19" t="str">
        <f t="shared" si="1"/>
        <v>Frans Bakker ploum</v>
      </c>
      <c r="B821" s="19" t="s">
        <v>4884</v>
      </c>
      <c r="C821" s="29" t="s">
        <v>1690</v>
      </c>
      <c r="D821" s="29" t="s">
        <v>1516</v>
      </c>
      <c r="E821" s="30" t="s">
        <v>4885</v>
      </c>
      <c r="F821" s="29" t="s">
        <v>4886</v>
      </c>
      <c r="G821" s="32" t="s">
        <v>56</v>
      </c>
      <c r="H821" s="13" t="s">
        <v>213</v>
      </c>
      <c r="I821" s="23"/>
      <c r="J821" s="35" t="s">
        <v>4887</v>
      </c>
      <c r="K821" s="27" t="s">
        <v>50</v>
      </c>
      <c r="L821" s="13" t="s">
        <v>4888</v>
      </c>
      <c r="M821" s="26" t="str">
        <f>VLOOKUP(E821,'MTS 2026 registrations'!B:B,1,false)</f>
        <v>#N/A</v>
      </c>
      <c r="N821" s="26" t="str">
        <f>VLOOKUP(B821,'MTS 2026 registrations'!A:A,1,false)</f>
        <v>#N/A</v>
      </c>
      <c r="O821" s="38" t="str">
        <f t="shared" si="2"/>
        <v>Marked</v>
      </c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34"/>
      <c r="AE821" s="34"/>
    </row>
    <row r="822" ht="12.75" customHeight="1">
      <c r="A822" s="19" t="str">
        <f t="shared" si="1"/>
        <v>Frans van Houten </v>
      </c>
      <c r="B822" s="19" t="s">
        <v>4889</v>
      </c>
      <c r="C822" s="60" t="s">
        <v>1690</v>
      </c>
      <c r="D822" s="60" t="s">
        <v>4890</v>
      </c>
      <c r="E822" s="62" t="s">
        <v>4891</v>
      </c>
      <c r="F822" s="64"/>
      <c r="G822" s="42" t="s">
        <v>1306</v>
      </c>
      <c r="H822" s="25" t="s">
        <v>139</v>
      </c>
      <c r="I822" s="34"/>
      <c r="J822" s="35" t="s">
        <v>4892</v>
      </c>
      <c r="K822" s="27" t="s">
        <v>50</v>
      </c>
      <c r="L822" s="13" t="s">
        <v>4893</v>
      </c>
      <c r="M822" s="26" t="str">
        <f>VLOOKUP(E822,'MTS 2026 registrations'!B:B,1,false)</f>
        <v>#N/A</v>
      </c>
      <c r="N822" s="26" t="str">
        <f>VLOOKUP(B822,'MTS 2026 registrations'!A:A,1,false)</f>
        <v>#N/A</v>
      </c>
      <c r="O822" s="38" t="str">
        <f t="shared" si="2"/>
        <v>Marked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2.75" customHeight="1">
      <c r="A823" s="19" t="str">
        <f t="shared" si="1"/>
        <v>Frans Haafkens i4hi</v>
      </c>
      <c r="B823" s="19" t="s">
        <v>4894</v>
      </c>
      <c r="C823" s="138" t="s">
        <v>1690</v>
      </c>
      <c r="D823" s="138" t="s">
        <v>4895</v>
      </c>
      <c r="E823" s="139" t="s">
        <v>4896</v>
      </c>
      <c r="F823" s="75" t="s">
        <v>4897</v>
      </c>
      <c r="G823" s="24" t="s">
        <v>1306</v>
      </c>
      <c r="H823" s="25" t="s">
        <v>139</v>
      </c>
      <c r="I823" s="23"/>
      <c r="J823" s="35" t="s">
        <v>4898</v>
      </c>
      <c r="K823" s="27" t="s">
        <v>50</v>
      </c>
      <c r="L823" s="13" t="s">
        <v>4899</v>
      </c>
      <c r="M823" s="26" t="str">
        <f>VLOOKUP(E823,'MTS 2026 registrations'!B:B,1,false)</f>
        <v>#N/A</v>
      </c>
      <c r="N823" s="26" t="str">
        <f>VLOOKUP(B823,'MTS 2026 registrations'!A:A,1,false)</f>
        <v>#N/A</v>
      </c>
      <c r="O823" s="38" t="str">
        <f t="shared" si="2"/>
        <v>Marked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2.75" customHeight="1">
      <c r="A824" s="19" t="str">
        <f t="shared" si="1"/>
        <v>Frans Duijnen Xinas (Delight Interactive Solutions)</v>
      </c>
      <c r="B824" s="19" t="s">
        <v>4900</v>
      </c>
      <c r="C824" s="29" t="s">
        <v>1690</v>
      </c>
      <c r="D824" s="29" t="s">
        <v>4901</v>
      </c>
      <c r="E824" s="128" t="s">
        <v>4902</v>
      </c>
      <c r="F824" s="33" t="s">
        <v>4903</v>
      </c>
      <c r="G824" s="24" t="s">
        <v>46</v>
      </c>
      <c r="H824" s="25" t="s">
        <v>47</v>
      </c>
      <c r="I824" s="34"/>
      <c r="J824" s="35" t="s">
        <v>4904</v>
      </c>
      <c r="K824" s="27" t="s">
        <v>50</v>
      </c>
      <c r="L824" s="13" t="s">
        <v>4905</v>
      </c>
      <c r="M824" s="26" t="str">
        <f>VLOOKUP(E824,'MTS 2026 registrations'!B:B,1,false)</f>
        <v>#N/A</v>
      </c>
      <c r="N824" s="26" t="str">
        <f>VLOOKUP(B824,'MTS 2026 registrations'!A:A,1,false)</f>
        <v>#N/A</v>
      </c>
      <c r="O824" s="38" t="str">
        <f t="shared" si="2"/>
        <v>Marked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</row>
    <row r="825" ht="12.75" customHeight="1">
      <c r="A825" s="19" t="str">
        <f t="shared" si="1"/>
        <v>Frans ter Laan Mentor NEC</v>
      </c>
      <c r="B825" s="19" t="s">
        <v>4906</v>
      </c>
      <c r="C825" s="116" t="s">
        <v>1690</v>
      </c>
      <c r="D825" s="117" t="s">
        <v>4907</v>
      </c>
      <c r="E825" s="147" t="s">
        <v>4908</v>
      </c>
      <c r="F825" s="49" t="s">
        <v>4909</v>
      </c>
      <c r="G825" s="24" t="s">
        <v>225</v>
      </c>
      <c r="H825" s="13" t="s">
        <v>57</v>
      </c>
      <c r="I825" s="23"/>
      <c r="J825" s="35" t="s">
        <v>4910</v>
      </c>
      <c r="K825" s="27" t="s">
        <v>50</v>
      </c>
      <c r="L825" s="13" t="s">
        <v>4911</v>
      </c>
      <c r="M825" s="26" t="str">
        <f>VLOOKUP(E825,'MTS 2026 registrations'!B:B,1,false)</f>
        <v>#N/A</v>
      </c>
      <c r="N825" s="26" t="str">
        <f>VLOOKUP(B825,'MTS 2026 registrations'!A:A,1,false)</f>
        <v>#N/A</v>
      </c>
      <c r="O825" s="38" t="str">
        <f t="shared" si="2"/>
        <v>Marked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2.75" customHeight="1">
      <c r="A826" s="19" t="str">
        <f t="shared" si="1"/>
        <v>Frans Jan Buters angel</v>
      </c>
      <c r="B826" s="19" t="s">
        <v>4912</v>
      </c>
      <c r="C826" s="20" t="s">
        <v>4913</v>
      </c>
      <c r="D826" s="20" t="s">
        <v>4914</v>
      </c>
      <c r="E826" s="21" t="s">
        <v>4915</v>
      </c>
      <c r="F826" s="41" t="s">
        <v>4916</v>
      </c>
      <c r="G826" s="24" t="s">
        <v>163</v>
      </c>
      <c r="H826" s="25" t="s">
        <v>164</v>
      </c>
      <c r="I826" s="26"/>
      <c r="J826" s="35" t="s">
        <v>4917</v>
      </c>
      <c r="K826" s="27" t="s">
        <v>50</v>
      </c>
      <c r="L826" s="13" t="s">
        <v>4918</v>
      </c>
      <c r="M826" s="26" t="str">
        <f>VLOOKUP(E826,'MTS 2026 registrations'!B:B,1,false)</f>
        <v>#N/A</v>
      </c>
      <c r="N826" s="26" t="str">
        <f>VLOOKUP(B826,'MTS 2026 registrations'!A:A,1,false)</f>
        <v>#N/A</v>
      </c>
      <c r="O826" s="38" t="str">
        <f t="shared" si="2"/>
        <v>Marked</v>
      </c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2.75" customHeight="1">
      <c r="A827" s="19" t="str">
        <f t="shared" si="1"/>
        <v>Fred Herrebout tudelft</v>
      </c>
      <c r="B827" s="19" t="s">
        <v>4919</v>
      </c>
      <c r="C827" s="60" t="s">
        <v>4920</v>
      </c>
      <c r="D827" s="60" t="s">
        <v>4921</v>
      </c>
      <c r="E827" s="62" t="s">
        <v>4922</v>
      </c>
      <c r="F827" s="64" t="s">
        <v>184</v>
      </c>
      <c r="G827" s="42" t="s">
        <v>43</v>
      </c>
      <c r="H827" s="25" t="s">
        <v>139</v>
      </c>
      <c r="I827" s="34"/>
      <c r="J827" s="35" t="s">
        <v>4923</v>
      </c>
      <c r="K827" s="27" t="s">
        <v>50</v>
      </c>
      <c r="L827" s="13" t="s">
        <v>4924</v>
      </c>
      <c r="M827" s="26" t="str">
        <f>VLOOKUP(E827,'MTS 2026 registrations'!B:B,1,false)</f>
        <v>#N/A</v>
      </c>
      <c r="N827" s="26" t="str">
        <f>VLOOKUP(B827,'MTS 2026 registrations'!A:A,1,false)</f>
        <v>#N/A</v>
      </c>
      <c r="O827" s="38" t="str">
        <f t="shared" si="2"/>
        <v>Marked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2.75" customHeight="1">
      <c r="A828" s="19" t="str">
        <f t="shared" si="1"/>
        <v>Fred van Beuningen chrysalix</v>
      </c>
      <c r="B828" s="19" t="s">
        <v>4925</v>
      </c>
      <c r="C828" s="43" t="s">
        <v>4920</v>
      </c>
      <c r="D828" s="43" t="s">
        <v>4926</v>
      </c>
      <c r="E828" s="31" t="s">
        <v>4927</v>
      </c>
      <c r="F828" s="33" t="s">
        <v>3226</v>
      </c>
      <c r="G828" s="51" t="s">
        <v>163</v>
      </c>
      <c r="H828" s="25" t="s">
        <v>139</v>
      </c>
      <c r="I828" s="34"/>
      <c r="J828" s="35" t="s">
        <v>4928</v>
      </c>
      <c r="K828" s="27" t="s">
        <v>50</v>
      </c>
      <c r="L828" s="25" t="s">
        <v>4929</v>
      </c>
      <c r="M828" s="26" t="str">
        <f>VLOOKUP(E828,'MTS 2026 registrations'!B:B,1,false)</f>
        <v>#N/A</v>
      </c>
      <c r="N828" s="26" t="str">
        <f>VLOOKUP(B828,'MTS 2026 registrations'!A:A,1,false)</f>
        <v>#N/A</v>
      </c>
      <c r="O828" s="38" t="str">
        <f t="shared" si="2"/>
        <v>Marked</v>
      </c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</row>
    <row r="829" ht="12.75" customHeight="1">
      <c r="A829" s="19" t="str">
        <f t="shared" si="1"/>
        <v>Fred Aqysta</v>
      </c>
      <c r="B829" s="19" t="s">
        <v>4920</v>
      </c>
      <c r="C829" s="29" t="s">
        <v>4920</v>
      </c>
      <c r="D829" s="109"/>
      <c r="E829" s="31" t="s">
        <v>4930</v>
      </c>
      <c r="F829" s="33" t="s">
        <v>4931</v>
      </c>
      <c r="G829" s="32" t="s">
        <v>46</v>
      </c>
      <c r="H829" s="25" t="s">
        <v>47</v>
      </c>
      <c r="I829" s="34"/>
      <c r="J829" s="35" t="s">
        <v>4932</v>
      </c>
      <c r="K829" s="27" t="s">
        <v>50</v>
      </c>
      <c r="L829" s="13" t="s">
        <v>4933</v>
      </c>
      <c r="M829" s="26" t="str">
        <f>VLOOKUP(E829,'MTS 2026 registrations'!B:B,1,false)</f>
        <v>#N/A</v>
      </c>
      <c r="N829" s="26" t="str">
        <f>VLOOKUP(B829,'MTS 2026 registrations'!A:A,1,false)</f>
        <v>#N/A</v>
      </c>
      <c r="O829" s="38" t="str">
        <f t="shared" si="2"/>
        <v>Marked</v>
      </c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23"/>
      <c r="AE829" s="23"/>
    </row>
    <row r="830" ht="12.75" customHeight="1">
      <c r="A830" s="19" t="str">
        <f t="shared" si="1"/>
        <v>Frederic Petrignani Frebble (Holland Haptics)</v>
      </c>
      <c r="B830" s="19" t="s">
        <v>4934</v>
      </c>
      <c r="C830" s="29" t="s">
        <v>4935</v>
      </c>
      <c r="D830" s="29" t="s">
        <v>4936</v>
      </c>
      <c r="E830" s="80" t="s">
        <v>4937</v>
      </c>
      <c r="F830" s="33" t="s">
        <v>3577</v>
      </c>
      <c r="G830" s="32" t="s">
        <v>46</v>
      </c>
      <c r="H830" s="25" t="s">
        <v>47</v>
      </c>
      <c r="I830" s="34"/>
      <c r="J830" s="35" t="s">
        <v>4938</v>
      </c>
      <c r="K830" s="27" t="s">
        <v>50</v>
      </c>
      <c r="L830" s="13" t="s">
        <v>4939</v>
      </c>
      <c r="M830" s="26" t="str">
        <f>VLOOKUP(E830,'MTS 2026 registrations'!B:B,1,false)</f>
        <v>#N/A</v>
      </c>
      <c r="N830" s="26" t="str">
        <f>VLOOKUP(B830,'MTS 2026 registrations'!A:A,1,false)</f>
        <v>#N/A</v>
      </c>
      <c r="O830" s="38" t="str">
        <f t="shared" si="2"/>
        <v>Marked</v>
      </c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23"/>
      <c r="AE830" s="23"/>
    </row>
    <row r="831" ht="12.75" customHeight="1">
      <c r="A831" s="19" t="str">
        <f t="shared" si="1"/>
        <v>Frederik Hogenbosch shoresystems</v>
      </c>
      <c r="B831" s="19" t="s">
        <v>4940</v>
      </c>
      <c r="C831" s="20" t="s">
        <v>2401</v>
      </c>
      <c r="D831" s="20" t="s">
        <v>4941</v>
      </c>
      <c r="E831" s="21" t="s">
        <v>4942</v>
      </c>
      <c r="F831" s="23" t="s">
        <v>4943</v>
      </c>
      <c r="G831" s="32" t="s">
        <v>46</v>
      </c>
      <c r="H831" s="25" t="s">
        <v>47</v>
      </c>
      <c r="I831" s="23"/>
      <c r="J831" s="35" t="s">
        <v>4944</v>
      </c>
      <c r="K831" s="27" t="s">
        <v>50</v>
      </c>
      <c r="L831" s="13" t="s">
        <v>4945</v>
      </c>
      <c r="M831" s="26" t="str">
        <f>VLOOKUP(E831,'MTS 2026 registrations'!B:B,1,false)</f>
        <v>#N/A</v>
      </c>
      <c r="N831" s="26" t="str">
        <f>VLOOKUP(B831,'MTS 2026 registrations'!A:A,1,false)</f>
        <v>#N/A</v>
      </c>
      <c r="O831" s="38" t="str">
        <f t="shared" si="2"/>
        <v>Marked</v>
      </c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2.75" customHeight="1">
      <c r="A832" s="19" t="str">
        <f t="shared" si="1"/>
        <v>Freek Zindel aanmelder</v>
      </c>
      <c r="B832" s="19" t="s">
        <v>4946</v>
      </c>
      <c r="C832" s="20" t="s">
        <v>2406</v>
      </c>
      <c r="D832" s="20" t="s">
        <v>4947</v>
      </c>
      <c r="E832" s="21" t="s">
        <v>4948</v>
      </c>
      <c r="F832" s="23" t="s">
        <v>4949</v>
      </c>
      <c r="G832" s="32" t="s">
        <v>46</v>
      </c>
      <c r="H832" s="25" t="s">
        <v>47</v>
      </c>
      <c r="I832" s="26"/>
      <c r="J832" s="35" t="s">
        <v>4950</v>
      </c>
      <c r="K832" s="27" t="s">
        <v>50</v>
      </c>
      <c r="L832" s="13" t="s">
        <v>4951</v>
      </c>
      <c r="M832" s="26" t="str">
        <f>VLOOKUP(E832,'MTS 2026 registrations'!B:B,1,false)</f>
        <v>#N/A</v>
      </c>
      <c r="N832" s="26" t="str">
        <f>VLOOKUP(B832,'MTS 2026 registrations'!A:A,1,false)</f>
        <v>#N/A</v>
      </c>
      <c r="O832" s="38" t="str">
        <f t="shared" si="2"/>
        <v>Marked</v>
      </c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2.75" customHeight="1">
      <c r="A833" s="19" t="str">
        <f t="shared" si="1"/>
        <v>Friso Jiskoot Investion</v>
      </c>
      <c r="B833" s="19" t="s">
        <v>4952</v>
      </c>
      <c r="C833" s="161" t="s">
        <v>4953</v>
      </c>
      <c r="D833" s="161" t="s">
        <v>4954</v>
      </c>
      <c r="E833" s="128" t="s">
        <v>4955</v>
      </c>
      <c r="F833" s="66" t="s">
        <v>4956</v>
      </c>
      <c r="G833" s="42" t="s">
        <v>163</v>
      </c>
      <c r="H833" s="25" t="s">
        <v>164</v>
      </c>
      <c r="I833" s="34"/>
      <c r="J833" s="35" t="s">
        <v>4957</v>
      </c>
      <c r="K833" s="27" t="s">
        <v>50</v>
      </c>
      <c r="L833" s="13" t="s">
        <v>4958</v>
      </c>
      <c r="M833" s="26" t="str">
        <f>VLOOKUP(E833,'MTS 2026 registrations'!B:B,1,false)</f>
        <v>#N/A</v>
      </c>
      <c r="N833" s="26" t="str">
        <f>VLOOKUP(B833,'MTS 2026 registrations'!A:A,1,false)</f>
        <v>#N/A</v>
      </c>
      <c r="O833" s="38" t="str">
        <f t="shared" si="2"/>
        <v>Marked</v>
      </c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23"/>
      <c r="AE833" s="23"/>
    </row>
    <row r="834" ht="12.75" customHeight="1">
      <c r="A834" s="19" t="str">
        <f t="shared" si="1"/>
        <v>Frits Heukers MIND</v>
      </c>
      <c r="B834" s="19" t="s">
        <v>4959</v>
      </c>
      <c r="C834" s="156" t="s">
        <v>4960</v>
      </c>
      <c r="D834" s="156" t="s">
        <v>4961</v>
      </c>
      <c r="E834" s="50" t="s">
        <v>4962</v>
      </c>
      <c r="F834" s="50" t="s">
        <v>2178</v>
      </c>
      <c r="G834" s="24" t="s">
        <v>225</v>
      </c>
      <c r="H834" s="25" t="s">
        <v>47</v>
      </c>
      <c r="I834" s="34"/>
      <c r="J834" s="35" t="s">
        <v>4963</v>
      </c>
      <c r="K834" s="27" t="s">
        <v>50</v>
      </c>
      <c r="L834" s="13" t="s">
        <v>4964</v>
      </c>
      <c r="M834" s="26" t="str">
        <f>VLOOKUP(E834,'MTS 2026 registrations'!B:B,1,false)</f>
        <v>#N/A</v>
      </c>
      <c r="N834" s="26" t="str">
        <f>VLOOKUP(B834,'MTS 2026 registrations'!A:A,1,false)</f>
        <v>#N/A</v>
      </c>
      <c r="O834" s="38" t="str">
        <f t="shared" si="2"/>
        <v>Marked</v>
      </c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</row>
    <row r="835" ht="12.75" customHeight="1">
      <c r="A835" s="19" t="str">
        <f t="shared" si="1"/>
        <v>Gandert Van Raemdonck Ephicas</v>
      </c>
      <c r="B835" s="19" t="s">
        <v>4965</v>
      </c>
      <c r="C835" s="60" t="s">
        <v>4966</v>
      </c>
      <c r="D835" s="60" t="s">
        <v>4967</v>
      </c>
      <c r="E835" s="62" t="s">
        <v>4968</v>
      </c>
      <c r="F835" s="64" t="s">
        <v>729</v>
      </c>
      <c r="G835" s="24" t="s">
        <v>46</v>
      </c>
      <c r="H835" s="25" t="s">
        <v>139</v>
      </c>
      <c r="I835" s="23"/>
      <c r="J835" s="35" t="s">
        <v>4969</v>
      </c>
      <c r="K835" s="27" t="s">
        <v>50</v>
      </c>
      <c r="L835" s="13" t="s">
        <v>4970</v>
      </c>
      <c r="M835" s="26" t="str">
        <f>VLOOKUP(E835,'MTS 2026 registrations'!B:B,1,false)</f>
        <v>#N/A</v>
      </c>
      <c r="N835" s="26" t="str">
        <f>VLOOKUP(B835,'MTS 2026 registrations'!A:A,1,false)</f>
        <v>#N/A</v>
      </c>
      <c r="O835" s="38" t="str">
        <f t="shared" si="2"/>
        <v>Marked</v>
      </c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2.75" customHeight="1">
      <c r="A836" s="19" t="str">
        <f t="shared" si="1"/>
        <v>Gareth Wakeling TU Delft</v>
      </c>
      <c r="B836" s="19" t="s">
        <v>4971</v>
      </c>
      <c r="C836" s="116" t="s">
        <v>4972</v>
      </c>
      <c r="D836" s="116" t="s">
        <v>4973</v>
      </c>
      <c r="E836" s="30" t="s">
        <v>4974</v>
      </c>
      <c r="F836" s="49" t="s">
        <v>2090</v>
      </c>
      <c r="G836" s="24" t="s">
        <v>29</v>
      </c>
      <c r="H836" s="13" t="s">
        <v>57</v>
      </c>
      <c r="I836" s="26"/>
      <c r="J836" s="35" t="s">
        <v>4975</v>
      </c>
      <c r="K836" s="27" t="s">
        <v>50</v>
      </c>
      <c r="L836" s="13" t="s">
        <v>4976</v>
      </c>
      <c r="M836" s="26" t="str">
        <f>VLOOKUP(E836,'MTS 2026 registrations'!B:B,1,false)</f>
        <v>#N/A</v>
      </c>
      <c r="N836" s="26" t="str">
        <f>VLOOKUP(B836,'MTS 2026 registrations'!A:A,1,false)</f>
        <v>#N/A</v>
      </c>
      <c r="O836" s="38" t="str">
        <f t="shared" si="2"/>
        <v>Marked</v>
      </c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2.75" customHeight="1">
      <c r="A837" s="19" t="str">
        <f t="shared" si="1"/>
        <v>Gaurav Genani SkelEx</v>
      </c>
      <c r="B837" s="19" t="s">
        <v>4977</v>
      </c>
      <c r="C837" s="29" t="s">
        <v>4978</v>
      </c>
      <c r="D837" s="29" t="s">
        <v>4979</v>
      </c>
      <c r="E837" s="31" t="s">
        <v>4980</v>
      </c>
      <c r="F837" s="33" t="s">
        <v>4981</v>
      </c>
      <c r="G837" s="24" t="s">
        <v>46</v>
      </c>
      <c r="H837" s="25" t="s">
        <v>47</v>
      </c>
      <c r="I837" s="34"/>
      <c r="J837" s="35" t="s">
        <v>4982</v>
      </c>
      <c r="K837" s="27" t="s">
        <v>50</v>
      </c>
      <c r="L837" s="13" t="s">
        <v>4983</v>
      </c>
      <c r="M837" s="26" t="str">
        <f>VLOOKUP(E837,'MTS 2026 registrations'!B:B,1,false)</f>
        <v>#N/A</v>
      </c>
      <c r="N837" s="26" t="str">
        <f>VLOOKUP(B837,'MTS 2026 registrations'!A:A,1,false)</f>
        <v>#N/A</v>
      </c>
      <c r="O837" s="38" t="str">
        <f t="shared" si="2"/>
        <v>Marked</v>
      </c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23"/>
      <c r="AE837" s="23"/>
    </row>
    <row r="838" ht="12.75" customHeight="1">
      <c r="A838" s="19" t="str">
        <f t="shared" si="1"/>
        <v>Geert de Vos mediadistillery.tv</v>
      </c>
      <c r="B838" s="19" t="s">
        <v>4984</v>
      </c>
      <c r="C838" s="20" t="s">
        <v>86</v>
      </c>
      <c r="D838" s="20" t="s">
        <v>4985</v>
      </c>
      <c r="E838" s="21" t="s">
        <v>4986</v>
      </c>
      <c r="F838" s="23" t="s">
        <v>1268</v>
      </c>
      <c r="G838" s="32" t="s">
        <v>46</v>
      </c>
      <c r="H838" s="25" t="s">
        <v>47</v>
      </c>
      <c r="I838" s="23"/>
      <c r="J838" s="35" t="s">
        <v>4987</v>
      </c>
      <c r="K838" s="27" t="s">
        <v>50</v>
      </c>
      <c r="L838" s="13" t="s">
        <v>4988</v>
      </c>
      <c r="M838" s="26" t="str">
        <f>VLOOKUP(E838,'MTS 2026 registrations'!B:B,1,false)</f>
        <v>#N/A</v>
      </c>
      <c r="N838" s="26" t="str">
        <f>VLOOKUP(B838,'MTS 2026 registrations'!A:A,1,false)</f>
        <v>#N/A</v>
      </c>
      <c r="O838" s="38" t="str">
        <f t="shared" si="2"/>
        <v>Marked</v>
      </c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2.75" customHeight="1">
      <c r="A839" s="19" t="str">
        <f t="shared" si="1"/>
        <v>Geert Jan Smits startupscorecard</v>
      </c>
      <c r="B839" s="19" t="s">
        <v>4989</v>
      </c>
      <c r="C839" s="20" t="s">
        <v>4990</v>
      </c>
      <c r="D839" s="20" t="s">
        <v>1123</v>
      </c>
      <c r="E839" s="21" t="s">
        <v>4991</v>
      </c>
      <c r="F839" s="23" t="s">
        <v>4992</v>
      </c>
      <c r="G839" s="24" t="s">
        <v>163</v>
      </c>
      <c r="H839" s="13" t="s">
        <v>213</v>
      </c>
      <c r="I839" s="23"/>
      <c r="J839" s="35" t="s">
        <v>4993</v>
      </c>
      <c r="K839" s="27" t="s">
        <v>50</v>
      </c>
      <c r="L839" s="13" t="s">
        <v>4994</v>
      </c>
      <c r="M839" s="26" t="str">
        <f>VLOOKUP(E839,'MTS 2026 registrations'!B:B,1,false)</f>
        <v>#N/A</v>
      </c>
      <c r="N839" s="26" t="str">
        <f>VLOOKUP(B839,'MTS 2026 registrations'!A:A,1,false)</f>
        <v>#N/A</v>
      </c>
      <c r="O839" s="38" t="str">
        <f t="shared" si="2"/>
        <v>Marked</v>
      </c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2.75" customHeight="1">
      <c r="A840" s="19" t="str">
        <f t="shared" si="1"/>
        <v>Geert-Jan Houben tudelft</v>
      </c>
      <c r="B840" s="19" t="s">
        <v>4995</v>
      </c>
      <c r="C840" s="60" t="s">
        <v>4996</v>
      </c>
      <c r="D840" s="60" t="s">
        <v>4997</v>
      </c>
      <c r="E840" s="62" t="s">
        <v>4998</v>
      </c>
      <c r="F840" s="64" t="s">
        <v>184</v>
      </c>
      <c r="G840" s="42" t="s">
        <v>43</v>
      </c>
      <c r="H840" s="25" t="s">
        <v>139</v>
      </c>
      <c r="I840" s="34"/>
      <c r="J840" s="35" t="s">
        <v>4999</v>
      </c>
      <c r="K840" s="27" t="s">
        <v>50</v>
      </c>
      <c r="L840" s="13" t="s">
        <v>5000</v>
      </c>
      <c r="M840" s="26" t="str">
        <f>VLOOKUP(E840,'MTS 2026 registrations'!B:B,1,false)</f>
        <v>#N/A</v>
      </c>
      <c r="N840" s="26" t="str">
        <f>VLOOKUP(B840,'MTS 2026 registrations'!A:A,1,false)</f>
        <v>Geert-Jan Houben</v>
      </c>
      <c r="O840" s="38" t="str">
        <f t="shared" si="2"/>
        <v/>
      </c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2.75" customHeight="1">
      <c r="A841" s="19" t="str">
        <f t="shared" si="1"/>
        <v>Geertjan Smits dutchoperatorfund</v>
      </c>
      <c r="B841" s="19" t="s">
        <v>5001</v>
      </c>
      <c r="C841" s="72" t="s">
        <v>5002</v>
      </c>
      <c r="D841" s="72" t="s">
        <v>1123</v>
      </c>
      <c r="E841" s="30" t="s">
        <v>5003</v>
      </c>
      <c r="F841" s="29" t="s">
        <v>5004</v>
      </c>
      <c r="G841" s="32" t="s">
        <v>163</v>
      </c>
      <c r="H841" s="13" t="s">
        <v>213</v>
      </c>
      <c r="I841" s="23"/>
      <c r="J841" s="35" t="s">
        <v>5005</v>
      </c>
      <c r="K841" s="27" t="s">
        <v>50</v>
      </c>
      <c r="L841" s="13" t="s">
        <v>5006</v>
      </c>
      <c r="M841" s="26" t="str">
        <f>VLOOKUP(E841,'MTS 2026 registrations'!B:B,1,false)</f>
        <v>#N/A</v>
      </c>
      <c r="N841" s="26" t="str">
        <f>VLOOKUP(B841,'MTS 2026 registrations'!A:A,1,false)</f>
        <v>#N/A</v>
      </c>
      <c r="O841" s="38" t="str">
        <f t="shared" si="2"/>
        <v>Marked</v>
      </c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2.75" customHeight="1">
      <c r="A842" s="19" t="str">
        <f t="shared" si="1"/>
        <v>Ger van Jeveren </v>
      </c>
      <c r="B842" s="19" t="s">
        <v>5007</v>
      </c>
      <c r="C842" s="20" t="s">
        <v>5008</v>
      </c>
      <c r="D842" s="20" t="s">
        <v>5009</v>
      </c>
      <c r="E842" s="21" t="s">
        <v>5010</v>
      </c>
      <c r="F842" s="52"/>
      <c r="G842" s="24" t="s">
        <v>29</v>
      </c>
      <c r="H842" s="25" t="s">
        <v>47</v>
      </c>
      <c r="I842" s="26"/>
      <c r="J842" s="35" t="s">
        <v>5011</v>
      </c>
      <c r="K842" s="27" t="s">
        <v>50</v>
      </c>
      <c r="L842" s="13" t="s">
        <v>5012</v>
      </c>
      <c r="M842" s="26" t="str">
        <f>VLOOKUP(E842,'MTS 2026 registrations'!B:B,1,false)</f>
        <v>#N/A</v>
      </c>
      <c r="N842" s="26" t="str">
        <f>VLOOKUP(B842,'MTS 2026 registrations'!A:A,1,false)</f>
        <v>#N/A</v>
      </c>
      <c r="O842" s="38" t="str">
        <f t="shared" si="2"/>
        <v>Marked</v>
      </c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2.75" customHeight="1">
      <c r="A843" s="19" t="str">
        <f t="shared" si="1"/>
        <v>Gerard van Smeden tudelft</v>
      </c>
      <c r="B843" s="19" t="s">
        <v>5013</v>
      </c>
      <c r="C843" s="60" t="s">
        <v>5014</v>
      </c>
      <c r="D843" s="60" t="s">
        <v>5015</v>
      </c>
      <c r="E843" s="62" t="s">
        <v>5016</v>
      </c>
      <c r="F843" s="64" t="s">
        <v>184</v>
      </c>
      <c r="G843" s="42" t="s">
        <v>43</v>
      </c>
      <c r="H843" s="25" t="s">
        <v>139</v>
      </c>
      <c r="I843" s="34"/>
      <c r="J843" s="35" t="s">
        <v>5017</v>
      </c>
      <c r="K843" s="27" t="s">
        <v>50</v>
      </c>
      <c r="L843" s="13" t="s">
        <v>5018</v>
      </c>
      <c r="M843" s="26" t="str">
        <f>VLOOKUP(E843,'MTS 2026 registrations'!B:B,1,false)</f>
        <v>#N/A</v>
      </c>
      <c r="N843" s="26" t="str">
        <f>VLOOKUP(B843,'MTS 2026 registrations'!A:A,1,false)</f>
        <v>#N/A</v>
      </c>
      <c r="O843" s="38" t="str">
        <f t="shared" si="2"/>
        <v>Marked</v>
      </c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2.75" customHeight="1">
      <c r="A844" s="19" t="str">
        <f t="shared" si="1"/>
        <v>Gerard Kool Senz</v>
      </c>
      <c r="B844" s="19" t="s">
        <v>5019</v>
      </c>
      <c r="C844" s="29" t="s">
        <v>5014</v>
      </c>
      <c r="D844" s="29" t="s">
        <v>5020</v>
      </c>
      <c r="E844" s="31" t="s">
        <v>5021</v>
      </c>
      <c r="F844" s="33" t="s">
        <v>5022</v>
      </c>
      <c r="G844" s="24" t="s">
        <v>46</v>
      </c>
      <c r="H844" s="25" t="s">
        <v>47</v>
      </c>
      <c r="I844" s="34"/>
      <c r="J844" s="35" t="s">
        <v>5023</v>
      </c>
      <c r="K844" s="27" t="s">
        <v>50</v>
      </c>
      <c r="L844" s="13" t="s">
        <v>5024</v>
      </c>
      <c r="M844" s="26" t="str">
        <f>VLOOKUP(E844,'MTS 2026 registrations'!B:B,1,false)</f>
        <v>#N/A</v>
      </c>
      <c r="N844" s="26" t="str">
        <f>VLOOKUP(B844,'MTS 2026 registrations'!A:A,1,false)</f>
        <v>#N/A</v>
      </c>
      <c r="O844" s="38" t="str">
        <f t="shared" si="2"/>
        <v>Marked</v>
      </c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ht="12.75" customHeight="1">
      <c r="A845" s="19" t="str">
        <f t="shared" si="1"/>
        <v>Gerard Van Swieten tenzingalpha</v>
      </c>
      <c r="B845" s="19" t="s">
        <v>5025</v>
      </c>
      <c r="C845" s="20" t="s">
        <v>5014</v>
      </c>
      <c r="D845" s="20" t="s">
        <v>5026</v>
      </c>
      <c r="E845" s="21" t="s">
        <v>5027</v>
      </c>
      <c r="F845" s="23" t="s">
        <v>5028</v>
      </c>
      <c r="G845" s="24" t="s">
        <v>163</v>
      </c>
      <c r="H845" s="25" t="s">
        <v>164</v>
      </c>
      <c r="I845" s="34"/>
      <c r="J845" s="35" t="s">
        <v>5029</v>
      </c>
      <c r="K845" s="27" t="s">
        <v>50</v>
      </c>
      <c r="L845" s="13" t="s">
        <v>5030</v>
      </c>
      <c r="M845" s="26" t="str">
        <f>VLOOKUP(E845,'MTS 2026 registrations'!B:B,1,false)</f>
        <v>#N/A</v>
      </c>
      <c r="N845" s="26" t="str">
        <f>VLOOKUP(B845,'MTS 2026 registrations'!A:A,1,false)</f>
        <v>#N/A</v>
      </c>
      <c r="O845" s="38" t="str">
        <f t="shared" si="2"/>
        <v>Marked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23"/>
      <c r="AE845" s="23"/>
    </row>
    <row r="846" ht="12.75" customHeight="1">
      <c r="A846" s="19" t="str">
        <f t="shared" si="1"/>
        <v>Gérard Brockhoff adstrat</v>
      </c>
      <c r="B846" s="19" t="s">
        <v>5031</v>
      </c>
      <c r="C846" s="60" t="s">
        <v>5032</v>
      </c>
      <c r="D846" s="60" t="s">
        <v>5033</v>
      </c>
      <c r="E846" s="62" t="s">
        <v>5034</v>
      </c>
      <c r="F846" s="64" t="s">
        <v>5035</v>
      </c>
      <c r="G846" s="42" t="s">
        <v>1306</v>
      </c>
      <c r="H846" s="25" t="s">
        <v>139</v>
      </c>
      <c r="I846" s="34"/>
      <c r="J846" s="35" t="s">
        <v>5036</v>
      </c>
      <c r="K846" s="27" t="s">
        <v>50</v>
      </c>
      <c r="L846" s="13" t="s">
        <v>5037</v>
      </c>
      <c r="M846" s="26" t="str">
        <f>VLOOKUP(E846,'MTS 2026 registrations'!B:B,1,false)</f>
        <v>#N/A</v>
      </c>
      <c r="N846" s="26" t="str">
        <f>VLOOKUP(B846,'MTS 2026 registrations'!A:A,1,false)</f>
        <v>#N/A</v>
      </c>
      <c r="O846" s="38" t="str">
        <f t="shared" si="2"/>
        <v>Marked</v>
      </c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2.75" customHeight="1">
      <c r="A847" s="19" t="str">
        <f t="shared" si="1"/>
        <v>Gerben Maarleveld moore-drv</v>
      </c>
      <c r="B847" s="19" t="s">
        <v>5038</v>
      </c>
      <c r="C847" s="29" t="s">
        <v>5039</v>
      </c>
      <c r="D847" s="29" t="s">
        <v>5040</v>
      </c>
      <c r="E847" s="30" t="s">
        <v>5041</v>
      </c>
      <c r="F847" s="29" t="s">
        <v>5042</v>
      </c>
      <c r="G847" s="32" t="s">
        <v>163</v>
      </c>
      <c r="H847" s="13" t="s">
        <v>213</v>
      </c>
      <c r="I847" s="23"/>
      <c r="J847" s="35" t="s">
        <v>5043</v>
      </c>
      <c r="K847" s="27" t="s">
        <v>50</v>
      </c>
      <c r="L847" s="13" t="s">
        <v>5044</v>
      </c>
      <c r="M847" s="26" t="str">
        <f>VLOOKUP(E847,'MTS 2026 registrations'!B:B,1,false)</f>
        <v>#N/A</v>
      </c>
      <c r="N847" s="26" t="str">
        <f>VLOOKUP(B847,'MTS 2026 registrations'!A:A,1,false)</f>
        <v>#N/A</v>
      </c>
      <c r="O847" s="38" t="str">
        <f t="shared" si="2"/>
        <v>Marked</v>
      </c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2.75" customHeight="1">
      <c r="A848" s="19" t="str">
        <f t="shared" si="1"/>
        <v>Gerben Groothuis AELS</v>
      </c>
      <c r="B848" s="19" t="s">
        <v>5045</v>
      </c>
      <c r="C848" s="43" t="s">
        <v>5039</v>
      </c>
      <c r="D848" s="43" t="s">
        <v>5046</v>
      </c>
      <c r="E848" s="166" t="s">
        <v>5047</v>
      </c>
      <c r="F848" s="33" t="s">
        <v>5048</v>
      </c>
      <c r="G848" s="44" t="s">
        <v>46</v>
      </c>
      <c r="H848" s="25" t="s">
        <v>47</v>
      </c>
      <c r="I848" s="34"/>
      <c r="J848" s="35" t="s">
        <v>5049</v>
      </c>
      <c r="K848" s="27" t="s">
        <v>50</v>
      </c>
      <c r="L848" s="25" t="s">
        <v>5050</v>
      </c>
      <c r="M848" s="26" t="str">
        <f>VLOOKUP(E848,'MTS 2026 registrations'!B:B,1,false)</f>
        <v>#N/A</v>
      </c>
      <c r="N848" s="26" t="str">
        <f>VLOOKUP(B848,'MTS 2026 registrations'!A:A,1,false)</f>
        <v>#N/A</v>
      </c>
      <c r="O848" s="38" t="str">
        <f t="shared" si="2"/>
        <v>Marked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23"/>
      <c r="AE848" s="23"/>
    </row>
    <row r="849" ht="12.75" customHeight="1">
      <c r="A849" s="19" t="str">
        <f t="shared" si="1"/>
        <v>Gerben Harteveld c-cube-international</v>
      </c>
      <c r="B849" s="19" t="s">
        <v>5051</v>
      </c>
      <c r="C849" s="20" t="s">
        <v>5039</v>
      </c>
      <c r="D849" s="20" t="s">
        <v>5052</v>
      </c>
      <c r="E849" s="21" t="s">
        <v>5053</v>
      </c>
      <c r="F849" s="23" t="s">
        <v>5054</v>
      </c>
      <c r="G849" s="32" t="s">
        <v>46</v>
      </c>
      <c r="H849" s="25" t="s">
        <v>47</v>
      </c>
      <c r="I849" s="26"/>
      <c r="J849" s="35" t="s">
        <v>5055</v>
      </c>
      <c r="K849" s="27" t="s">
        <v>50</v>
      </c>
      <c r="L849" s="13" t="s">
        <v>5056</v>
      </c>
      <c r="M849" s="26" t="str">
        <f>VLOOKUP(E849,'MTS 2026 registrations'!B:B,1,false)</f>
        <v>#N/A</v>
      </c>
      <c r="N849" s="26" t="str">
        <f>VLOOKUP(B849,'MTS 2026 registrations'!A:A,1,false)</f>
        <v>#N/A</v>
      </c>
      <c r="O849" s="38" t="str">
        <f t="shared" si="2"/>
        <v>Marked</v>
      </c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34"/>
      <c r="AE849" s="34"/>
    </row>
    <row r="850" ht="12.75" customHeight="1">
      <c r="A850" s="19"/>
      <c r="B850" s="19" t="s">
        <v>5057</v>
      </c>
      <c r="C850" s="116" t="s">
        <v>5058</v>
      </c>
      <c r="D850" s="179" t="s">
        <v>5059</v>
      </c>
      <c r="E850" s="112" t="s">
        <v>5060</v>
      </c>
      <c r="F850" s="41" t="s">
        <v>2090</v>
      </c>
      <c r="G850" s="24" t="s">
        <v>43</v>
      </c>
      <c r="H850" s="49" t="s">
        <v>213</v>
      </c>
      <c r="I850" s="25"/>
      <c r="J850" s="133" t="s">
        <v>2762</v>
      </c>
      <c r="K850" s="27" t="s">
        <v>50</v>
      </c>
      <c r="L850" s="27" t="s">
        <v>5061</v>
      </c>
      <c r="M850" s="26" t="str">
        <f>VLOOKUP(E850,'MTS 2026 registrations'!B:B,1,false)</f>
        <v>#N/A</v>
      </c>
      <c r="N850" s="26" t="str">
        <f>VLOOKUP(B850,'MTS 2026 registrations'!A:A,1,false)</f>
        <v>#N/A</v>
      </c>
      <c r="O850" s="38" t="str">
        <f t="shared" si="2"/>
        <v>Marked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ht="12.75" customHeight="1">
      <c r="A851" s="19" t="str">
        <f t="shared" ref="A851:A989" si="3">B851&amp;" "&amp;F851</f>
        <v>Gert Jan van der Hoeven h2ep</v>
      </c>
      <c r="B851" s="19" t="s">
        <v>5062</v>
      </c>
      <c r="C851" s="60" t="s">
        <v>5063</v>
      </c>
      <c r="D851" s="60" t="s">
        <v>5064</v>
      </c>
      <c r="E851" s="62" t="s">
        <v>5065</v>
      </c>
      <c r="F851" s="64" t="s">
        <v>5066</v>
      </c>
      <c r="G851" s="42" t="s">
        <v>1306</v>
      </c>
      <c r="H851" s="25" t="s">
        <v>139</v>
      </c>
      <c r="I851" s="23"/>
      <c r="J851" s="35" t="s">
        <v>5067</v>
      </c>
      <c r="K851" s="27" t="s">
        <v>50</v>
      </c>
      <c r="L851" s="13" t="s">
        <v>5068</v>
      </c>
      <c r="M851" s="26" t="str">
        <f>VLOOKUP(E851,'MTS 2026 registrations'!B:B,1,false)</f>
        <v>#N/A</v>
      </c>
      <c r="N851" s="26" t="str">
        <f>VLOOKUP(B851,'MTS 2026 registrations'!A:A,1,false)</f>
        <v>#N/A</v>
      </c>
      <c r="O851" s="38" t="str">
        <f t="shared" si="2"/>
        <v>Marked</v>
      </c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2.75" customHeight="1">
      <c r="A852" s="19" t="str">
        <f t="shared" si="3"/>
        <v>Gert-Jan Vaessen invest-nl</v>
      </c>
      <c r="B852" s="19" t="s">
        <v>5069</v>
      </c>
      <c r="C852" s="20" t="s">
        <v>5070</v>
      </c>
      <c r="D852" s="20" t="s">
        <v>5071</v>
      </c>
      <c r="E852" s="21" t="s">
        <v>5072</v>
      </c>
      <c r="F852" s="23" t="s">
        <v>1648</v>
      </c>
      <c r="G852" s="24" t="s">
        <v>163</v>
      </c>
      <c r="H852" s="25" t="s">
        <v>164</v>
      </c>
      <c r="I852" s="23"/>
      <c r="J852" s="35" t="s">
        <v>5073</v>
      </c>
      <c r="K852" s="27" t="s">
        <v>50</v>
      </c>
      <c r="L852" s="13" t="s">
        <v>5074</v>
      </c>
      <c r="M852" s="26" t="str">
        <f>VLOOKUP(E852,'MTS 2026 registrations'!B:B,1,false)</f>
        <v>#N/A</v>
      </c>
      <c r="N852" s="26" t="str">
        <f>VLOOKUP(B852,'MTS 2026 registrations'!A:A,1,false)</f>
        <v>#N/A</v>
      </c>
      <c r="O852" s="38" t="str">
        <f t="shared" si="2"/>
        <v>Marked</v>
      </c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2.75" customHeight="1">
      <c r="A853" s="19" t="str">
        <f t="shared" si="3"/>
        <v>Gerwin Voorsluijs delftdynamics</v>
      </c>
      <c r="B853" s="19" t="s">
        <v>5075</v>
      </c>
      <c r="C853" s="53" t="s">
        <v>2432</v>
      </c>
      <c r="D853" s="53" t="s">
        <v>5076</v>
      </c>
      <c r="E853" s="88" t="s">
        <v>5077</v>
      </c>
      <c r="F853" s="23" t="s">
        <v>483</v>
      </c>
      <c r="G853" s="32" t="s">
        <v>46</v>
      </c>
      <c r="H853" s="25" t="s">
        <v>47</v>
      </c>
      <c r="I853" s="23"/>
      <c r="J853" s="35" t="s">
        <v>5078</v>
      </c>
      <c r="K853" s="27" t="s">
        <v>50</v>
      </c>
      <c r="L853" s="13" t="s">
        <v>5079</v>
      </c>
      <c r="M853" s="26" t="str">
        <f>VLOOKUP(E853,'MTS 2026 registrations'!B:B,1,false)</f>
        <v>#N/A</v>
      </c>
      <c r="N853" s="26" t="str">
        <f>VLOOKUP(B853,'MTS 2026 registrations'!A:A,1,false)</f>
        <v>#N/A</v>
      </c>
      <c r="O853" s="38" t="str">
        <f t="shared" si="2"/>
        <v>Marked</v>
      </c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2.75" customHeight="1">
      <c r="A854" s="19" t="str">
        <f t="shared" si="3"/>
        <v>Gijs van der Hulst positron</v>
      </c>
      <c r="B854" s="19" t="s">
        <v>5080</v>
      </c>
      <c r="C854" s="53" t="s">
        <v>1720</v>
      </c>
      <c r="D854" s="53" t="s">
        <v>5081</v>
      </c>
      <c r="E854" s="88" t="s">
        <v>5082</v>
      </c>
      <c r="F854" s="23" t="s">
        <v>5083</v>
      </c>
      <c r="G854" s="24" t="s">
        <v>163</v>
      </c>
      <c r="H854" s="25" t="s">
        <v>164</v>
      </c>
      <c r="I854" s="23"/>
      <c r="J854" s="124" t="s">
        <v>5084</v>
      </c>
      <c r="K854" s="27" t="s">
        <v>50</v>
      </c>
      <c r="L854" s="13" t="s">
        <v>5085</v>
      </c>
      <c r="M854" s="26" t="str">
        <f>VLOOKUP(E854,'MTS 2026 registrations'!B:B,1,false)</f>
        <v>#N/A</v>
      </c>
      <c r="N854" s="26" t="str">
        <f>VLOOKUP(B854,'MTS 2026 registrations'!A:A,1,false)</f>
        <v>#N/A</v>
      </c>
      <c r="O854" s="38" t="str">
        <f t="shared" si="2"/>
        <v>Marked</v>
      </c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2.75" customHeight="1">
      <c r="A855" s="19" t="str">
        <f t="shared" si="3"/>
        <v>Gijs den Butter senseglove</v>
      </c>
      <c r="B855" s="19" t="s">
        <v>5086</v>
      </c>
      <c r="C855" s="20" t="s">
        <v>1720</v>
      </c>
      <c r="D855" s="20" t="s">
        <v>5087</v>
      </c>
      <c r="E855" s="21" t="s">
        <v>5088</v>
      </c>
      <c r="F855" s="23" t="s">
        <v>5089</v>
      </c>
      <c r="G855" s="32" t="s">
        <v>46</v>
      </c>
      <c r="H855" s="25" t="s">
        <v>47</v>
      </c>
      <c r="I855" s="23"/>
      <c r="J855" s="35" t="s">
        <v>5090</v>
      </c>
      <c r="K855" s="27" t="s">
        <v>50</v>
      </c>
      <c r="L855" s="13" t="s">
        <v>5091</v>
      </c>
      <c r="M855" s="26" t="str">
        <f>VLOOKUP(E855,'MTS 2026 registrations'!B:B,1,false)</f>
        <v>#N/A</v>
      </c>
      <c r="N855" s="26" t="str">
        <f>VLOOKUP(B855,'MTS 2026 registrations'!A:A,1,false)</f>
        <v>#N/A</v>
      </c>
      <c r="O855" s="38" t="str">
        <f t="shared" si="2"/>
        <v>Marked</v>
      </c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2.75" customHeight="1">
      <c r="A856" s="19" t="str">
        <f t="shared" si="3"/>
        <v>Gilbert Ruegg </v>
      </c>
      <c r="B856" s="19" t="s">
        <v>5092</v>
      </c>
      <c r="C856" s="20" t="s">
        <v>5093</v>
      </c>
      <c r="D856" s="20" t="s">
        <v>5094</v>
      </c>
      <c r="E856" s="62" t="s">
        <v>5095</v>
      </c>
      <c r="F856" s="52"/>
      <c r="G856" s="24" t="s">
        <v>225</v>
      </c>
      <c r="H856" s="25" t="s">
        <v>47</v>
      </c>
      <c r="I856" s="26"/>
      <c r="J856" s="35" t="s">
        <v>5096</v>
      </c>
      <c r="K856" s="27" t="s">
        <v>50</v>
      </c>
      <c r="L856" s="13" t="s">
        <v>5097</v>
      </c>
      <c r="M856" s="26" t="str">
        <f>VLOOKUP(E856,'MTS 2026 registrations'!B:B,1,false)</f>
        <v>#N/A</v>
      </c>
      <c r="N856" s="26" t="str">
        <f>VLOOKUP(B856,'MTS 2026 registrations'!A:A,1,false)</f>
        <v>#N/A</v>
      </c>
      <c r="O856" s="38" t="str">
        <f t="shared" si="2"/>
        <v>Marked</v>
      </c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2.75" customHeight="1">
      <c r="A857" s="19" t="str">
        <f t="shared" si="3"/>
        <v>Gizem Yagiz 212next.fund</v>
      </c>
      <c r="B857" s="19" t="s">
        <v>5098</v>
      </c>
      <c r="C857" s="20" t="s">
        <v>5099</v>
      </c>
      <c r="D857" s="20" t="s">
        <v>5100</v>
      </c>
      <c r="E857" s="21" t="s">
        <v>5101</v>
      </c>
      <c r="F857" s="23" t="s">
        <v>3856</v>
      </c>
      <c r="G857" s="24" t="s">
        <v>163</v>
      </c>
      <c r="H857" s="25" t="s">
        <v>164</v>
      </c>
      <c r="I857" s="26"/>
      <c r="J857" s="35" t="s">
        <v>5102</v>
      </c>
      <c r="K857" s="27" t="s">
        <v>50</v>
      </c>
      <c r="L857" s="13" t="s">
        <v>5103</v>
      </c>
      <c r="M857" s="26" t="str">
        <f>VLOOKUP(E857,'MTS 2026 registrations'!B:B,1,false)</f>
        <v>#N/A</v>
      </c>
      <c r="N857" s="26" t="str">
        <f>VLOOKUP(B857,'MTS 2026 registrations'!A:A,1,false)</f>
        <v>#N/A</v>
      </c>
      <c r="O857" s="38" t="str">
        <f t="shared" si="2"/>
        <v>Marked</v>
      </c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2.75" customHeight="1">
      <c r="A858" s="19" t="str">
        <f t="shared" si="3"/>
        <v>Graham Smith WebChair</v>
      </c>
      <c r="B858" s="19" t="s">
        <v>5104</v>
      </c>
      <c r="C858" s="29" t="s">
        <v>5105</v>
      </c>
      <c r="D858" s="29" t="s">
        <v>681</v>
      </c>
      <c r="E858" s="80" t="s">
        <v>5106</v>
      </c>
      <c r="F858" s="33" t="s">
        <v>5107</v>
      </c>
      <c r="G858" s="32" t="s">
        <v>46</v>
      </c>
      <c r="H858" s="25" t="s">
        <v>47</v>
      </c>
      <c r="I858" s="34"/>
      <c r="J858" s="35" t="s">
        <v>5108</v>
      </c>
      <c r="K858" s="27" t="s">
        <v>50</v>
      </c>
      <c r="L858" s="13" t="s">
        <v>5109</v>
      </c>
      <c r="M858" s="26" t="str">
        <f>VLOOKUP(E858,'MTS 2026 registrations'!B:B,1,false)</f>
        <v>#N/A</v>
      </c>
      <c r="N858" s="26" t="str">
        <f>VLOOKUP(B858,'MTS 2026 registrations'!A:A,1,false)</f>
        <v>#N/A</v>
      </c>
      <c r="O858" s="38" t="str">
        <f t="shared" si="2"/>
        <v>Marked</v>
      </c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23"/>
      <c r="AE858" s="23"/>
    </row>
    <row r="859" ht="12.75" customHeight="1">
      <c r="A859" s="19" t="str">
        <f t="shared" si="3"/>
        <v>Greet den holder minezk</v>
      </c>
      <c r="B859" s="19" t="s">
        <v>5110</v>
      </c>
      <c r="C859" s="72" t="s">
        <v>5111</v>
      </c>
      <c r="D859" s="72" t="s">
        <v>5112</v>
      </c>
      <c r="E859" s="30" t="s">
        <v>5113</v>
      </c>
      <c r="F859" s="29" t="s">
        <v>5114</v>
      </c>
      <c r="G859" s="32" t="s">
        <v>323</v>
      </c>
      <c r="H859" s="13" t="s">
        <v>45</v>
      </c>
      <c r="I859" s="34"/>
      <c r="J859" s="35" t="s">
        <v>5115</v>
      </c>
      <c r="K859" s="27" t="s">
        <v>50</v>
      </c>
      <c r="L859" s="13" t="s">
        <v>5116</v>
      </c>
      <c r="M859" s="26" t="str">
        <f>VLOOKUP(E859,'MTS 2026 registrations'!B:B,1,false)</f>
        <v>#N/A</v>
      </c>
      <c r="N859" s="26" t="str">
        <f>VLOOKUP(B859,'MTS 2026 registrations'!A:A,1,false)</f>
        <v>#N/A</v>
      </c>
      <c r="O859" s="38" t="str">
        <f t="shared" si="2"/>
        <v>Marked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23"/>
      <c r="AE859" s="23"/>
    </row>
    <row r="860" ht="12.75" customHeight="1">
      <c r="A860" s="19" t="str">
        <f t="shared" si="3"/>
        <v>Greg De Temmerman techleap</v>
      </c>
      <c r="B860" s="19" t="s">
        <v>5117</v>
      </c>
      <c r="C860" s="43" t="s">
        <v>5118</v>
      </c>
      <c r="D860" s="43" t="s">
        <v>5119</v>
      </c>
      <c r="E860" s="31" t="s">
        <v>5120</v>
      </c>
      <c r="F860" s="33" t="s">
        <v>1952</v>
      </c>
      <c r="G860" s="24" t="s">
        <v>29</v>
      </c>
      <c r="H860" s="25" t="s">
        <v>139</v>
      </c>
      <c r="I860" s="34"/>
      <c r="J860" s="35" t="s">
        <v>5121</v>
      </c>
      <c r="K860" s="27" t="s">
        <v>50</v>
      </c>
      <c r="L860" s="25" t="s">
        <v>5122</v>
      </c>
      <c r="M860" s="26" t="str">
        <f>VLOOKUP(E860,'MTS 2026 registrations'!B:B,1,false)</f>
        <v>#N/A</v>
      </c>
      <c r="N860" s="26" t="str">
        <f>VLOOKUP(B860,'MTS 2026 registrations'!A:A,1,false)</f>
        <v>#N/A</v>
      </c>
      <c r="O860" s="38" t="str">
        <f t="shared" si="2"/>
        <v>Marked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ht="12.75" customHeight="1">
      <c r="A861" s="19" t="str">
        <f t="shared" si="3"/>
        <v>Guido Hendriks gyromotics</v>
      </c>
      <c r="B861" s="19" t="s">
        <v>5123</v>
      </c>
      <c r="C861" s="20" t="s">
        <v>5124</v>
      </c>
      <c r="D861" s="20" t="s">
        <v>4443</v>
      </c>
      <c r="E861" s="21" t="s">
        <v>5125</v>
      </c>
      <c r="F861" s="23" t="s">
        <v>5126</v>
      </c>
      <c r="G861" s="32" t="s">
        <v>46</v>
      </c>
      <c r="H861" s="25" t="s">
        <v>47</v>
      </c>
      <c r="I861" s="23"/>
      <c r="J861" s="35" t="s">
        <v>5127</v>
      </c>
      <c r="K861" s="27" t="s">
        <v>50</v>
      </c>
      <c r="L861" s="13" t="s">
        <v>5128</v>
      </c>
      <c r="M861" s="26" t="str">
        <f>VLOOKUP(E861,'MTS 2026 registrations'!B:B,1,false)</f>
        <v>#N/A</v>
      </c>
      <c r="N861" s="26" t="str">
        <f>VLOOKUP(B861,'MTS 2026 registrations'!A:A,1,false)</f>
        <v>#N/A</v>
      </c>
      <c r="O861" s="38" t="str">
        <f t="shared" si="2"/>
        <v>Marked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2.75" customHeight="1">
      <c r="A862" s="19" t="str">
        <f t="shared" si="3"/>
        <v>Guido Sluijsmans nextdriver</v>
      </c>
      <c r="B862" s="19" t="s">
        <v>5129</v>
      </c>
      <c r="C862" s="138" t="s">
        <v>5124</v>
      </c>
      <c r="D862" s="138" t="s">
        <v>5130</v>
      </c>
      <c r="E862" s="139" t="s">
        <v>5131</v>
      </c>
      <c r="F862" s="23" t="s">
        <v>5132</v>
      </c>
      <c r="G862" s="32" t="s">
        <v>46</v>
      </c>
      <c r="H862" s="25" t="s">
        <v>139</v>
      </c>
      <c r="I862" s="23"/>
      <c r="J862" s="35" t="s">
        <v>5133</v>
      </c>
      <c r="K862" s="27" t="s">
        <v>50</v>
      </c>
      <c r="L862" s="13" t="s">
        <v>5134</v>
      </c>
      <c r="M862" s="26" t="str">
        <f>VLOOKUP(E862,'MTS 2026 registrations'!B:B,1,false)</f>
        <v>#N/A</v>
      </c>
      <c r="N862" s="26" t="str">
        <f>VLOOKUP(B862,'MTS 2026 registrations'!A:A,1,false)</f>
        <v>#N/A</v>
      </c>
      <c r="O862" s="38" t="str">
        <f t="shared" si="2"/>
        <v>Marked</v>
      </c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2.75" customHeight="1">
      <c r="A863" s="19" t="str">
        <f t="shared" si="3"/>
        <v>Guido Helmerhorst Warp vr</v>
      </c>
      <c r="B863" s="19" t="s">
        <v>5135</v>
      </c>
      <c r="C863" s="116" t="s">
        <v>5124</v>
      </c>
      <c r="D863" s="116" t="s">
        <v>5136</v>
      </c>
      <c r="E863" s="128" t="s">
        <v>5137</v>
      </c>
      <c r="F863" s="49" t="s">
        <v>5138</v>
      </c>
      <c r="G863" s="32" t="s">
        <v>46</v>
      </c>
      <c r="H863" s="25" t="s">
        <v>139</v>
      </c>
      <c r="I863" s="26"/>
      <c r="J863" s="35" t="s">
        <v>5139</v>
      </c>
      <c r="K863" s="27" t="s">
        <v>50</v>
      </c>
      <c r="L863" s="13" t="s">
        <v>5140</v>
      </c>
      <c r="M863" s="26" t="str">
        <f>VLOOKUP(E863,'MTS 2026 registrations'!B:B,1,false)</f>
        <v>#N/A</v>
      </c>
      <c r="N863" s="26" t="str">
        <f>VLOOKUP(B863,'MTS 2026 registrations'!A:A,1,false)</f>
        <v>#N/A</v>
      </c>
      <c r="O863" s="38" t="str">
        <f t="shared" si="2"/>
        <v>Marked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2.75" customHeight="1">
      <c r="A864" s="19" t="str">
        <f t="shared" si="3"/>
        <v>Guntur Sandino clevr.net</v>
      </c>
      <c r="B864" s="19" t="s">
        <v>5141</v>
      </c>
      <c r="C864" s="20" t="s">
        <v>5142</v>
      </c>
      <c r="D864" s="20" t="s">
        <v>5143</v>
      </c>
      <c r="E864" s="21" t="s">
        <v>5144</v>
      </c>
      <c r="F864" s="23" t="s">
        <v>5145</v>
      </c>
      <c r="G864" s="32" t="s">
        <v>46</v>
      </c>
      <c r="H864" s="25" t="s">
        <v>47</v>
      </c>
      <c r="I864" s="26"/>
      <c r="J864" s="35" t="s">
        <v>5146</v>
      </c>
      <c r="K864" s="27" t="s">
        <v>50</v>
      </c>
      <c r="L864" s="13" t="s">
        <v>5147</v>
      </c>
      <c r="M864" s="26" t="str">
        <f>VLOOKUP(E864,'MTS 2026 registrations'!B:B,1,false)</f>
        <v>#N/A</v>
      </c>
      <c r="N864" s="26" t="str">
        <f>VLOOKUP(B864,'MTS 2026 registrations'!A:A,1,false)</f>
        <v>#N/A</v>
      </c>
      <c r="O864" s="38" t="str">
        <f t="shared" si="2"/>
        <v>Marked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ht="12.75" customHeight="1">
      <c r="A865" s="19" t="str">
        <f t="shared" si="3"/>
        <v>Guus Stevens benedictpeax</v>
      </c>
      <c r="B865" s="19" t="s">
        <v>5148</v>
      </c>
      <c r="C865" s="29" t="s">
        <v>1730</v>
      </c>
      <c r="D865" s="29" t="s">
        <v>2942</v>
      </c>
      <c r="E865" s="30" t="s">
        <v>5149</v>
      </c>
      <c r="F865" s="29" t="s">
        <v>2195</v>
      </c>
      <c r="G865" s="24" t="s">
        <v>1447</v>
      </c>
      <c r="H865" s="13" t="s">
        <v>213</v>
      </c>
      <c r="I865" s="34"/>
      <c r="J865" s="35" t="s">
        <v>5150</v>
      </c>
      <c r="K865" s="27" t="s">
        <v>50</v>
      </c>
      <c r="L865" s="13" t="s">
        <v>5151</v>
      </c>
      <c r="M865" s="26" t="str">
        <f>VLOOKUP(E865,'MTS 2026 registrations'!B:B,1,false)</f>
        <v>#N/A</v>
      </c>
      <c r="N865" s="26" t="str">
        <f>VLOOKUP(B865,'MTS 2026 registrations'!A:A,1,false)</f>
        <v>#N/A</v>
      </c>
      <c r="O865" s="38" t="str">
        <f t="shared" si="2"/>
        <v>Marked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2.75" customHeight="1">
      <c r="A866" s="19" t="str">
        <f t="shared" si="3"/>
        <v>Guus Coolegem c-cube-international</v>
      </c>
      <c r="B866" s="19" t="s">
        <v>5152</v>
      </c>
      <c r="C866" s="20" t="s">
        <v>1730</v>
      </c>
      <c r="D866" s="20" t="s">
        <v>5153</v>
      </c>
      <c r="E866" s="21" t="s">
        <v>5154</v>
      </c>
      <c r="F866" s="23" t="s">
        <v>5054</v>
      </c>
      <c r="G866" s="32" t="s">
        <v>46</v>
      </c>
      <c r="H866" s="25" t="s">
        <v>47</v>
      </c>
      <c r="I866" s="26"/>
      <c r="J866" s="35" t="s">
        <v>5155</v>
      </c>
      <c r="K866" s="27" t="s">
        <v>50</v>
      </c>
      <c r="L866" s="13" t="s">
        <v>5156</v>
      </c>
      <c r="M866" s="26" t="str">
        <f>VLOOKUP(E866,'MTS 2026 registrations'!B:B,1,false)</f>
        <v>#N/A</v>
      </c>
      <c r="N866" s="26" t="str">
        <f>VLOOKUP(B866,'MTS 2026 registrations'!A:A,1,false)</f>
        <v>#N/A</v>
      </c>
      <c r="O866" s="38" t="str">
        <f t="shared" si="2"/>
        <v>Marked</v>
      </c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2.75" customHeight="1">
      <c r="A867" s="19" t="str">
        <f t="shared" si="3"/>
        <v>Gwen van Overbeke Gemeente Delft</v>
      </c>
      <c r="B867" s="19" t="s">
        <v>5157</v>
      </c>
      <c r="C867" s="138" t="s">
        <v>5158</v>
      </c>
      <c r="D867" s="138" t="s">
        <v>5159</v>
      </c>
      <c r="E867" s="139" t="s">
        <v>5160</v>
      </c>
      <c r="F867" s="71" t="s">
        <v>124</v>
      </c>
      <c r="G867" s="24" t="s">
        <v>323</v>
      </c>
      <c r="H867" s="25" t="s">
        <v>139</v>
      </c>
      <c r="I867" s="23"/>
      <c r="J867" s="35" t="s">
        <v>5161</v>
      </c>
      <c r="K867" s="27" t="s">
        <v>50</v>
      </c>
      <c r="L867" s="13" t="s">
        <v>5162</v>
      </c>
      <c r="M867" s="26" t="str">
        <f>VLOOKUP(E867,'MTS 2026 registrations'!B:B,1,false)</f>
        <v>#N/A</v>
      </c>
      <c r="N867" s="26" t="str">
        <f>VLOOKUP(B867,'MTS 2026 registrations'!A:A,1,false)</f>
        <v>#N/A</v>
      </c>
      <c r="O867" s="38" t="str">
        <f t="shared" si="2"/>
        <v>Marked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34"/>
      <c r="AE867" s="34"/>
    </row>
    <row r="868" ht="12.75" customHeight="1">
      <c r="A868" s="19" t="str">
        <f t="shared" si="3"/>
        <v>Hajo de Boer changekitchen</v>
      </c>
      <c r="B868" s="19" t="s">
        <v>5163</v>
      </c>
      <c r="C868" s="20" t="s">
        <v>5164</v>
      </c>
      <c r="D868" s="20" t="s">
        <v>5165</v>
      </c>
      <c r="E868" s="62" t="s">
        <v>5166</v>
      </c>
      <c r="F868" s="23" t="s">
        <v>5167</v>
      </c>
      <c r="G868" s="24" t="s">
        <v>225</v>
      </c>
      <c r="H868" s="25" t="s">
        <v>47</v>
      </c>
      <c r="I868" s="26"/>
      <c r="J868" s="35" t="s">
        <v>5168</v>
      </c>
      <c r="K868" s="27" t="s">
        <v>50</v>
      </c>
      <c r="L868" s="13" t="s">
        <v>5169</v>
      </c>
      <c r="M868" s="26" t="str">
        <f>VLOOKUP(E868,'MTS 2026 registrations'!B:B,1,false)</f>
        <v>#N/A</v>
      </c>
      <c r="N868" s="26" t="str">
        <f>VLOOKUP(B868,'MTS 2026 registrations'!A:A,1,false)</f>
        <v>#N/A</v>
      </c>
      <c r="O868" s="38" t="str">
        <f t="shared" si="2"/>
        <v>Marked</v>
      </c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34"/>
      <c r="AE868" s="34"/>
    </row>
    <row r="869" ht="12.75" customHeight="1">
      <c r="A869" s="19" t="str">
        <f t="shared" si="3"/>
        <v>Hanneke Franken fme</v>
      </c>
      <c r="B869" s="19" t="s">
        <v>5170</v>
      </c>
      <c r="C869" s="60" t="s">
        <v>5171</v>
      </c>
      <c r="D869" s="60" t="s">
        <v>5172</v>
      </c>
      <c r="E869" s="62" t="s">
        <v>5173</v>
      </c>
      <c r="F869" s="64" t="s">
        <v>2340</v>
      </c>
      <c r="G869" s="24" t="s">
        <v>69</v>
      </c>
      <c r="H869" s="25" t="s">
        <v>139</v>
      </c>
      <c r="I869" s="23"/>
      <c r="J869" s="35" t="s">
        <v>5174</v>
      </c>
      <c r="K869" s="27" t="s">
        <v>50</v>
      </c>
      <c r="L869" s="13" t="s">
        <v>5175</v>
      </c>
      <c r="M869" s="26" t="str">
        <f>VLOOKUP(E869,'MTS 2026 registrations'!B:B,1,false)</f>
        <v>#N/A</v>
      </c>
      <c r="N869" s="26" t="str">
        <f>VLOOKUP(B869,'MTS 2026 registrations'!A:A,1,false)</f>
        <v>#N/A</v>
      </c>
      <c r="O869" s="38" t="str">
        <f t="shared" si="2"/>
        <v>Marked</v>
      </c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2.75" customHeight="1">
      <c r="A870" s="19" t="str">
        <f t="shared" si="3"/>
        <v>Hanneke vanZanten Zanten</v>
      </c>
      <c r="B870" s="19" t="s">
        <v>5176</v>
      </c>
      <c r="C870" s="72" t="s">
        <v>5171</v>
      </c>
      <c r="D870" s="72" t="s">
        <v>5177</v>
      </c>
      <c r="E870" s="30" t="s">
        <v>5178</v>
      </c>
      <c r="F870" s="29" t="s">
        <v>5179</v>
      </c>
      <c r="G870" s="32" t="s">
        <v>43</v>
      </c>
      <c r="H870" s="13" t="s">
        <v>45</v>
      </c>
      <c r="I870" s="34"/>
      <c r="J870" s="35" t="s">
        <v>5180</v>
      </c>
      <c r="K870" s="27" t="s">
        <v>50</v>
      </c>
      <c r="L870" s="13" t="s">
        <v>5181</v>
      </c>
      <c r="M870" s="26" t="str">
        <f>VLOOKUP(E870,'MTS 2026 registrations'!B:B,1,false)</f>
        <v>#N/A</v>
      </c>
      <c r="N870" s="26" t="str">
        <f>VLOOKUP(B870,'MTS 2026 registrations'!A:A,1,false)</f>
        <v>#N/A</v>
      </c>
      <c r="O870" s="38" t="str">
        <f t="shared" si="2"/>
        <v>Marked</v>
      </c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23"/>
      <c r="AE870" s="23"/>
    </row>
    <row r="871" ht="12.75" customHeight="1">
      <c r="A871" s="19" t="str">
        <f t="shared" si="3"/>
        <v>Hans Antonissen DEMCON</v>
      </c>
      <c r="B871" s="19" t="s">
        <v>5182</v>
      </c>
      <c r="C871" s="156" t="s">
        <v>664</v>
      </c>
      <c r="D871" s="156" t="s">
        <v>5183</v>
      </c>
      <c r="E871" s="50" t="s">
        <v>5184</v>
      </c>
      <c r="F871" s="50" t="s">
        <v>5185</v>
      </c>
      <c r="G871" s="32" t="s">
        <v>69</v>
      </c>
      <c r="H871" s="25" t="s">
        <v>47</v>
      </c>
      <c r="I871" s="34"/>
      <c r="J871" s="35" t="s">
        <v>5186</v>
      </c>
      <c r="K871" s="27" t="s">
        <v>50</v>
      </c>
      <c r="L871" s="13" t="s">
        <v>5187</v>
      </c>
      <c r="M871" s="26" t="str">
        <f>VLOOKUP(E871,'MTS 2026 registrations'!B:B,1,false)</f>
        <v>#N/A</v>
      </c>
      <c r="N871" s="26" t="str">
        <f>VLOOKUP(B871,'MTS 2026 registrations'!A:A,1,false)</f>
        <v>#N/A</v>
      </c>
      <c r="O871" s="38" t="str">
        <f t="shared" si="2"/>
        <v>Marked</v>
      </c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</row>
    <row r="872" ht="12.75" customHeight="1">
      <c r="A872" s="19" t="str">
        <f t="shared" si="3"/>
        <v>Hans Dreijklufft Innovationquarter</v>
      </c>
      <c r="B872" s="19" t="s">
        <v>5188</v>
      </c>
      <c r="C872" s="20" t="s">
        <v>664</v>
      </c>
      <c r="D872" s="20" t="s">
        <v>5189</v>
      </c>
      <c r="E872" s="112" t="s">
        <v>5190</v>
      </c>
      <c r="F872" s="49" t="s">
        <v>5191</v>
      </c>
      <c r="G872" s="24" t="s">
        <v>163</v>
      </c>
      <c r="H872" s="25" t="s">
        <v>164</v>
      </c>
      <c r="I872" s="23"/>
      <c r="J872" s="35" t="s">
        <v>5192</v>
      </c>
      <c r="K872" s="27" t="s">
        <v>50</v>
      </c>
      <c r="L872" s="13" t="s">
        <v>5193</v>
      </c>
      <c r="M872" s="26" t="str">
        <f>VLOOKUP(E872,'MTS 2026 registrations'!B:B,1,false)</f>
        <v>#N/A</v>
      </c>
      <c r="N872" s="26" t="str">
        <f>VLOOKUP(B872,'MTS 2026 registrations'!A:A,1,false)</f>
        <v>#N/A</v>
      </c>
      <c r="O872" s="38" t="str">
        <f t="shared" si="2"/>
        <v>Marked</v>
      </c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34"/>
      <c r="AE872" s="34"/>
    </row>
    <row r="873" ht="12.75" customHeight="1">
      <c r="A873" s="19" t="str">
        <f t="shared" si="3"/>
        <v>Hans Koene sealedcycle</v>
      </c>
      <c r="B873" s="19" t="s">
        <v>5194</v>
      </c>
      <c r="C873" s="120" t="s">
        <v>664</v>
      </c>
      <c r="D873" s="20" t="s">
        <v>153</v>
      </c>
      <c r="E873" s="21" t="s">
        <v>5195</v>
      </c>
      <c r="F873" s="23" t="s">
        <v>5196</v>
      </c>
      <c r="G873" s="32" t="s">
        <v>46</v>
      </c>
      <c r="H873" s="25" t="s">
        <v>47</v>
      </c>
      <c r="I873" s="23"/>
      <c r="J873" s="35" t="s">
        <v>5197</v>
      </c>
      <c r="K873" s="27" t="s">
        <v>50</v>
      </c>
      <c r="L873" s="13" t="s">
        <v>5198</v>
      </c>
      <c r="M873" s="26" t="str">
        <f>VLOOKUP(E873,'MTS 2026 registrations'!B:B,1,false)</f>
        <v>#N/A</v>
      </c>
      <c r="N873" s="26" t="str">
        <f>VLOOKUP(B873,'MTS 2026 registrations'!A:A,1,false)</f>
        <v>#N/A</v>
      </c>
      <c r="O873" s="38" t="str">
        <f t="shared" si="2"/>
        <v>Marked</v>
      </c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34"/>
      <c r="AE873" s="34"/>
    </row>
    <row r="874" ht="12.75" customHeight="1">
      <c r="A874" s="19" t="str">
        <f t="shared" si="3"/>
        <v>Hans Quivooij Damen</v>
      </c>
      <c r="B874" s="19" t="s">
        <v>5199</v>
      </c>
      <c r="C874" s="116" t="s">
        <v>664</v>
      </c>
      <c r="D874" s="180" t="s">
        <v>5200</v>
      </c>
      <c r="E874" s="123" t="s">
        <v>5201</v>
      </c>
      <c r="F874" s="41" t="s">
        <v>852</v>
      </c>
      <c r="G874" s="24" t="s">
        <v>5202</v>
      </c>
      <c r="H874" s="25" t="s">
        <v>47</v>
      </c>
      <c r="I874" s="34"/>
      <c r="J874" s="35" t="s">
        <v>5203</v>
      </c>
      <c r="K874" s="27" t="s">
        <v>50</v>
      </c>
      <c r="L874" s="13" t="s">
        <v>5204</v>
      </c>
      <c r="M874" s="26" t="str">
        <f>VLOOKUP(E874,'MTS 2026 registrations'!B:B,1,false)</f>
        <v>hans.quivooij@damen.com</v>
      </c>
      <c r="N874" s="26" t="str">
        <f>VLOOKUP(B874,'MTS 2026 registrations'!A:A,1,false)</f>
        <v>Hans Quivooij</v>
      </c>
      <c r="O874" s="38" t="str">
        <f t="shared" si="2"/>
        <v/>
      </c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23"/>
      <c r="AE874" s="23"/>
    </row>
    <row r="875" ht="12.75" customHeight="1">
      <c r="A875" s="19" t="str">
        <f t="shared" si="3"/>
        <v>Hans Scheffer helloprint</v>
      </c>
      <c r="B875" s="19" t="s">
        <v>5205</v>
      </c>
      <c r="C875" s="134" t="s">
        <v>664</v>
      </c>
      <c r="D875" s="134" t="s">
        <v>5206</v>
      </c>
      <c r="E875" s="62" t="s">
        <v>5207</v>
      </c>
      <c r="F875" s="64" t="s">
        <v>5208</v>
      </c>
      <c r="G875" s="42" t="s">
        <v>1306</v>
      </c>
      <c r="H875" s="25" t="s">
        <v>139</v>
      </c>
      <c r="I875" s="23"/>
      <c r="J875" s="35" t="s">
        <v>5209</v>
      </c>
      <c r="K875" s="27" t="s">
        <v>50</v>
      </c>
      <c r="L875" s="13" t="s">
        <v>5210</v>
      </c>
      <c r="M875" s="26" t="str">
        <f>VLOOKUP(E875,'MTS 2026 registrations'!B:B,1,false)</f>
        <v>#N/A</v>
      </c>
      <c r="N875" s="26" t="str">
        <f>VLOOKUP(B875,'MTS 2026 registrations'!A:A,1,false)</f>
        <v>#N/A</v>
      </c>
      <c r="O875" s="38" t="str">
        <f t="shared" si="2"/>
        <v>Marked</v>
      </c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2.75" customHeight="1">
      <c r="A876" s="19" t="str">
        <f t="shared" si="3"/>
        <v>Hans Brouwer inchip</v>
      </c>
      <c r="B876" s="19" t="s">
        <v>5211</v>
      </c>
      <c r="C876" s="43" t="s">
        <v>664</v>
      </c>
      <c r="D876" s="43" t="s">
        <v>958</v>
      </c>
      <c r="E876" s="31" t="s">
        <v>5212</v>
      </c>
      <c r="F876" s="33" t="s">
        <v>5213</v>
      </c>
      <c r="G876" s="51" t="s">
        <v>163</v>
      </c>
      <c r="H876" s="25" t="s">
        <v>139</v>
      </c>
      <c r="I876" s="34"/>
      <c r="J876" s="35" t="s">
        <v>5214</v>
      </c>
      <c r="K876" s="27" t="s">
        <v>50</v>
      </c>
      <c r="L876" s="25" t="s">
        <v>5215</v>
      </c>
      <c r="M876" s="26" t="str">
        <f>VLOOKUP(E876,'MTS 2026 registrations'!B:B,1,false)</f>
        <v>#N/A</v>
      </c>
      <c r="N876" s="26" t="str">
        <f>VLOOKUP(B876,'MTS 2026 registrations'!A:A,1,false)</f>
        <v>#N/A</v>
      </c>
      <c r="O876" s="38" t="str">
        <f t="shared" si="2"/>
        <v>Marked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ht="12.75" customHeight="1">
      <c r="A877" s="19" t="str">
        <f t="shared" si="3"/>
        <v>Hans Wamelink tudelft</v>
      </c>
      <c r="B877" s="19" t="s">
        <v>5216</v>
      </c>
      <c r="C877" s="29" t="s">
        <v>664</v>
      </c>
      <c r="D877" s="29" t="s">
        <v>5217</v>
      </c>
      <c r="E877" s="140" t="s">
        <v>5218</v>
      </c>
      <c r="F877" s="29" t="s">
        <v>184</v>
      </c>
      <c r="G877" s="32" t="s">
        <v>43</v>
      </c>
      <c r="H877" s="13" t="s">
        <v>213</v>
      </c>
      <c r="I877" s="34"/>
      <c r="J877" s="35" t="s">
        <v>5219</v>
      </c>
      <c r="K877" s="27" t="s">
        <v>50</v>
      </c>
      <c r="L877" s="13" t="s">
        <v>5220</v>
      </c>
      <c r="M877" s="26" t="str">
        <f>VLOOKUP(E877,'MTS 2026 registrations'!B:B,1,false)</f>
        <v>#N/A</v>
      </c>
      <c r="N877" s="26" t="str">
        <f>VLOOKUP(B877,'MTS 2026 registrations'!A:A,1,false)</f>
        <v>#N/A</v>
      </c>
      <c r="O877" s="38" t="str">
        <f t="shared" si="2"/>
        <v>Marked</v>
      </c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2.75" customHeight="1">
      <c r="A878" s="19" t="str">
        <f t="shared" si="3"/>
        <v>Hans Boumans TNO</v>
      </c>
      <c r="B878" s="19" t="s">
        <v>5221</v>
      </c>
      <c r="C878" s="116" t="s">
        <v>5222</v>
      </c>
      <c r="D878" s="116" t="s">
        <v>5223</v>
      </c>
      <c r="E878" s="112" t="s">
        <v>5224</v>
      </c>
      <c r="F878" s="49" t="s">
        <v>2484</v>
      </c>
      <c r="G878" s="24" t="s">
        <v>43</v>
      </c>
      <c r="H878" s="25" t="s">
        <v>139</v>
      </c>
      <c r="I878" s="23"/>
      <c r="J878" s="35" t="s">
        <v>5225</v>
      </c>
      <c r="K878" s="27" t="s">
        <v>50</v>
      </c>
      <c r="L878" s="13" t="s">
        <v>5226</v>
      </c>
      <c r="M878" s="26" t="str">
        <f>VLOOKUP(E878,'MTS 2026 registrations'!B:B,1,false)</f>
        <v>#N/A</v>
      </c>
      <c r="N878" s="26" t="str">
        <f>VLOOKUP(B878,'MTS 2026 registrations'!A:A,1,false)</f>
        <v>#N/A</v>
      </c>
      <c r="O878" s="38" t="str">
        <f t="shared" si="2"/>
        <v>Marked</v>
      </c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34"/>
      <c r="AE878" s="34"/>
    </row>
    <row r="879" ht="12.75" customHeight="1">
      <c r="A879" s="19" t="str">
        <f t="shared" si="3"/>
        <v>Harm de Vries innovationindustries</v>
      </c>
      <c r="B879" s="19" t="s">
        <v>5227</v>
      </c>
      <c r="C879" s="20" t="s">
        <v>5228</v>
      </c>
      <c r="D879" s="20" t="s">
        <v>105</v>
      </c>
      <c r="E879" s="21" t="s">
        <v>5229</v>
      </c>
      <c r="F879" s="23" t="s">
        <v>2287</v>
      </c>
      <c r="G879" s="24" t="s">
        <v>163</v>
      </c>
      <c r="H879" s="25" t="s">
        <v>164</v>
      </c>
      <c r="I879" s="23"/>
      <c r="J879" s="35" t="s">
        <v>5230</v>
      </c>
      <c r="K879" s="27" t="s">
        <v>50</v>
      </c>
      <c r="L879" s="13" t="s">
        <v>5231</v>
      </c>
      <c r="M879" s="26" t="str">
        <f>VLOOKUP(E879,'MTS 2026 registrations'!B:B,1,false)</f>
        <v>#N/A</v>
      </c>
      <c r="N879" s="26" t="str">
        <f>VLOOKUP(B879,'MTS 2026 registrations'!A:A,1,false)</f>
        <v>#N/A</v>
      </c>
      <c r="O879" s="38" t="str">
        <f t="shared" si="2"/>
        <v>Marked</v>
      </c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2.75" customHeight="1">
      <c r="A880" s="19" t="str">
        <f t="shared" si="3"/>
        <v>Harmen Jonker whiffle</v>
      </c>
      <c r="B880" s="19" t="s">
        <v>5232</v>
      </c>
      <c r="C880" s="20" t="s">
        <v>5233</v>
      </c>
      <c r="D880" s="20" t="s">
        <v>2981</v>
      </c>
      <c r="E880" s="21" t="s">
        <v>5234</v>
      </c>
      <c r="F880" s="23" t="s">
        <v>5235</v>
      </c>
      <c r="G880" s="32" t="s">
        <v>46</v>
      </c>
      <c r="H880" s="25" t="s">
        <v>47</v>
      </c>
      <c r="I880" s="26"/>
      <c r="J880" s="35" t="s">
        <v>5236</v>
      </c>
      <c r="K880" s="27" t="s">
        <v>50</v>
      </c>
      <c r="L880" s="13" t="s">
        <v>5237</v>
      </c>
      <c r="M880" s="26" t="str">
        <f>VLOOKUP(E880,'MTS 2026 registrations'!B:B,1,false)</f>
        <v>#N/A</v>
      </c>
      <c r="N880" s="26" t="str">
        <f>VLOOKUP(B880,'MTS 2026 registrations'!A:A,1,false)</f>
        <v>#N/A</v>
      </c>
      <c r="O880" s="38" t="str">
        <f t="shared" si="2"/>
        <v>Marked</v>
      </c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34"/>
      <c r="AE880" s="34"/>
    </row>
    <row r="881" ht="12.75" customHeight="1">
      <c r="A881" s="19" t="str">
        <f t="shared" si="3"/>
        <v>Harry de Vries acoustic-insight</v>
      </c>
      <c r="B881" s="19" t="s">
        <v>5238</v>
      </c>
      <c r="C881" s="20" t="s">
        <v>1746</v>
      </c>
      <c r="D881" s="20" t="s">
        <v>105</v>
      </c>
      <c r="E881" s="21" t="s">
        <v>5239</v>
      </c>
      <c r="F881" s="23" t="s">
        <v>5240</v>
      </c>
      <c r="G881" s="32" t="s">
        <v>46</v>
      </c>
      <c r="H881" s="25" t="s">
        <v>47</v>
      </c>
      <c r="I881" s="26"/>
      <c r="J881" s="35" t="s">
        <v>5241</v>
      </c>
      <c r="K881" s="27" t="s">
        <v>50</v>
      </c>
      <c r="L881" s="13" t="s">
        <v>5242</v>
      </c>
      <c r="M881" s="26" t="str">
        <f>VLOOKUP(E881,'MTS 2026 registrations'!B:B,1,false)</f>
        <v>#N/A</v>
      </c>
      <c r="N881" s="26" t="str">
        <f>VLOOKUP(B881,'MTS 2026 registrations'!A:A,1,false)</f>
        <v>#N/A</v>
      </c>
      <c r="O881" s="38" t="str">
        <f t="shared" si="2"/>
        <v>Marked</v>
      </c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34"/>
      <c r="AE881" s="34"/>
    </row>
    <row r="882" ht="12.75" customHeight="1">
      <c r="A882" s="19" t="str">
        <f t="shared" si="3"/>
        <v>Harry Wientjens rabobank</v>
      </c>
      <c r="B882" s="19" t="s">
        <v>5243</v>
      </c>
      <c r="C882" s="134" t="s">
        <v>1746</v>
      </c>
      <c r="D882" s="134" t="s">
        <v>5244</v>
      </c>
      <c r="E882" s="62" t="s">
        <v>5245</v>
      </c>
      <c r="F882" s="64" t="s">
        <v>137</v>
      </c>
      <c r="G882" s="42" t="s">
        <v>69</v>
      </c>
      <c r="H882" s="25" t="s">
        <v>139</v>
      </c>
      <c r="I882" s="23"/>
      <c r="J882" s="35" t="s">
        <v>5246</v>
      </c>
      <c r="K882" s="27" t="s">
        <v>50</v>
      </c>
      <c r="L882" s="13" t="s">
        <v>5247</v>
      </c>
      <c r="M882" s="26" t="str">
        <f>VLOOKUP(E882,'MTS 2026 registrations'!B:B,1,false)</f>
        <v>#N/A</v>
      </c>
      <c r="N882" s="26" t="str">
        <f>VLOOKUP(B882,'MTS 2026 registrations'!A:A,1,false)</f>
        <v>#N/A</v>
      </c>
      <c r="O882" s="38" t="str">
        <f t="shared" si="2"/>
        <v>Marked</v>
      </c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34"/>
      <c r="AE882" s="34"/>
    </row>
    <row r="883" ht="12.75" customHeight="1">
      <c r="A883" s="19" t="str">
        <f t="shared" si="3"/>
        <v>Hayley Every eithealth</v>
      </c>
      <c r="B883" s="19" t="s">
        <v>5248</v>
      </c>
      <c r="C883" s="29" t="s">
        <v>5249</v>
      </c>
      <c r="D883" s="121" t="s">
        <v>5250</v>
      </c>
      <c r="E883" s="30" t="s">
        <v>5251</v>
      </c>
      <c r="F883" s="29" t="s">
        <v>5252</v>
      </c>
      <c r="G883" s="32" t="s">
        <v>29</v>
      </c>
      <c r="H883" s="13" t="s">
        <v>45</v>
      </c>
      <c r="I883" s="34"/>
      <c r="J883" s="35" t="s">
        <v>5253</v>
      </c>
      <c r="K883" s="27" t="s">
        <v>50</v>
      </c>
      <c r="L883" s="13" t="s">
        <v>5254</v>
      </c>
      <c r="M883" s="26" t="str">
        <f>VLOOKUP(E883,'MTS 2026 registrations'!B:B,1,false)</f>
        <v>#N/A</v>
      </c>
      <c r="N883" s="26" t="str">
        <f>VLOOKUP(B883,'MTS 2026 registrations'!A:A,1,false)</f>
        <v>#N/A</v>
      </c>
      <c r="O883" s="38" t="str">
        <f t="shared" si="2"/>
        <v>Marked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</row>
    <row r="884" ht="12.75" customHeight="1">
      <c r="A884" s="19" t="str">
        <f t="shared" si="3"/>
        <v>Hein Koelman tudelft</v>
      </c>
      <c r="B884" s="19" t="s">
        <v>5255</v>
      </c>
      <c r="C884" s="29" t="s">
        <v>669</v>
      </c>
      <c r="D884" s="29" t="s">
        <v>5256</v>
      </c>
      <c r="E884" s="140" t="s">
        <v>5257</v>
      </c>
      <c r="F884" s="29" t="s">
        <v>184</v>
      </c>
      <c r="G884" s="32" t="s">
        <v>43</v>
      </c>
      <c r="H884" s="13" t="s">
        <v>213</v>
      </c>
      <c r="I884" s="34"/>
      <c r="J884" s="35" t="s">
        <v>5258</v>
      </c>
      <c r="K884" s="27" t="s">
        <v>50</v>
      </c>
      <c r="L884" s="13" t="s">
        <v>5259</v>
      </c>
      <c r="M884" s="26" t="str">
        <f>VLOOKUP(E884,'MTS 2026 registrations'!B:B,1,false)</f>
        <v>#N/A</v>
      </c>
      <c r="N884" s="26" t="str">
        <f>VLOOKUP(B884,'MTS 2026 registrations'!A:A,1,false)</f>
        <v>#N/A</v>
      </c>
      <c r="O884" s="38" t="str">
        <f t="shared" si="2"/>
        <v>Marked</v>
      </c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34"/>
      <c r="AE884" s="34"/>
    </row>
    <row r="885" ht="12.75" customHeight="1">
      <c r="A885" s="19" t="str">
        <f t="shared" si="3"/>
        <v>Hein Olthof t-minus</v>
      </c>
      <c r="B885" s="19" t="s">
        <v>5260</v>
      </c>
      <c r="C885" s="20" t="s">
        <v>669</v>
      </c>
      <c r="D885" s="20" t="s">
        <v>5261</v>
      </c>
      <c r="E885" s="21" t="s">
        <v>5262</v>
      </c>
      <c r="F885" s="23" t="s">
        <v>4552</v>
      </c>
      <c r="G885" s="32" t="s">
        <v>46</v>
      </c>
      <c r="H885" s="25" t="s">
        <v>47</v>
      </c>
      <c r="I885" s="23"/>
      <c r="J885" s="35" t="s">
        <v>5263</v>
      </c>
      <c r="K885" s="27" t="s">
        <v>50</v>
      </c>
      <c r="L885" s="13" t="s">
        <v>5264</v>
      </c>
      <c r="M885" s="26" t="str">
        <f>VLOOKUP(E885,'MTS 2026 registrations'!B:B,1,false)</f>
        <v>#N/A</v>
      </c>
      <c r="N885" s="26" t="str">
        <f>VLOOKUP(B885,'MTS 2026 registrations'!A:A,1,false)</f>
        <v>#N/A</v>
      </c>
      <c r="O885" s="38" t="str">
        <f t="shared" si="2"/>
        <v>Marked</v>
      </c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34"/>
      <c r="AE885" s="34"/>
    </row>
    <row r="886" ht="12.75" customHeight="1">
      <c r="A886" s="19" t="str">
        <f t="shared" si="3"/>
        <v>Hein de Jong ten.investments</v>
      </c>
      <c r="B886" s="19" t="s">
        <v>5265</v>
      </c>
      <c r="C886" s="20" t="s">
        <v>669</v>
      </c>
      <c r="D886" s="20" t="s">
        <v>2009</v>
      </c>
      <c r="E886" s="21" t="s">
        <v>5266</v>
      </c>
      <c r="F886" s="23" t="s">
        <v>5267</v>
      </c>
      <c r="G886" s="24" t="s">
        <v>163</v>
      </c>
      <c r="H886" s="25" t="s">
        <v>164</v>
      </c>
      <c r="I886" s="23"/>
      <c r="J886" s="35" t="s">
        <v>5268</v>
      </c>
      <c r="K886" s="27" t="s">
        <v>50</v>
      </c>
      <c r="L886" s="13" t="s">
        <v>5269</v>
      </c>
      <c r="M886" s="26" t="str">
        <f>VLOOKUP(E886,'MTS 2026 registrations'!B:B,1,false)</f>
        <v>#N/A</v>
      </c>
      <c r="N886" s="26" t="str">
        <f>VLOOKUP(B886,'MTS 2026 registrations'!A:A,1,false)</f>
        <v>#N/A</v>
      </c>
      <c r="O886" s="38" t="str">
        <f t="shared" si="2"/>
        <v>Marked</v>
      </c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34"/>
      <c r="AE886" s="34"/>
    </row>
    <row r="887" ht="12.75" customHeight="1">
      <c r="A887" s="19" t="str">
        <f t="shared" si="3"/>
        <v>Heleen Geerts hhs</v>
      </c>
      <c r="B887" s="19" t="s">
        <v>5270</v>
      </c>
      <c r="C887" s="29" t="s">
        <v>5271</v>
      </c>
      <c r="D887" s="29" t="s">
        <v>5272</v>
      </c>
      <c r="E887" s="30" t="s">
        <v>5273</v>
      </c>
      <c r="F887" s="29" t="s">
        <v>2324</v>
      </c>
      <c r="G887" s="32" t="s">
        <v>43</v>
      </c>
      <c r="H887" s="13" t="s">
        <v>45</v>
      </c>
      <c r="I887" s="34"/>
      <c r="J887" s="35" t="s">
        <v>5274</v>
      </c>
      <c r="K887" s="27" t="s">
        <v>50</v>
      </c>
      <c r="L887" s="13" t="s">
        <v>5275</v>
      </c>
      <c r="M887" s="26" t="str">
        <f>VLOOKUP(E887,'MTS 2026 registrations'!B:B,1,false)</f>
        <v>#N/A</v>
      </c>
      <c r="N887" s="26" t="str">
        <f>VLOOKUP(B887,'MTS 2026 registrations'!A:A,1,false)</f>
        <v>#N/A</v>
      </c>
      <c r="O887" s="38" t="str">
        <f t="shared" si="2"/>
        <v>Marked</v>
      </c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</row>
    <row r="888" ht="12.75" customHeight="1">
      <c r="A888" s="19" t="str">
        <f t="shared" si="3"/>
        <v>Heleen Van Oord duravanoord; heleen</v>
      </c>
      <c r="B888" s="19" t="s">
        <v>5276</v>
      </c>
      <c r="C888" s="20" t="s">
        <v>5271</v>
      </c>
      <c r="D888" s="53" t="s">
        <v>5277</v>
      </c>
      <c r="E888" s="112" t="s">
        <v>5278</v>
      </c>
      <c r="F888" s="23" t="s">
        <v>5279</v>
      </c>
      <c r="G888" s="24" t="s">
        <v>163</v>
      </c>
      <c r="H888" s="25" t="s">
        <v>164</v>
      </c>
      <c r="I888" s="23"/>
      <c r="J888" s="35" t="s">
        <v>5280</v>
      </c>
      <c r="K888" s="27" t="s">
        <v>50</v>
      </c>
      <c r="L888" s="13" t="s">
        <v>5281</v>
      </c>
      <c r="M888" s="26" t="str">
        <f>VLOOKUP(E888,'MTS 2026 registrations'!B:B,1,false)</f>
        <v>#N/A</v>
      </c>
      <c r="N888" s="26" t="str">
        <f>VLOOKUP(B888,'MTS 2026 registrations'!A:A,1,false)</f>
        <v>#N/A</v>
      </c>
      <c r="O888" s="38" t="str">
        <f t="shared" si="2"/>
        <v>Marked</v>
      </c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34"/>
      <c r="AE888" s="34"/>
    </row>
    <row r="889" ht="12.75" customHeight="1">
      <c r="A889" s="19" t="str">
        <f t="shared" si="3"/>
        <v>Helena Pluimes tfhc</v>
      </c>
      <c r="B889" s="19" t="s">
        <v>5282</v>
      </c>
      <c r="C889" s="29" t="s">
        <v>5283</v>
      </c>
      <c r="D889" s="29" t="s">
        <v>5284</v>
      </c>
      <c r="E889" s="30" t="s">
        <v>5285</v>
      </c>
      <c r="F889" s="29" t="s">
        <v>5286</v>
      </c>
      <c r="G889" s="32" t="s">
        <v>1306</v>
      </c>
      <c r="H889" s="13" t="s">
        <v>45</v>
      </c>
      <c r="I889" s="34"/>
      <c r="J889" s="35" t="s">
        <v>5287</v>
      </c>
      <c r="K889" s="27" t="s">
        <v>50</v>
      </c>
      <c r="L889" s="13" t="s">
        <v>5288</v>
      </c>
      <c r="M889" s="26" t="str">
        <f>VLOOKUP(E889,'MTS 2026 registrations'!B:B,1,false)</f>
        <v>#N/A</v>
      </c>
      <c r="N889" s="26" t="str">
        <f>VLOOKUP(B889,'MTS 2026 registrations'!A:A,1,false)</f>
        <v>#N/A</v>
      </c>
      <c r="O889" s="38" t="str">
        <f t="shared" si="2"/>
        <v>Marked</v>
      </c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</row>
    <row r="890" ht="12.75" customHeight="1">
      <c r="A890" s="19" t="str">
        <f t="shared" si="3"/>
        <v>Hélène van Rijn mrdh</v>
      </c>
      <c r="B890" s="19" t="s">
        <v>5289</v>
      </c>
      <c r="C890" s="181" t="s">
        <v>5290</v>
      </c>
      <c r="D890" s="72" t="s">
        <v>251</v>
      </c>
      <c r="E890" s="30" t="s">
        <v>5291</v>
      </c>
      <c r="F890" s="29" t="s">
        <v>3843</v>
      </c>
      <c r="G890" s="32" t="s">
        <v>323</v>
      </c>
      <c r="H890" s="13" t="s">
        <v>45</v>
      </c>
      <c r="I890" s="34"/>
      <c r="J890" s="35" t="s">
        <v>5292</v>
      </c>
      <c r="K890" s="27" t="s">
        <v>50</v>
      </c>
      <c r="L890" s="13" t="s">
        <v>5293</v>
      </c>
      <c r="M890" s="26" t="str">
        <f>VLOOKUP(E890,'MTS 2026 registrations'!B:B,1,false)</f>
        <v>#N/A</v>
      </c>
      <c r="N890" s="26" t="str">
        <f>VLOOKUP(B890,'MTS 2026 registrations'!A:A,1,false)</f>
        <v>#N/A</v>
      </c>
      <c r="O890" s="38" t="str">
        <f t="shared" si="2"/>
        <v>Marked</v>
      </c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ht="12.75" customHeight="1">
      <c r="A891" s="19" t="str">
        <f t="shared" si="3"/>
        <v>Hélène Toet denhaag</v>
      </c>
      <c r="B891" s="19" t="s">
        <v>5294</v>
      </c>
      <c r="C891" s="60" t="s">
        <v>5290</v>
      </c>
      <c r="D891" s="60" t="s">
        <v>5295</v>
      </c>
      <c r="E891" s="62" t="s">
        <v>5296</v>
      </c>
      <c r="F891" s="64" t="s">
        <v>738</v>
      </c>
      <c r="G891" s="42" t="s">
        <v>323</v>
      </c>
      <c r="H891" s="25" t="s">
        <v>139</v>
      </c>
      <c r="I891" s="23"/>
      <c r="J891" s="35" t="s">
        <v>5297</v>
      </c>
      <c r="K891" s="27" t="s">
        <v>50</v>
      </c>
      <c r="L891" s="13" t="s">
        <v>5298</v>
      </c>
      <c r="M891" s="26" t="str">
        <f>VLOOKUP(E891,'MTS 2026 registrations'!B:B,1,false)</f>
        <v>#N/A</v>
      </c>
      <c r="N891" s="26" t="str">
        <f>VLOOKUP(B891,'MTS 2026 registrations'!A:A,1,false)</f>
        <v>#N/A</v>
      </c>
      <c r="O891" s="38" t="str">
        <f t="shared" si="2"/>
        <v>Marked</v>
      </c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2.75" customHeight="1">
      <c r="A892" s="19" t="str">
        <f t="shared" si="3"/>
        <v>Hendrik KplusV kplusv</v>
      </c>
      <c r="B892" s="19" t="s">
        <v>5299</v>
      </c>
      <c r="C892" s="20" t="s">
        <v>1754</v>
      </c>
      <c r="D892" s="20" t="s">
        <v>5300</v>
      </c>
      <c r="E892" s="21" t="s">
        <v>5301</v>
      </c>
      <c r="F892" s="23" t="s">
        <v>4852</v>
      </c>
      <c r="G892" s="24" t="s">
        <v>163</v>
      </c>
      <c r="H892" s="25" t="s">
        <v>164</v>
      </c>
      <c r="I892" s="34"/>
      <c r="J892" s="35" t="s">
        <v>5302</v>
      </c>
      <c r="K892" s="27" t="s">
        <v>50</v>
      </c>
      <c r="L892" s="13" t="s">
        <v>5303</v>
      </c>
      <c r="M892" s="26" t="str">
        <f>VLOOKUP(E892,'MTS 2026 registrations'!B:B,1,false)</f>
        <v>#N/A</v>
      </c>
      <c r="N892" s="26" t="str">
        <f>VLOOKUP(B892,'MTS 2026 registrations'!A:A,1,false)</f>
        <v>#N/A</v>
      </c>
      <c r="O892" s="38" t="str">
        <f t="shared" si="2"/>
        <v>Marked</v>
      </c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ht="12.75" customHeight="1">
      <c r="A893" s="19" t="str">
        <f t="shared" si="3"/>
        <v>Henk Stadhouders VDL</v>
      </c>
      <c r="B893" s="19" t="s">
        <v>5304</v>
      </c>
      <c r="C893" s="20" t="s">
        <v>680</v>
      </c>
      <c r="D893" s="20" t="s">
        <v>5305</v>
      </c>
      <c r="E893" s="21" t="s">
        <v>5306</v>
      </c>
      <c r="F893" s="49" t="s">
        <v>5307</v>
      </c>
      <c r="G893" s="24" t="s">
        <v>163</v>
      </c>
      <c r="H893" s="25" t="s">
        <v>164</v>
      </c>
      <c r="I893" s="26"/>
      <c r="J893" s="35" t="s">
        <v>5308</v>
      </c>
      <c r="K893" s="27" t="s">
        <v>50</v>
      </c>
      <c r="L893" s="13" t="s">
        <v>5309</v>
      </c>
      <c r="M893" s="26" t="str">
        <f>VLOOKUP(E893,'MTS 2026 registrations'!B:B,1,false)</f>
        <v>#N/A</v>
      </c>
      <c r="N893" s="26" t="str">
        <f>VLOOKUP(B893,'MTS 2026 registrations'!A:A,1,false)</f>
        <v>#N/A</v>
      </c>
      <c r="O893" s="38" t="str">
        <f t="shared" si="2"/>
        <v>Marked</v>
      </c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34"/>
      <c r="AE893" s="34"/>
    </row>
    <row r="894" ht="12.75" customHeight="1">
      <c r="A894" s="19" t="str">
        <f t="shared" si="3"/>
        <v>Henk Rusting lignitec</v>
      </c>
      <c r="B894" s="19" t="s">
        <v>5310</v>
      </c>
      <c r="C894" s="120" t="s">
        <v>5311</v>
      </c>
      <c r="D894" s="120" t="s">
        <v>5312</v>
      </c>
      <c r="E894" s="21" t="s">
        <v>5313</v>
      </c>
      <c r="F894" s="23" t="s">
        <v>5314</v>
      </c>
      <c r="G894" s="32" t="s">
        <v>46</v>
      </c>
      <c r="H894" s="25" t="s">
        <v>47</v>
      </c>
      <c r="I894" s="23"/>
      <c r="J894" s="35" t="s">
        <v>5315</v>
      </c>
      <c r="K894" s="27" t="s">
        <v>50</v>
      </c>
      <c r="L894" s="13" t="s">
        <v>5316</v>
      </c>
      <c r="M894" s="26" t="str">
        <f>VLOOKUP(E894,'MTS 2026 registrations'!B:B,1,false)</f>
        <v>#N/A</v>
      </c>
      <c r="N894" s="26" t="str">
        <f>VLOOKUP(B894,'MTS 2026 registrations'!A:A,1,false)</f>
        <v>#N/A</v>
      </c>
      <c r="O894" s="38" t="str">
        <f t="shared" si="2"/>
        <v>Marked</v>
      </c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34"/>
      <c r="AE894" s="34"/>
    </row>
    <row r="895" ht="12.75" customHeight="1">
      <c r="A895" s="19" t="str">
        <f t="shared" si="3"/>
        <v>Hennie Geelink vertepac</v>
      </c>
      <c r="B895" s="19" t="s">
        <v>5317</v>
      </c>
      <c r="C895" s="20" t="s">
        <v>5318</v>
      </c>
      <c r="D895" s="20" t="s">
        <v>5319</v>
      </c>
      <c r="E895" s="21" t="s">
        <v>5320</v>
      </c>
      <c r="F895" s="23" t="s">
        <v>5321</v>
      </c>
      <c r="G895" s="32" t="s">
        <v>46</v>
      </c>
      <c r="H895" s="25" t="s">
        <v>47</v>
      </c>
      <c r="I895" s="26"/>
      <c r="J895" s="35" t="s">
        <v>5322</v>
      </c>
      <c r="K895" s="27" t="s">
        <v>50</v>
      </c>
      <c r="L895" s="13" t="s">
        <v>5323</v>
      </c>
      <c r="M895" s="26" t="str">
        <f>VLOOKUP(E895,'MTS 2026 registrations'!B:B,1,false)</f>
        <v>#N/A</v>
      </c>
      <c r="N895" s="26" t="str">
        <f>VLOOKUP(B895,'MTS 2026 registrations'!A:A,1,false)</f>
        <v>#N/A</v>
      </c>
      <c r="O895" s="38" t="str">
        <f t="shared" si="2"/>
        <v>Marked</v>
      </c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34"/>
      <c r="AE895" s="34"/>
    </row>
    <row r="896" ht="12.75" customHeight="1">
      <c r="A896" s="19" t="str">
        <f t="shared" si="3"/>
        <v>Henri Werij tudelft</v>
      </c>
      <c r="B896" s="19" t="s">
        <v>5324</v>
      </c>
      <c r="C896" s="20" t="s">
        <v>5325</v>
      </c>
      <c r="D896" s="20" t="s">
        <v>5326</v>
      </c>
      <c r="E896" s="21" t="s">
        <v>5327</v>
      </c>
      <c r="F896" s="52" t="s">
        <v>184</v>
      </c>
      <c r="G896" s="32" t="s">
        <v>43</v>
      </c>
      <c r="H896" s="143" t="s">
        <v>139</v>
      </c>
      <c r="I896" s="26"/>
      <c r="J896" s="35" t="s">
        <v>5328</v>
      </c>
      <c r="K896" s="27" t="s">
        <v>50</v>
      </c>
      <c r="L896" s="27" t="s">
        <v>5329</v>
      </c>
      <c r="M896" s="26" t="str">
        <f>VLOOKUP(E896,'MTS 2026 registrations'!B:B,1,false)</f>
        <v>#N/A</v>
      </c>
      <c r="N896" s="26" t="str">
        <f>VLOOKUP(B896,'MTS 2026 registrations'!A:A,1,false)</f>
        <v>#N/A</v>
      </c>
      <c r="O896" s="38" t="str">
        <f t="shared" si="2"/>
        <v>Marked</v>
      </c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34"/>
      <c r="AE896" s="34"/>
    </row>
    <row r="897" ht="12.75" customHeight="1">
      <c r="A897" s="19" t="str">
        <f t="shared" si="3"/>
        <v>Henri tvilight</v>
      </c>
      <c r="B897" s="19" t="s">
        <v>5325</v>
      </c>
      <c r="C897" s="20" t="s">
        <v>5325</v>
      </c>
      <c r="D897" s="20"/>
      <c r="E897" s="21" t="s">
        <v>5330</v>
      </c>
      <c r="F897" s="23" t="s">
        <v>3939</v>
      </c>
      <c r="G897" s="32" t="s">
        <v>46</v>
      </c>
      <c r="H897" s="25" t="s">
        <v>47</v>
      </c>
      <c r="I897" s="26"/>
      <c r="J897" s="35" t="s">
        <v>5331</v>
      </c>
      <c r="K897" s="27" t="s">
        <v>50</v>
      </c>
      <c r="L897" s="13" t="s">
        <v>5332</v>
      </c>
      <c r="M897" s="26" t="str">
        <f>VLOOKUP(E897,'MTS 2026 registrations'!B:B,1,false)</f>
        <v>#N/A</v>
      </c>
      <c r="N897" s="26" t="str">
        <f>VLOOKUP(B897,'MTS 2026 registrations'!A:A,1,false)</f>
        <v>#N/A</v>
      </c>
      <c r="O897" s="38" t="str">
        <f t="shared" si="2"/>
        <v>Marked</v>
      </c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34"/>
      <c r="AE897" s="34"/>
    </row>
    <row r="898" ht="12.75" customHeight="1">
      <c r="A898" s="19" t="str">
        <f t="shared" si="3"/>
        <v>Herman Russchenberg tudelft</v>
      </c>
      <c r="B898" s="19" t="s">
        <v>5333</v>
      </c>
      <c r="C898" s="29" t="s">
        <v>5334</v>
      </c>
      <c r="D898" s="29" t="s">
        <v>5335</v>
      </c>
      <c r="E898" s="30" t="s">
        <v>5336</v>
      </c>
      <c r="F898" s="29" t="s">
        <v>184</v>
      </c>
      <c r="G898" s="32" t="s">
        <v>43</v>
      </c>
      <c r="H898" s="13" t="s">
        <v>213</v>
      </c>
      <c r="I898" s="34"/>
      <c r="J898" s="35" t="s">
        <v>5337</v>
      </c>
      <c r="K898" s="27" t="s">
        <v>50</v>
      </c>
      <c r="L898" s="13" t="s">
        <v>5338</v>
      </c>
      <c r="M898" s="26" t="str">
        <f>VLOOKUP(E898,'MTS 2026 registrations'!B:B,1,false)</f>
        <v>#N/A</v>
      </c>
      <c r="N898" s="26" t="str">
        <f>VLOOKUP(B898,'MTS 2026 registrations'!A:A,1,false)</f>
        <v>#N/A</v>
      </c>
      <c r="O898" s="38" t="str">
        <f t="shared" si="2"/>
        <v>Marked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34"/>
      <c r="AE898" s="34"/>
    </row>
    <row r="899" ht="12.75" customHeight="1">
      <c r="A899" s="19" t="str">
        <f t="shared" si="3"/>
        <v>Herman Hintzen henq</v>
      </c>
      <c r="B899" s="19" t="s">
        <v>5339</v>
      </c>
      <c r="C899" s="20" t="s">
        <v>5334</v>
      </c>
      <c r="D899" s="20" t="s">
        <v>5340</v>
      </c>
      <c r="E899" s="21" t="s">
        <v>5341</v>
      </c>
      <c r="F899" s="23" t="s">
        <v>4005</v>
      </c>
      <c r="G899" s="24" t="s">
        <v>163</v>
      </c>
      <c r="H899" s="25" t="s">
        <v>164</v>
      </c>
      <c r="I899" s="23"/>
      <c r="J899" s="35" t="s">
        <v>5342</v>
      </c>
      <c r="K899" s="27" t="s">
        <v>50</v>
      </c>
      <c r="L899" s="13" t="s">
        <v>5343</v>
      </c>
      <c r="M899" s="26" t="str">
        <f>VLOOKUP(E899,'MTS 2026 registrations'!B:B,1,false)</f>
        <v>#N/A</v>
      </c>
      <c r="N899" s="26" t="str">
        <f>VLOOKUP(B899,'MTS 2026 registrations'!A:A,1,false)</f>
        <v>#N/A</v>
      </c>
      <c r="O899" s="38" t="str">
        <f t="shared" si="2"/>
        <v>Marked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34"/>
      <c r="AE899" s="34"/>
    </row>
    <row r="900" ht="12.75" customHeight="1">
      <c r="A900" s="19" t="str">
        <f t="shared" si="3"/>
        <v>Herman van Bolhuis </v>
      </c>
      <c r="B900" s="19" t="s">
        <v>5344</v>
      </c>
      <c r="C900" s="20" t="s">
        <v>5334</v>
      </c>
      <c r="D900" s="20" t="s">
        <v>5345</v>
      </c>
      <c r="E900" s="21" t="s">
        <v>5346</v>
      </c>
      <c r="F900" s="23"/>
      <c r="G900" s="42" t="s">
        <v>1306</v>
      </c>
      <c r="H900" s="13" t="s">
        <v>213</v>
      </c>
      <c r="I900" s="26"/>
      <c r="J900" s="35" t="s">
        <v>5347</v>
      </c>
      <c r="K900" s="27" t="s">
        <v>50</v>
      </c>
      <c r="L900" s="13" t="s">
        <v>5348</v>
      </c>
      <c r="M900" s="26" t="str">
        <f>VLOOKUP(E900,'MTS 2026 registrations'!B:B,1,false)</f>
        <v>#N/A</v>
      </c>
      <c r="N900" s="26" t="str">
        <f>VLOOKUP(B900,'MTS 2026 registrations'!A:A,1,false)</f>
        <v>#N/A</v>
      </c>
      <c r="O900" s="38" t="str">
        <f t="shared" si="2"/>
        <v>Marked</v>
      </c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34"/>
      <c r="AE900" s="34"/>
    </row>
    <row r="901" ht="12.75" customHeight="1">
      <c r="A901" s="19" t="str">
        <f t="shared" si="3"/>
        <v>Herry Bruins technetdelft</v>
      </c>
      <c r="B901" s="19" t="s">
        <v>5349</v>
      </c>
      <c r="C901" s="29" t="s">
        <v>5350</v>
      </c>
      <c r="D901" s="29" t="s">
        <v>5351</v>
      </c>
      <c r="E901" s="30" t="s">
        <v>5352</v>
      </c>
      <c r="F901" s="29" t="s">
        <v>5353</v>
      </c>
      <c r="G901" s="32" t="s">
        <v>323</v>
      </c>
      <c r="H901" s="13" t="s">
        <v>213</v>
      </c>
      <c r="I901" s="23"/>
      <c r="J901" s="35" t="s">
        <v>5354</v>
      </c>
      <c r="K901" s="27" t="s">
        <v>50</v>
      </c>
      <c r="L901" s="13" t="s">
        <v>5355</v>
      </c>
      <c r="M901" s="26" t="str">
        <f>VLOOKUP(E901,'MTS 2026 registrations'!B:B,1,false)</f>
        <v>#N/A</v>
      </c>
      <c r="N901" s="26" t="str">
        <f>VLOOKUP(B901,'MTS 2026 registrations'!A:A,1,false)</f>
        <v>#N/A</v>
      </c>
      <c r="O901" s="38" t="str">
        <f t="shared" si="2"/>
        <v>Marked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34"/>
      <c r="AE901" s="34"/>
    </row>
    <row r="902" ht="12.75" customHeight="1">
      <c r="A902" s="19" t="str">
        <f t="shared" si="3"/>
        <v>Hessel Jongebreur </v>
      </c>
      <c r="B902" s="19" t="s">
        <v>5356</v>
      </c>
      <c r="C902" s="20" t="s">
        <v>1758</v>
      </c>
      <c r="D902" s="20" t="s">
        <v>5357</v>
      </c>
      <c r="E902" s="21" t="s">
        <v>5358</v>
      </c>
      <c r="F902" s="52"/>
      <c r="G902" s="24" t="s">
        <v>29</v>
      </c>
      <c r="H902" s="25" t="s">
        <v>47</v>
      </c>
      <c r="I902" s="26"/>
      <c r="J902" s="35" t="s">
        <v>5359</v>
      </c>
      <c r="K902" s="27" t="s">
        <v>50</v>
      </c>
      <c r="L902" s="13" t="s">
        <v>5360</v>
      </c>
      <c r="M902" s="26" t="str">
        <f>VLOOKUP(E902,'MTS 2026 registrations'!B:B,1,false)</f>
        <v>#N/A</v>
      </c>
      <c r="N902" s="26" t="str">
        <f>VLOOKUP(B902,'MTS 2026 registrations'!A:A,1,false)</f>
        <v>#N/A</v>
      </c>
      <c r="O902" s="38" t="str">
        <f t="shared" si="2"/>
        <v>Marked</v>
      </c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34"/>
      <c r="AE902" s="34"/>
    </row>
    <row r="903" ht="12.75" customHeight="1">
      <c r="A903" s="19" t="str">
        <f t="shared" si="3"/>
        <v>Hijmen Twillert rotterdam</v>
      </c>
      <c r="B903" s="19" t="s">
        <v>5361</v>
      </c>
      <c r="C903" s="72" t="s">
        <v>5362</v>
      </c>
      <c r="D903" s="72" t="s">
        <v>5363</v>
      </c>
      <c r="E903" s="30" t="s">
        <v>5364</v>
      </c>
      <c r="F903" s="29" t="s">
        <v>1597</v>
      </c>
      <c r="G903" s="32" t="s">
        <v>323</v>
      </c>
      <c r="H903" s="13" t="s">
        <v>45</v>
      </c>
      <c r="I903" s="34"/>
      <c r="J903" s="35" t="s">
        <v>5365</v>
      </c>
      <c r="K903" s="27" t="s">
        <v>50</v>
      </c>
      <c r="L903" s="13" t="s">
        <v>5366</v>
      </c>
      <c r="M903" s="26" t="str">
        <f>VLOOKUP(E903,'MTS 2026 registrations'!B:B,1,false)</f>
        <v>#N/A</v>
      </c>
      <c r="N903" s="26" t="str">
        <f>VLOOKUP(B903,'MTS 2026 registrations'!A:A,1,false)</f>
        <v>#N/A</v>
      </c>
      <c r="O903" s="38" t="str">
        <f t="shared" si="2"/>
        <v>Marked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23"/>
      <c r="AE903" s="23"/>
    </row>
    <row r="904" ht="12.75" customHeight="1">
      <c r="A904" s="19" t="str">
        <f t="shared" si="3"/>
        <v>Hitaf Ghazal Partners with Sun</v>
      </c>
      <c r="B904" s="19" t="s">
        <v>5367</v>
      </c>
      <c r="C904" s="60" t="s">
        <v>5368</v>
      </c>
      <c r="D904" s="60" t="s">
        <v>5369</v>
      </c>
      <c r="E904" s="62" t="s">
        <v>5370</v>
      </c>
      <c r="F904" s="23" t="s">
        <v>5371</v>
      </c>
      <c r="G904" s="24" t="s">
        <v>750</v>
      </c>
      <c r="H904" s="25" t="s">
        <v>31</v>
      </c>
      <c r="I904" s="23"/>
      <c r="J904" s="35" t="s">
        <v>5372</v>
      </c>
      <c r="K904" s="27" t="s">
        <v>50</v>
      </c>
      <c r="L904" s="13" t="s">
        <v>5373</v>
      </c>
      <c r="M904" s="26" t="str">
        <f>VLOOKUP(E904,'MTS 2026 registrations'!B:B,1,false)</f>
        <v>#N/A</v>
      </c>
      <c r="N904" s="26" t="str">
        <f>VLOOKUP(B904,'MTS 2026 registrations'!A:A,1,false)</f>
        <v>#N/A</v>
      </c>
      <c r="O904" s="38" t="str">
        <f t="shared" si="2"/>
        <v>Marked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2.75" customHeight="1">
      <c r="A905" s="19" t="str">
        <f t="shared" si="3"/>
        <v>Hjalmar Raemdonck Ephicas</v>
      </c>
      <c r="B905" s="19" t="s">
        <v>5374</v>
      </c>
      <c r="C905" s="29" t="s">
        <v>5375</v>
      </c>
      <c r="D905" s="29" t="s">
        <v>5376</v>
      </c>
      <c r="E905" s="31" t="s">
        <v>5377</v>
      </c>
      <c r="F905" s="33" t="s">
        <v>729</v>
      </c>
      <c r="G905" s="24" t="s">
        <v>46</v>
      </c>
      <c r="H905" s="25" t="s">
        <v>47</v>
      </c>
      <c r="I905" s="34"/>
      <c r="J905" s="35" t="s">
        <v>5378</v>
      </c>
      <c r="K905" s="27" t="s">
        <v>50</v>
      </c>
      <c r="L905" s="13" t="s">
        <v>5379</v>
      </c>
      <c r="M905" s="26" t="str">
        <f>VLOOKUP(E905,'MTS 2026 registrations'!B:B,1,false)</f>
        <v>#N/A</v>
      </c>
      <c r="N905" s="26" t="str">
        <f>VLOOKUP(B905,'MTS 2026 registrations'!A:A,1,false)</f>
        <v>#N/A</v>
      </c>
      <c r="O905" s="38" t="str">
        <f t="shared" si="2"/>
        <v>Marked</v>
      </c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23"/>
      <c r="AE905" s="23"/>
    </row>
    <row r="906" ht="12.75" customHeight="1">
      <c r="A906" s="19" t="str">
        <f t="shared" si="3"/>
        <v>Hossein Kamkar SilicoGene</v>
      </c>
      <c r="B906" s="19" t="s">
        <v>5380</v>
      </c>
      <c r="C906" s="60" t="s">
        <v>5381</v>
      </c>
      <c r="D906" s="60" t="s">
        <v>5382</v>
      </c>
      <c r="E906" s="62" t="s">
        <v>5383</v>
      </c>
      <c r="F906" s="23" t="s">
        <v>5384</v>
      </c>
      <c r="G906" s="24" t="s">
        <v>750</v>
      </c>
      <c r="H906" s="25" t="s">
        <v>31</v>
      </c>
      <c r="I906" s="34"/>
      <c r="J906" s="35" t="s">
        <v>5385</v>
      </c>
      <c r="K906" s="27" t="s">
        <v>50</v>
      </c>
      <c r="L906" s="13" t="s">
        <v>5386</v>
      </c>
      <c r="M906" s="26" t="str">
        <f>VLOOKUP(E906,'MTS 2026 registrations'!B:B,1,false)</f>
        <v>#N/A</v>
      </c>
      <c r="N906" s="26" t="str">
        <f>VLOOKUP(B906,'MTS 2026 registrations'!A:A,1,false)</f>
        <v>Hossein Kamkar</v>
      </c>
      <c r="O906" s="38" t="str">
        <f t="shared" si="2"/>
        <v/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23"/>
      <c r="AE906" s="23"/>
    </row>
    <row r="907" ht="12.75" customHeight="1">
      <c r="A907" s="19" t="str">
        <f t="shared" si="3"/>
        <v>Hugo Romer memsys</v>
      </c>
      <c r="B907" s="19" t="s">
        <v>5387</v>
      </c>
      <c r="C907" s="29" t="s">
        <v>2481</v>
      </c>
      <c r="D907" s="29" t="s">
        <v>5388</v>
      </c>
      <c r="E907" s="30" t="s">
        <v>5389</v>
      </c>
      <c r="F907" s="29" t="s">
        <v>5390</v>
      </c>
      <c r="G907" s="32" t="s">
        <v>46</v>
      </c>
      <c r="H907" s="13" t="s">
        <v>213</v>
      </c>
      <c r="I907" s="23"/>
      <c r="J907" s="35" t="s">
        <v>5391</v>
      </c>
      <c r="K907" s="27" t="s">
        <v>50</v>
      </c>
      <c r="L907" s="13" t="s">
        <v>5392</v>
      </c>
      <c r="M907" s="26" t="str">
        <f>VLOOKUP(E907,'MTS 2026 registrations'!B:B,1,false)</f>
        <v>#N/A</v>
      </c>
      <c r="N907" s="26" t="str">
        <f>VLOOKUP(B907,'MTS 2026 registrations'!A:A,1,false)</f>
        <v>#N/A</v>
      </c>
      <c r="O907" s="38" t="str">
        <f t="shared" si="2"/>
        <v>Marked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34"/>
      <c r="AE907" s="34"/>
    </row>
    <row r="908" ht="12.75" customHeight="1">
      <c r="A908" s="19" t="str">
        <f t="shared" si="3"/>
        <v>Huub Douma Quantairra Research and Development Services B.V.</v>
      </c>
      <c r="B908" s="19" t="s">
        <v>5393</v>
      </c>
      <c r="C908" s="29" t="s">
        <v>5394</v>
      </c>
      <c r="D908" s="29" t="s">
        <v>5395</v>
      </c>
      <c r="E908" s="62" t="s">
        <v>5396</v>
      </c>
      <c r="F908" s="50" t="s">
        <v>5397</v>
      </c>
      <c r="G908" s="32" t="s">
        <v>46</v>
      </c>
      <c r="H908" s="25" t="s">
        <v>139</v>
      </c>
      <c r="I908" s="23"/>
      <c r="J908" s="35" t="s">
        <v>5398</v>
      </c>
      <c r="K908" s="27" t="s">
        <v>50</v>
      </c>
      <c r="L908" s="13" t="s">
        <v>5399</v>
      </c>
      <c r="M908" s="26" t="str">
        <f>VLOOKUP(E908,'MTS 2026 registrations'!B:B,1,false)</f>
        <v>#N/A</v>
      </c>
      <c r="N908" s="26" t="str">
        <f>VLOOKUP(B908,'MTS 2026 registrations'!A:A,1,false)</f>
        <v>#N/A</v>
      </c>
      <c r="O908" s="38" t="str">
        <f t="shared" si="2"/>
        <v>Marked</v>
      </c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34"/>
      <c r="AE908" s="34"/>
    </row>
    <row r="909" ht="12.75" customHeight="1">
      <c r="A909" s="19" t="str">
        <f t="shared" si="3"/>
        <v>Ian Wachters rosemanlabs</v>
      </c>
      <c r="B909" s="19" t="s">
        <v>5400</v>
      </c>
      <c r="C909" s="158" t="s">
        <v>5401</v>
      </c>
      <c r="D909" s="158" t="s">
        <v>5402</v>
      </c>
      <c r="E909" s="139" t="s">
        <v>5403</v>
      </c>
      <c r="F909" s="64" t="s">
        <v>5404</v>
      </c>
      <c r="G909" s="32" t="s">
        <v>46</v>
      </c>
      <c r="H909" s="25" t="s">
        <v>47</v>
      </c>
      <c r="I909" s="49" t="s">
        <v>2485</v>
      </c>
      <c r="J909" s="35" t="s">
        <v>5405</v>
      </c>
      <c r="K909" s="27" t="s">
        <v>50</v>
      </c>
      <c r="L909" s="13" t="s">
        <v>4899</v>
      </c>
      <c r="M909" s="26" t="str">
        <f>VLOOKUP(E909,'MTS 2026 registrations'!B:B,1,false)</f>
        <v>#N/A</v>
      </c>
      <c r="N909" s="26" t="str">
        <f>VLOOKUP(B909,'MTS 2026 registrations'!A:A,1,false)</f>
        <v>#N/A</v>
      </c>
      <c r="O909" s="38" t="str">
        <f t="shared" si="2"/>
        <v>Marked</v>
      </c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34"/>
      <c r="AE909" s="34"/>
    </row>
    <row r="910" ht="12.75" customHeight="1">
      <c r="A910" s="19" t="str">
        <f t="shared" si="3"/>
        <v>Ignacio Beytia damen</v>
      </c>
      <c r="B910" s="19" t="s">
        <v>5406</v>
      </c>
      <c r="C910" s="20" t="s">
        <v>5407</v>
      </c>
      <c r="D910" s="20" t="s">
        <v>5408</v>
      </c>
      <c r="E910" s="21" t="s">
        <v>5409</v>
      </c>
      <c r="F910" s="23" t="s">
        <v>2744</v>
      </c>
      <c r="G910" s="24" t="s">
        <v>163</v>
      </c>
      <c r="H910" s="25" t="s">
        <v>164</v>
      </c>
      <c r="I910" s="23"/>
      <c r="J910" s="35" t="s">
        <v>5410</v>
      </c>
      <c r="K910" s="27" t="s">
        <v>50</v>
      </c>
      <c r="L910" s="13" t="s">
        <v>5411</v>
      </c>
      <c r="M910" s="26" t="str">
        <f>VLOOKUP(E910,'MTS 2026 registrations'!B:B,1,false)</f>
        <v>#N/A</v>
      </c>
      <c r="N910" s="26" t="str">
        <f>VLOOKUP(B910,'MTS 2026 registrations'!A:A,1,false)</f>
        <v>#N/A</v>
      </c>
      <c r="O910" s="38" t="str">
        <f t="shared" si="2"/>
        <v>Marked</v>
      </c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34"/>
      <c r="AE910" s="34"/>
    </row>
    <row r="911" ht="12.75" customHeight="1">
      <c r="A911" s="19" t="str">
        <f t="shared" si="3"/>
        <v>Ijsbrand de Lange STIL</v>
      </c>
      <c r="B911" s="19" t="s">
        <v>5412</v>
      </c>
      <c r="C911" s="20" t="s">
        <v>5413</v>
      </c>
      <c r="D911" s="20" t="s">
        <v>5414</v>
      </c>
      <c r="E911" s="21" t="s">
        <v>5415</v>
      </c>
      <c r="F911" s="50" t="s">
        <v>5416</v>
      </c>
      <c r="G911" s="32" t="s">
        <v>46</v>
      </c>
      <c r="H911" s="25" t="s">
        <v>47</v>
      </c>
      <c r="I911" s="23"/>
      <c r="J911" s="35" t="s">
        <v>5417</v>
      </c>
      <c r="K911" s="27" t="s">
        <v>50</v>
      </c>
      <c r="L911" s="13" t="s">
        <v>5418</v>
      </c>
      <c r="M911" s="26" t="str">
        <f>VLOOKUP(E911,'MTS 2026 registrations'!B:B,1,false)</f>
        <v>#N/A</v>
      </c>
      <c r="N911" s="26" t="str">
        <f>VLOOKUP(B911,'MTS 2026 registrations'!A:A,1,false)</f>
        <v>#N/A</v>
      </c>
      <c r="O911" s="38" t="str">
        <f t="shared" si="2"/>
        <v>Marked</v>
      </c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34"/>
      <c r="AE911" s="34"/>
    </row>
    <row r="912" ht="12.75" customHeight="1">
      <c r="A912" s="19" t="str">
        <f t="shared" si="3"/>
        <v>Ilja Ootegem pzh</v>
      </c>
      <c r="B912" s="19" t="s">
        <v>5419</v>
      </c>
      <c r="C912" s="29" t="s">
        <v>5420</v>
      </c>
      <c r="D912" s="29" t="s">
        <v>5421</v>
      </c>
      <c r="E912" s="30" t="s">
        <v>5422</v>
      </c>
      <c r="F912" s="29" t="s">
        <v>1532</v>
      </c>
      <c r="G912" s="32" t="s">
        <v>323</v>
      </c>
      <c r="H912" s="13" t="s">
        <v>45</v>
      </c>
      <c r="I912" s="34"/>
      <c r="J912" s="35" t="s">
        <v>5423</v>
      </c>
      <c r="K912" s="27" t="s">
        <v>50</v>
      </c>
      <c r="L912" s="13" t="s">
        <v>5424</v>
      </c>
      <c r="M912" s="26" t="str">
        <f>VLOOKUP(E912,'MTS 2026 registrations'!B:B,1,false)</f>
        <v>#N/A</v>
      </c>
      <c r="N912" s="26" t="str">
        <f>VLOOKUP(B912,'MTS 2026 registrations'!A:A,1,false)</f>
        <v>#N/A</v>
      </c>
      <c r="O912" s="38" t="str">
        <f t="shared" si="2"/>
        <v>Marked</v>
      </c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ht="12.75" customHeight="1">
      <c r="A913" s="19" t="str">
        <f t="shared" si="3"/>
        <v>Ilmatar Lutje Schipholt INH</v>
      </c>
      <c r="B913" s="19" t="s">
        <v>5425</v>
      </c>
      <c r="C913" s="156" t="s">
        <v>5426</v>
      </c>
      <c r="D913" s="156" t="s">
        <v>5427</v>
      </c>
      <c r="E913" s="50" t="s">
        <v>5428</v>
      </c>
      <c r="F913" s="50" t="s">
        <v>5429</v>
      </c>
      <c r="G913" s="32" t="s">
        <v>163</v>
      </c>
      <c r="H913" s="25" t="s">
        <v>164</v>
      </c>
      <c r="I913" s="34"/>
      <c r="J913" s="35" t="s">
        <v>5430</v>
      </c>
      <c r="K913" s="27" t="s">
        <v>50</v>
      </c>
      <c r="L913" s="13" t="s">
        <v>5431</v>
      </c>
      <c r="M913" s="26" t="str">
        <f>VLOOKUP(E913,'MTS 2026 registrations'!B:B,1,false)</f>
        <v>#N/A</v>
      </c>
      <c r="N913" s="26" t="str">
        <f>VLOOKUP(B913,'MTS 2026 registrations'!A:A,1,false)</f>
        <v>#N/A</v>
      </c>
      <c r="O913" s="38" t="str">
        <f t="shared" si="2"/>
        <v>Marked</v>
      </c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ht="12.75" customHeight="1">
      <c r="A914" s="19" t="str">
        <f t="shared" si="3"/>
        <v>Ilse Gulsen-Stroo siemens</v>
      </c>
      <c r="B914" s="19" t="s">
        <v>5432</v>
      </c>
      <c r="C914" s="60" t="s">
        <v>1242</v>
      </c>
      <c r="D914" s="60" t="s">
        <v>5433</v>
      </c>
      <c r="E914" s="62" t="s">
        <v>5434</v>
      </c>
      <c r="F914" s="64" t="s">
        <v>4309</v>
      </c>
      <c r="G914" s="42" t="s">
        <v>56</v>
      </c>
      <c r="H914" s="25" t="s">
        <v>139</v>
      </c>
      <c r="I914" s="23"/>
      <c r="J914" s="35" t="s">
        <v>5435</v>
      </c>
      <c r="K914" s="27" t="s">
        <v>50</v>
      </c>
      <c r="L914" s="13" t="s">
        <v>5436</v>
      </c>
      <c r="M914" s="26" t="str">
        <f>VLOOKUP(E914,'MTS 2026 registrations'!B:B,1,false)</f>
        <v>#N/A</v>
      </c>
      <c r="N914" s="26" t="str">
        <f>VLOOKUP(B914,'MTS 2026 registrations'!A:A,1,false)</f>
        <v>#N/A</v>
      </c>
      <c r="O914" s="38" t="str">
        <f t="shared" si="2"/>
        <v>Marked</v>
      </c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34"/>
      <c r="AE914" s="34"/>
    </row>
    <row r="915" ht="12.75" customHeight="1">
      <c r="A915" s="19" t="str">
        <f t="shared" si="3"/>
        <v>Immanuel Nijssen eur</v>
      </c>
      <c r="B915" s="19" t="s">
        <v>5437</v>
      </c>
      <c r="C915" s="134" t="s">
        <v>5438</v>
      </c>
      <c r="D915" s="60" t="s">
        <v>5439</v>
      </c>
      <c r="E915" s="62" t="s">
        <v>5440</v>
      </c>
      <c r="F915" s="64" t="s">
        <v>41</v>
      </c>
      <c r="G915" s="42" t="s">
        <v>43</v>
      </c>
      <c r="H915" s="25" t="s">
        <v>139</v>
      </c>
      <c r="I915" s="23"/>
      <c r="J915" s="35" t="s">
        <v>5441</v>
      </c>
      <c r="K915" s="27" t="s">
        <v>50</v>
      </c>
      <c r="L915" s="13" t="s">
        <v>5442</v>
      </c>
      <c r="M915" s="26" t="str">
        <f>VLOOKUP(E915,'MTS 2026 registrations'!B:B,1,false)</f>
        <v>#N/A</v>
      </c>
      <c r="N915" s="26" t="str">
        <f>VLOOKUP(B915,'MTS 2026 registrations'!A:A,1,false)</f>
        <v>#N/A</v>
      </c>
      <c r="O915" s="38" t="str">
        <f t="shared" si="2"/>
        <v>Marked</v>
      </c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34"/>
      <c r="AE915" s="34"/>
    </row>
    <row r="916" ht="12.75" customHeight="1">
      <c r="A916" s="19" t="str">
        <f t="shared" si="3"/>
        <v>Imro Duysker MIND</v>
      </c>
      <c r="B916" s="19" t="s">
        <v>5443</v>
      </c>
      <c r="C916" s="156" t="s">
        <v>5444</v>
      </c>
      <c r="D916" s="156" t="s">
        <v>5445</v>
      </c>
      <c r="E916" s="50" t="s">
        <v>5446</v>
      </c>
      <c r="F916" s="50" t="s">
        <v>2178</v>
      </c>
      <c r="G916" s="24" t="s">
        <v>225</v>
      </c>
      <c r="H916" s="25" t="s">
        <v>47</v>
      </c>
      <c r="I916" s="34"/>
      <c r="J916" s="35" t="s">
        <v>5447</v>
      </c>
      <c r="K916" s="27" t="s">
        <v>50</v>
      </c>
      <c r="L916" s="13" t="s">
        <v>5448</v>
      </c>
      <c r="M916" s="26" t="str">
        <f>VLOOKUP(E916,'MTS 2026 registrations'!B:B,1,false)</f>
        <v>#N/A</v>
      </c>
      <c r="N916" s="26" t="str">
        <f>VLOOKUP(B916,'MTS 2026 registrations'!A:A,1,false)</f>
        <v>#N/A</v>
      </c>
      <c r="O916" s="38" t="str">
        <f t="shared" si="2"/>
        <v>Marked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ht="12.75" customHeight="1">
      <c r="A917" s="19" t="str">
        <f t="shared" si="3"/>
        <v>Ing Westendorp rvo</v>
      </c>
      <c r="B917" s="19" t="s">
        <v>5449</v>
      </c>
      <c r="C917" s="20" t="s">
        <v>5450</v>
      </c>
      <c r="D917" s="20" t="s">
        <v>5451</v>
      </c>
      <c r="E917" s="21" t="s">
        <v>5452</v>
      </c>
      <c r="F917" s="23" t="s">
        <v>689</v>
      </c>
      <c r="G917" s="24" t="s">
        <v>163</v>
      </c>
      <c r="H917" s="25" t="s">
        <v>164</v>
      </c>
      <c r="I917" s="34"/>
      <c r="J917" s="35" t="s">
        <v>5453</v>
      </c>
      <c r="K917" s="27" t="s">
        <v>50</v>
      </c>
      <c r="L917" s="13" t="s">
        <v>5454</v>
      </c>
      <c r="M917" s="26" t="str">
        <f>VLOOKUP(E917,'MTS 2026 registrations'!B:B,1,false)</f>
        <v>#N/A</v>
      </c>
      <c r="N917" s="26" t="str">
        <f>VLOOKUP(B917,'MTS 2026 registrations'!A:A,1,false)</f>
        <v>#N/A</v>
      </c>
      <c r="O917" s="38" t="str">
        <f t="shared" si="2"/>
        <v>Marked</v>
      </c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ht="12.75" customHeight="1">
      <c r="A918" s="19" t="str">
        <f t="shared" si="3"/>
        <v>Ingrid Thijssen tudelft</v>
      </c>
      <c r="B918" s="19" t="s">
        <v>5455</v>
      </c>
      <c r="C918" s="43" t="s">
        <v>5456</v>
      </c>
      <c r="D918" s="43" t="s">
        <v>5457</v>
      </c>
      <c r="E918" s="31" t="s">
        <v>5458</v>
      </c>
      <c r="F918" s="33" t="s">
        <v>184</v>
      </c>
      <c r="G918" s="32" t="s">
        <v>43</v>
      </c>
      <c r="H918" s="25" t="s">
        <v>139</v>
      </c>
      <c r="I918" s="34"/>
      <c r="J918" s="35" t="s">
        <v>5459</v>
      </c>
      <c r="K918" s="27" t="s">
        <v>50</v>
      </c>
      <c r="L918" s="25" t="s">
        <v>5460</v>
      </c>
      <c r="M918" s="26" t="str">
        <f>VLOOKUP(E918,'MTS 2026 registrations'!B:B,1,false)</f>
        <v>#N/A</v>
      </c>
      <c r="N918" s="26" t="str">
        <f>VLOOKUP(B918,'MTS 2026 registrations'!A:A,1,false)</f>
        <v>#N/A</v>
      </c>
      <c r="O918" s="38" t="str">
        <f t="shared" si="2"/>
        <v>Marked</v>
      </c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ht="12.75" customHeight="1">
      <c r="A919" s="19" t="str">
        <f t="shared" si="3"/>
        <v>Ingrid van Wees Independent</v>
      </c>
      <c r="B919" s="19" t="s">
        <v>5461</v>
      </c>
      <c r="C919" s="116" t="s">
        <v>5456</v>
      </c>
      <c r="D919" s="116" t="s">
        <v>5462</v>
      </c>
      <c r="E919" s="112" t="s">
        <v>5463</v>
      </c>
      <c r="F919" s="66" t="s">
        <v>1209</v>
      </c>
      <c r="G919" s="24" t="s">
        <v>225</v>
      </c>
      <c r="H919" s="25" t="s">
        <v>47</v>
      </c>
      <c r="I919" s="34"/>
      <c r="J919" s="35" t="s">
        <v>5464</v>
      </c>
      <c r="K919" s="27" t="s">
        <v>50</v>
      </c>
      <c r="L919" s="13" t="s">
        <v>5465</v>
      </c>
      <c r="M919" s="26" t="str">
        <f>VLOOKUP(E919,'MTS 2026 registrations'!B:B,1,false)</f>
        <v>#N/A</v>
      </c>
      <c r="N919" s="26" t="str">
        <f>VLOOKUP(B919,'MTS 2026 registrations'!A:A,1,false)</f>
        <v>#N/A</v>
      </c>
      <c r="O919" s="38" t="str">
        <f t="shared" si="2"/>
        <v>Marked</v>
      </c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</row>
    <row r="920" ht="12.75" customHeight="1">
      <c r="A920" s="19" t="str">
        <f t="shared" si="3"/>
        <v>Irek Roslon soundcell</v>
      </c>
      <c r="B920" s="19" t="s">
        <v>5466</v>
      </c>
      <c r="C920" s="20" t="s">
        <v>5467</v>
      </c>
      <c r="D920" s="20" t="s">
        <v>5468</v>
      </c>
      <c r="E920" s="21" t="s">
        <v>5469</v>
      </c>
      <c r="F920" s="23" t="s">
        <v>3166</v>
      </c>
      <c r="G920" s="32" t="s">
        <v>46</v>
      </c>
      <c r="H920" s="25" t="s">
        <v>47</v>
      </c>
      <c r="I920" s="23"/>
      <c r="J920" s="35" t="s">
        <v>5470</v>
      </c>
      <c r="K920" s="27" t="s">
        <v>50</v>
      </c>
      <c r="L920" s="13" t="s">
        <v>5471</v>
      </c>
      <c r="M920" s="26" t="str">
        <f>VLOOKUP(E920,'MTS 2026 registrations'!B:B,1,false)</f>
        <v>#N/A</v>
      </c>
      <c r="N920" s="26" t="str">
        <f>VLOOKUP(B920,'MTS 2026 registrations'!A:A,1,false)</f>
        <v>#N/A</v>
      </c>
      <c r="O920" s="38" t="str">
        <f t="shared" si="2"/>
        <v>Marked</v>
      </c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34"/>
      <c r="AE920" s="34"/>
    </row>
    <row r="921" ht="12.75" customHeight="1">
      <c r="A921" s="19" t="str">
        <f t="shared" si="3"/>
        <v>Irene Samwel denhaag</v>
      </c>
      <c r="B921" s="19" t="s">
        <v>5472</v>
      </c>
      <c r="C921" s="60" t="s">
        <v>5473</v>
      </c>
      <c r="D921" s="60" t="s">
        <v>5474</v>
      </c>
      <c r="E921" s="62" t="s">
        <v>5475</v>
      </c>
      <c r="F921" s="64" t="s">
        <v>738</v>
      </c>
      <c r="G921" s="42" t="s">
        <v>323</v>
      </c>
      <c r="H921" s="25" t="s">
        <v>139</v>
      </c>
      <c r="I921" s="23"/>
      <c r="J921" s="35" t="s">
        <v>5476</v>
      </c>
      <c r="K921" s="27" t="s">
        <v>50</v>
      </c>
      <c r="L921" s="13" t="s">
        <v>5477</v>
      </c>
      <c r="M921" s="26" t="str">
        <f>VLOOKUP(E921,'MTS 2026 registrations'!B:B,1,false)</f>
        <v>#N/A</v>
      </c>
      <c r="N921" s="26" t="str">
        <f>VLOOKUP(B921,'MTS 2026 registrations'!A:A,1,false)</f>
        <v>#N/A</v>
      </c>
      <c r="O921" s="38" t="str">
        <f t="shared" si="2"/>
        <v>Marked</v>
      </c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34"/>
      <c r="AE921" s="34"/>
    </row>
    <row r="922" ht="12.75" customHeight="1">
      <c r="A922" s="19" t="str">
        <f t="shared" si="3"/>
        <v>Iris Bosma Visible Investments</v>
      </c>
      <c r="B922" s="19" t="s">
        <v>5478</v>
      </c>
      <c r="C922" s="156" t="s">
        <v>686</v>
      </c>
      <c r="D922" s="156" t="s">
        <v>5479</v>
      </c>
      <c r="E922" s="50" t="s">
        <v>5480</v>
      </c>
      <c r="F922" s="50" t="s">
        <v>2157</v>
      </c>
      <c r="G922" s="32" t="s">
        <v>163</v>
      </c>
      <c r="H922" s="25" t="s">
        <v>164</v>
      </c>
      <c r="I922" s="34"/>
      <c r="J922" s="35" t="s">
        <v>5481</v>
      </c>
      <c r="K922" s="27" t="s">
        <v>50</v>
      </c>
      <c r="L922" s="13" t="s">
        <v>5482</v>
      </c>
      <c r="M922" s="26" t="str">
        <f>VLOOKUP(E922,'MTS 2026 registrations'!B:B,1,false)</f>
        <v>#N/A</v>
      </c>
      <c r="N922" s="26" t="str">
        <f>VLOOKUP(B922,'MTS 2026 registrations'!A:A,1,false)</f>
        <v>#N/A</v>
      </c>
      <c r="O922" s="38" t="str">
        <f t="shared" si="2"/>
        <v>Marked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ht="12.75" customHeight="1">
      <c r="A923" s="19" t="str">
        <f t="shared" si="3"/>
        <v>Iris Bergshoeff-Klingeman platformzero</v>
      </c>
      <c r="B923" s="19" t="s">
        <v>5483</v>
      </c>
      <c r="C923" s="29" t="s">
        <v>686</v>
      </c>
      <c r="D923" s="29" t="s">
        <v>5484</v>
      </c>
      <c r="E923" s="30" t="s">
        <v>5485</v>
      </c>
      <c r="F923" s="29" t="s">
        <v>3589</v>
      </c>
      <c r="G923" s="32" t="s">
        <v>69</v>
      </c>
      <c r="H923" s="13" t="s">
        <v>45</v>
      </c>
      <c r="I923" s="34"/>
      <c r="J923" s="35" t="s">
        <v>5486</v>
      </c>
      <c r="K923" s="27" t="s">
        <v>50</v>
      </c>
      <c r="L923" s="13" t="s">
        <v>5487</v>
      </c>
      <c r="M923" s="26" t="str">
        <f>VLOOKUP(E923,'MTS 2026 registrations'!B:B,1,false)</f>
        <v>#N/A</v>
      </c>
      <c r="N923" s="26" t="str">
        <f>VLOOKUP(B923,'MTS 2026 registrations'!A:A,1,false)</f>
        <v>#N/A</v>
      </c>
      <c r="O923" s="38" t="str">
        <f t="shared" si="2"/>
        <v>Marked</v>
      </c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</row>
    <row r="924" ht="12.75" customHeight="1">
      <c r="A924" s="19" t="str">
        <f t="shared" si="3"/>
        <v>Iris ten Have visionariesclub</v>
      </c>
      <c r="B924" s="19" t="s">
        <v>5488</v>
      </c>
      <c r="C924" s="20" t="s">
        <v>686</v>
      </c>
      <c r="D924" s="20" t="s">
        <v>2459</v>
      </c>
      <c r="E924" s="21" t="s">
        <v>5489</v>
      </c>
      <c r="F924" s="23" t="s">
        <v>5490</v>
      </c>
      <c r="G924" s="24" t="s">
        <v>163</v>
      </c>
      <c r="H924" s="25" t="s">
        <v>164</v>
      </c>
      <c r="I924" s="26"/>
      <c r="J924" s="35" t="s">
        <v>5491</v>
      </c>
      <c r="K924" s="27" t="s">
        <v>50</v>
      </c>
      <c r="L924" s="13" t="s">
        <v>5492</v>
      </c>
      <c r="M924" s="26" t="str">
        <f>VLOOKUP(E924,'MTS 2026 registrations'!B:B,1,false)</f>
        <v>#N/A</v>
      </c>
      <c r="N924" s="26" t="str">
        <f>VLOOKUP(B924,'MTS 2026 registrations'!A:A,1,false)</f>
        <v>#N/A</v>
      </c>
      <c r="O924" s="38" t="str">
        <f t="shared" si="2"/>
        <v>Marked</v>
      </c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34"/>
      <c r="AE924" s="34"/>
    </row>
    <row r="925" ht="12.75" customHeight="1">
      <c r="A925" s="19" t="str">
        <f t="shared" si="3"/>
        <v>Iryna Pakhomova nurtio</v>
      </c>
      <c r="B925" s="19" t="s">
        <v>5493</v>
      </c>
      <c r="C925" s="20" t="s">
        <v>5494</v>
      </c>
      <c r="D925" s="20" t="s">
        <v>5495</v>
      </c>
      <c r="E925" s="21" t="s">
        <v>5496</v>
      </c>
      <c r="F925" s="23" t="s">
        <v>5497</v>
      </c>
      <c r="G925" s="32" t="s">
        <v>46</v>
      </c>
      <c r="H925" s="25" t="s">
        <v>47</v>
      </c>
      <c r="I925" s="23"/>
      <c r="J925" s="35" t="s">
        <v>5498</v>
      </c>
      <c r="K925" s="27" t="s">
        <v>50</v>
      </c>
      <c r="L925" s="13" t="s">
        <v>5499</v>
      </c>
      <c r="M925" s="26" t="str">
        <f>VLOOKUP(E925,'MTS 2026 registrations'!B:B,1,false)</f>
        <v>#N/A</v>
      </c>
      <c r="N925" s="26" t="str">
        <f>VLOOKUP(B925,'MTS 2026 registrations'!A:A,1,false)</f>
        <v>#N/A</v>
      </c>
      <c r="O925" s="38" t="str">
        <f t="shared" si="2"/>
        <v>Marked</v>
      </c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34"/>
      <c r="AE925" s="34"/>
    </row>
    <row r="926" ht="12.75" customHeight="1">
      <c r="A926" s="19" t="str">
        <f t="shared" si="3"/>
        <v>Isabel Zhang hcvc.co</v>
      </c>
      <c r="B926" s="19" t="s">
        <v>5500</v>
      </c>
      <c r="C926" s="20" t="s">
        <v>1769</v>
      </c>
      <c r="D926" s="20" t="s">
        <v>5501</v>
      </c>
      <c r="E926" s="21" t="s">
        <v>5502</v>
      </c>
      <c r="F926" s="23" t="s">
        <v>5503</v>
      </c>
      <c r="G926" s="24" t="s">
        <v>163</v>
      </c>
      <c r="H926" s="25" t="s">
        <v>164</v>
      </c>
      <c r="I926" s="23"/>
      <c r="J926" s="35" t="s">
        <v>5504</v>
      </c>
      <c r="K926" s="27" t="s">
        <v>50</v>
      </c>
      <c r="L926" s="13" t="s">
        <v>5505</v>
      </c>
      <c r="M926" s="26" t="str">
        <f>VLOOKUP(E926,'MTS 2026 registrations'!B:B,1,false)</f>
        <v>#N/A</v>
      </c>
      <c r="N926" s="26" t="str">
        <f>VLOOKUP(B926,'MTS 2026 registrations'!A:A,1,false)</f>
        <v>#N/A</v>
      </c>
      <c r="O926" s="38" t="str">
        <f t="shared" si="2"/>
        <v>Marked</v>
      </c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34"/>
      <c r="AE926" s="34"/>
    </row>
    <row r="927" ht="12.75" customHeight="1">
      <c r="A927" s="19" t="str">
        <f t="shared" si="3"/>
        <v>Isodro Laso </v>
      </c>
      <c r="B927" s="19" t="s">
        <v>5506</v>
      </c>
      <c r="C927" s="141" t="s">
        <v>5507</v>
      </c>
      <c r="D927" s="141" t="s">
        <v>5508</v>
      </c>
      <c r="E927" s="48" t="s">
        <v>5509</v>
      </c>
      <c r="F927" s="75"/>
      <c r="G927" s="24" t="s">
        <v>46</v>
      </c>
      <c r="H927" s="25" t="s">
        <v>47</v>
      </c>
      <c r="I927" s="34"/>
      <c r="J927" s="35" t="s">
        <v>5510</v>
      </c>
      <c r="K927" s="27" t="s">
        <v>50</v>
      </c>
      <c r="L927" s="27" t="s">
        <v>5511</v>
      </c>
      <c r="M927" s="26" t="str">
        <f>VLOOKUP(E927,'MTS 2026 registrations'!B:B,1,false)</f>
        <v>#N/A</v>
      </c>
      <c r="N927" s="26" t="str">
        <f>VLOOKUP(B927,'MTS 2026 registrations'!A:A,1,false)</f>
        <v>#N/A</v>
      </c>
      <c r="O927" s="38" t="str">
        <f t="shared" si="2"/>
        <v>Marked</v>
      </c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34"/>
      <c r="AE927" s="34"/>
    </row>
    <row r="928" ht="12.75" customHeight="1">
      <c r="A928" s="19" t="str">
        <f t="shared" si="3"/>
        <v>Ivan Silvestrov whereAt Industries</v>
      </c>
      <c r="B928" s="19" t="s">
        <v>5512</v>
      </c>
      <c r="C928" s="29" t="s">
        <v>5513</v>
      </c>
      <c r="D928" s="29" t="s">
        <v>5514</v>
      </c>
      <c r="E928" s="31" t="s">
        <v>5515</v>
      </c>
      <c r="F928" s="33" t="s">
        <v>5516</v>
      </c>
      <c r="G928" s="24" t="s">
        <v>46</v>
      </c>
      <c r="H928" s="25" t="s">
        <v>47</v>
      </c>
      <c r="I928" s="34"/>
      <c r="J928" s="35" t="s">
        <v>5517</v>
      </c>
      <c r="K928" s="27" t="s">
        <v>50</v>
      </c>
      <c r="L928" s="13" t="s">
        <v>5518</v>
      </c>
      <c r="M928" s="26" t="str">
        <f>VLOOKUP(E928,'MTS 2026 registrations'!B:B,1,false)</f>
        <v>#N/A</v>
      </c>
      <c r="N928" s="26" t="str">
        <f>VLOOKUP(B928,'MTS 2026 registrations'!A:A,1,false)</f>
        <v>#N/A</v>
      </c>
      <c r="O928" s="38" t="str">
        <f t="shared" si="2"/>
        <v>Marked</v>
      </c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23"/>
      <c r="AE928" s="23"/>
    </row>
    <row r="929" ht="12.75" customHeight="1">
      <c r="A929" s="19" t="str">
        <f t="shared" si="3"/>
        <v>Ivan van der Veld xpozer</v>
      </c>
      <c r="B929" s="19" t="s">
        <v>5519</v>
      </c>
      <c r="C929" s="20" t="s">
        <v>5513</v>
      </c>
      <c r="D929" s="20" t="s">
        <v>5520</v>
      </c>
      <c r="E929" s="21" t="s">
        <v>5521</v>
      </c>
      <c r="F929" s="23" t="s">
        <v>3992</v>
      </c>
      <c r="G929" s="32" t="s">
        <v>46</v>
      </c>
      <c r="H929" s="25" t="s">
        <v>47</v>
      </c>
      <c r="I929" s="26"/>
      <c r="J929" s="35" t="s">
        <v>5522</v>
      </c>
      <c r="K929" s="27" t="s">
        <v>50</v>
      </c>
      <c r="L929" s="13" t="s">
        <v>5523</v>
      </c>
      <c r="M929" s="26" t="str">
        <f>VLOOKUP(E929,'MTS 2026 registrations'!B:B,1,false)</f>
        <v>#N/A</v>
      </c>
      <c r="N929" s="26" t="str">
        <f>VLOOKUP(B929,'MTS 2026 registrations'!A:A,1,false)</f>
        <v>#N/A</v>
      </c>
      <c r="O929" s="38" t="str">
        <f t="shared" si="2"/>
        <v>Marked</v>
      </c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34"/>
      <c r="AE929" s="34"/>
    </row>
    <row r="930" ht="12.75" customHeight="1">
      <c r="A930" s="19" t="str">
        <f t="shared" si="3"/>
        <v>Ivan vd Veld Xpozer BV</v>
      </c>
      <c r="B930" s="19" t="s">
        <v>5524</v>
      </c>
      <c r="C930" s="29" t="s">
        <v>5513</v>
      </c>
      <c r="D930" s="121" t="s">
        <v>5525</v>
      </c>
      <c r="E930" s="62" t="s">
        <v>5526</v>
      </c>
      <c r="F930" s="50" t="s">
        <v>5527</v>
      </c>
      <c r="G930" s="32" t="s">
        <v>46</v>
      </c>
      <c r="H930" s="25" t="s">
        <v>139</v>
      </c>
      <c r="I930" s="13" t="s">
        <v>188</v>
      </c>
      <c r="J930" s="35" t="s">
        <v>5528</v>
      </c>
      <c r="K930" s="27" t="s">
        <v>50</v>
      </c>
      <c r="L930" s="13" t="s">
        <v>5529</v>
      </c>
      <c r="M930" s="26" t="str">
        <f>VLOOKUP(E930,'MTS 2026 registrations'!B:B,1,false)</f>
        <v>#N/A</v>
      </c>
      <c r="N930" s="26" t="str">
        <f>VLOOKUP(B930,'MTS 2026 registrations'!A:A,1,false)</f>
        <v>#N/A</v>
      </c>
      <c r="O930" s="38" t="str">
        <f t="shared" si="2"/>
        <v>Marked</v>
      </c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34"/>
      <c r="AE930" s="34"/>
    </row>
    <row r="931" ht="12.75" customHeight="1">
      <c r="A931" s="19" t="str">
        <f t="shared" si="3"/>
        <v>Ivo Lemmens fdi</v>
      </c>
      <c r="B931" s="19" t="s">
        <v>5530</v>
      </c>
      <c r="C931" s="20" t="s">
        <v>2504</v>
      </c>
      <c r="D931" s="20" t="s">
        <v>5531</v>
      </c>
      <c r="E931" s="21" t="s">
        <v>5532</v>
      </c>
      <c r="F931" s="23" t="s">
        <v>5533</v>
      </c>
      <c r="G931" s="24" t="s">
        <v>163</v>
      </c>
      <c r="H931" s="25" t="s">
        <v>164</v>
      </c>
      <c r="I931" s="23"/>
      <c r="J931" s="35" t="s">
        <v>5534</v>
      </c>
      <c r="K931" s="27" t="s">
        <v>50</v>
      </c>
      <c r="L931" s="13" t="s">
        <v>5535</v>
      </c>
      <c r="M931" s="26" t="str">
        <f>VLOOKUP(E931,'MTS 2026 registrations'!B:B,1,false)</f>
        <v>#N/A</v>
      </c>
      <c r="N931" s="26" t="str">
        <f>VLOOKUP(B931,'MTS 2026 registrations'!A:A,1,false)</f>
        <v>#N/A</v>
      </c>
      <c r="O931" s="38" t="str">
        <f t="shared" si="2"/>
        <v>Marked</v>
      </c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34"/>
      <c r="AE931" s="34"/>
    </row>
    <row r="932" ht="12.75" customHeight="1">
      <c r="A932" s="19" t="str">
        <f t="shared" si="3"/>
        <v>Ivo Ronner Swiss Post CVC</v>
      </c>
      <c r="B932" s="19" t="s">
        <v>5536</v>
      </c>
      <c r="C932" s="20" t="s">
        <v>2504</v>
      </c>
      <c r="D932" s="20" t="s">
        <v>4437</v>
      </c>
      <c r="E932" s="21" t="s">
        <v>5537</v>
      </c>
      <c r="F932" s="49" t="s">
        <v>5538</v>
      </c>
      <c r="G932" s="24" t="s">
        <v>163</v>
      </c>
      <c r="H932" s="25" t="s">
        <v>164</v>
      </c>
      <c r="I932" s="23"/>
      <c r="J932" s="35" t="s">
        <v>5539</v>
      </c>
      <c r="K932" s="27" t="s">
        <v>50</v>
      </c>
      <c r="L932" s="13" t="s">
        <v>5540</v>
      </c>
      <c r="M932" s="26" t="str">
        <f>VLOOKUP(E932,'MTS 2026 registrations'!B:B,1,false)</f>
        <v>#N/A</v>
      </c>
      <c r="N932" s="26" t="str">
        <f>VLOOKUP(B932,'MTS 2026 registrations'!A:A,1,false)</f>
        <v>#N/A</v>
      </c>
      <c r="O932" s="38" t="str">
        <f t="shared" si="2"/>
        <v>Marked</v>
      </c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34"/>
      <c r="AE932" s="34"/>
    </row>
    <row r="933" ht="12.75" customHeight="1">
      <c r="A933" s="19" t="str">
        <f t="shared" si="3"/>
        <v>Ivo Dusek Magneto BV</v>
      </c>
      <c r="B933" s="19" t="s">
        <v>5541</v>
      </c>
      <c r="C933" s="29" t="s">
        <v>2504</v>
      </c>
      <c r="D933" s="29" t="s">
        <v>5542</v>
      </c>
      <c r="E933" s="62" t="s">
        <v>5543</v>
      </c>
      <c r="F933" s="50" t="s">
        <v>5544</v>
      </c>
      <c r="G933" s="32" t="s">
        <v>46</v>
      </c>
      <c r="H933" s="25" t="s">
        <v>139</v>
      </c>
      <c r="I933" s="23"/>
      <c r="J933" s="35" t="s">
        <v>5545</v>
      </c>
      <c r="K933" s="27" t="s">
        <v>50</v>
      </c>
      <c r="L933" s="13" t="s">
        <v>5546</v>
      </c>
      <c r="M933" s="26" t="str">
        <f>VLOOKUP(E933,'MTS 2026 registrations'!B:B,1,false)</f>
        <v>#N/A</v>
      </c>
      <c r="N933" s="26" t="str">
        <f>VLOOKUP(B933,'MTS 2026 registrations'!A:A,1,false)</f>
        <v>#N/A</v>
      </c>
      <c r="O933" s="38" t="str">
        <f t="shared" si="2"/>
        <v>Marked</v>
      </c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34"/>
      <c r="AE933" s="34"/>
    </row>
    <row r="934" ht="12.75" customHeight="1">
      <c r="A934" s="19" t="str">
        <f t="shared" si="3"/>
        <v>J.J. (Jan Jacob) minezk</v>
      </c>
      <c r="B934" s="19" t="s">
        <v>5547</v>
      </c>
      <c r="C934" s="43" t="s">
        <v>5548</v>
      </c>
      <c r="D934" s="43" t="s">
        <v>5549</v>
      </c>
      <c r="E934" s="31" t="s">
        <v>5550</v>
      </c>
      <c r="F934" s="33" t="s">
        <v>5114</v>
      </c>
      <c r="G934" s="32" t="s">
        <v>323</v>
      </c>
      <c r="H934" s="25" t="s">
        <v>139</v>
      </c>
      <c r="I934" s="34"/>
      <c r="J934" s="35" t="s">
        <v>5551</v>
      </c>
      <c r="K934" s="27" t="s">
        <v>50</v>
      </c>
      <c r="L934" s="25" t="s">
        <v>5552</v>
      </c>
      <c r="M934" s="26" t="str">
        <f>VLOOKUP(E934,'MTS 2026 registrations'!B:B,1,false)</f>
        <v>#N/A</v>
      </c>
      <c r="N934" s="26" t="str">
        <f>VLOOKUP(B934,'MTS 2026 registrations'!A:A,1,false)</f>
        <v>#N/A</v>
      </c>
      <c r="O934" s="38" t="str">
        <f t="shared" si="2"/>
        <v>Marked</v>
      </c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ht="12.75" customHeight="1">
      <c r="A935" s="19" t="str">
        <f t="shared" si="3"/>
        <v>Jaap Zijlstra Navus</v>
      </c>
      <c r="B935" s="19" t="s">
        <v>5553</v>
      </c>
      <c r="C935" s="20" t="s">
        <v>94</v>
      </c>
      <c r="D935" s="20" t="s">
        <v>5554</v>
      </c>
      <c r="E935" s="21" t="s">
        <v>5555</v>
      </c>
      <c r="F935" s="49" t="s">
        <v>5556</v>
      </c>
      <c r="G935" s="24" t="s">
        <v>163</v>
      </c>
      <c r="H935" s="25" t="s">
        <v>164</v>
      </c>
      <c r="I935" s="182"/>
      <c r="J935" s="35" t="s">
        <v>5557</v>
      </c>
      <c r="K935" s="27" t="s">
        <v>50</v>
      </c>
      <c r="L935" s="13" t="s">
        <v>1321</v>
      </c>
      <c r="M935" s="26" t="str">
        <f>VLOOKUP(E935,'MTS 2026 registrations'!B:B,1,false)</f>
        <v>#N/A</v>
      </c>
      <c r="N935" s="26" t="str">
        <f>VLOOKUP(B935,'MTS 2026 registrations'!A:A,1,false)</f>
        <v>#N/A</v>
      </c>
      <c r="O935" s="38" t="str">
        <f t="shared" si="2"/>
        <v>Marked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</row>
    <row r="936" ht="12.75" customHeight="1">
      <c r="A936" s="19" t="str">
        <f t="shared" si="3"/>
        <v>Jacco Taal bitnomica</v>
      </c>
      <c r="B936" s="19" t="s">
        <v>5558</v>
      </c>
      <c r="C936" s="20" t="s">
        <v>5559</v>
      </c>
      <c r="D936" s="20" t="s">
        <v>5560</v>
      </c>
      <c r="E936" s="21" t="s">
        <v>5561</v>
      </c>
      <c r="F936" s="23" t="s">
        <v>5562</v>
      </c>
      <c r="G936" s="32" t="s">
        <v>46</v>
      </c>
      <c r="H936" s="25" t="s">
        <v>47</v>
      </c>
      <c r="I936" s="26"/>
      <c r="J936" s="35" t="s">
        <v>5563</v>
      </c>
      <c r="K936" s="27" t="s">
        <v>50</v>
      </c>
      <c r="L936" s="13" t="s">
        <v>5564</v>
      </c>
      <c r="M936" s="26" t="str">
        <f>VLOOKUP(E936,'MTS 2026 registrations'!B:B,1,false)</f>
        <v>#N/A</v>
      </c>
      <c r="N936" s="26" t="str">
        <f>VLOOKUP(B936,'MTS 2026 registrations'!A:A,1,false)</f>
        <v>#N/A</v>
      </c>
      <c r="O936" s="38" t="str">
        <f t="shared" si="2"/>
        <v>Marked</v>
      </c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34"/>
      <c r="AE936" s="34"/>
    </row>
    <row r="937" ht="12.75" customHeight="1">
      <c r="A937" s="19" t="str">
        <f t="shared" si="3"/>
        <v>Jacco Bouwman Kindow (Solarswing)</v>
      </c>
      <c r="B937" s="19" t="s">
        <v>5565</v>
      </c>
      <c r="C937" s="29" t="s">
        <v>5559</v>
      </c>
      <c r="D937" s="29" t="s">
        <v>5566</v>
      </c>
      <c r="E937" s="31" t="s">
        <v>5567</v>
      </c>
      <c r="F937" s="33" t="s">
        <v>1388</v>
      </c>
      <c r="G937" s="32" t="s">
        <v>46</v>
      </c>
      <c r="H937" s="25" t="s">
        <v>47</v>
      </c>
      <c r="I937" s="34"/>
      <c r="J937" s="35" t="s">
        <v>5568</v>
      </c>
      <c r="K937" s="27" t="s">
        <v>50</v>
      </c>
      <c r="L937" s="13" t="s">
        <v>5569</v>
      </c>
      <c r="M937" s="26" t="str">
        <f>VLOOKUP(E937,'MTS 2026 registrations'!B:B,1,false)</f>
        <v>#N/A</v>
      </c>
      <c r="N937" s="26" t="str">
        <f>VLOOKUP(B937,'MTS 2026 registrations'!A:A,1,false)</f>
        <v>#N/A</v>
      </c>
      <c r="O937" s="38" t="str">
        <f t="shared" si="2"/>
        <v>Marked</v>
      </c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</row>
    <row r="938" ht="12.75" customHeight="1">
      <c r="A938" s="19" t="str">
        <f t="shared" si="3"/>
        <v>Jack Schorsch IMSystems</v>
      </c>
      <c r="B938" s="19" t="s">
        <v>5570</v>
      </c>
      <c r="C938" s="29" t="s">
        <v>5571</v>
      </c>
      <c r="D938" s="29" t="s">
        <v>5572</v>
      </c>
      <c r="E938" s="31" t="s">
        <v>5573</v>
      </c>
      <c r="F938" s="33" t="s">
        <v>5574</v>
      </c>
      <c r="G938" s="32" t="s">
        <v>46</v>
      </c>
      <c r="H938" s="25" t="s">
        <v>47</v>
      </c>
      <c r="I938" s="34"/>
      <c r="J938" s="35" t="s">
        <v>5575</v>
      </c>
      <c r="K938" s="27" t="s">
        <v>50</v>
      </c>
      <c r="L938" s="13" t="s">
        <v>5576</v>
      </c>
      <c r="M938" s="26" t="str">
        <f>VLOOKUP(E938,'MTS 2026 registrations'!B:B,1,false)</f>
        <v>#N/A</v>
      </c>
      <c r="N938" s="26" t="str">
        <f>VLOOKUP(B938,'MTS 2026 registrations'!A:A,1,false)</f>
        <v>#N/A</v>
      </c>
      <c r="O938" s="38" t="str">
        <f t="shared" si="2"/>
        <v>Marked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ht="12.75" customHeight="1">
      <c r="A939" s="19" t="str">
        <f t="shared" si="3"/>
        <v>Jack Hayton AerogridUAV</v>
      </c>
      <c r="B939" s="19" t="s">
        <v>5577</v>
      </c>
      <c r="C939" s="13" t="s">
        <v>5571</v>
      </c>
      <c r="D939" s="13" t="s">
        <v>5578</v>
      </c>
      <c r="E939" s="60" t="s">
        <v>5579</v>
      </c>
      <c r="F939" s="60" t="s">
        <v>3178</v>
      </c>
      <c r="G939" s="32" t="s">
        <v>46</v>
      </c>
      <c r="H939" s="25" t="s">
        <v>47</v>
      </c>
      <c r="I939" s="34"/>
      <c r="J939" s="35" t="s">
        <v>5580</v>
      </c>
      <c r="K939" s="27" t="s">
        <v>50</v>
      </c>
      <c r="L939" s="13" t="s">
        <v>5581</v>
      </c>
      <c r="M939" s="26" t="str">
        <f>VLOOKUP(E939,'MTS 2026 registrations'!B:B,1,false)</f>
        <v>jack@aerogriduav.com</v>
      </c>
      <c r="N939" s="26" t="str">
        <f>VLOOKUP(B939,'MTS 2026 registrations'!A:A,1,false)</f>
        <v>Jack Hayton</v>
      </c>
      <c r="O939" s="38" t="str">
        <f t="shared" si="2"/>
        <v/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</row>
    <row r="940" ht="12.75" customHeight="1">
      <c r="A940" s="19" t="str">
        <f t="shared" si="3"/>
        <v>Jackie Xu liquidice.capital</v>
      </c>
      <c r="B940" s="19" t="s">
        <v>5582</v>
      </c>
      <c r="C940" s="20" t="s">
        <v>5583</v>
      </c>
      <c r="D940" s="20" t="s">
        <v>5584</v>
      </c>
      <c r="E940" s="21" t="s">
        <v>5585</v>
      </c>
      <c r="F940" s="23" t="s">
        <v>5586</v>
      </c>
      <c r="G940" s="24" t="s">
        <v>163</v>
      </c>
      <c r="H940" s="25" t="s">
        <v>164</v>
      </c>
      <c r="I940" s="23"/>
      <c r="J940" s="35" t="s">
        <v>5587</v>
      </c>
      <c r="K940" s="27" t="s">
        <v>50</v>
      </c>
      <c r="L940" s="13" t="s">
        <v>5588</v>
      </c>
      <c r="M940" s="26" t="str">
        <f>VLOOKUP(E940,'MTS 2026 registrations'!B:B,1,false)</f>
        <v>#N/A</v>
      </c>
      <c r="N940" s="26" t="str">
        <f>VLOOKUP(B940,'MTS 2026 registrations'!A:A,1,false)</f>
        <v>#N/A</v>
      </c>
      <c r="O940" s="38" t="str">
        <f t="shared" si="2"/>
        <v>Marked</v>
      </c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34"/>
      <c r="AE940" s="34"/>
    </row>
    <row r="941" ht="12.75" customHeight="1">
      <c r="A941" s="19" t="str">
        <f t="shared" si="3"/>
        <v>Jacob Issa oostnl</v>
      </c>
      <c r="B941" s="19" t="s">
        <v>5589</v>
      </c>
      <c r="C941" s="116" t="s">
        <v>5590</v>
      </c>
      <c r="D941" s="116" t="s">
        <v>5591</v>
      </c>
      <c r="E941" s="112" t="s">
        <v>5592</v>
      </c>
      <c r="F941" s="23" t="s">
        <v>1537</v>
      </c>
      <c r="G941" s="24" t="s">
        <v>163</v>
      </c>
      <c r="H941" s="25" t="s">
        <v>164</v>
      </c>
      <c r="I941" s="23"/>
      <c r="J941" s="35" t="s">
        <v>5593</v>
      </c>
      <c r="K941" s="27" t="s">
        <v>50</v>
      </c>
      <c r="L941" s="13" t="s">
        <v>5594</v>
      </c>
      <c r="M941" s="26" t="str">
        <f>VLOOKUP(E941,'MTS 2026 registrations'!B:B,1,false)</f>
        <v>#N/A</v>
      </c>
      <c r="N941" s="26" t="str">
        <f>VLOOKUP(B941,'MTS 2026 registrations'!A:A,1,false)</f>
        <v>#N/A</v>
      </c>
      <c r="O941" s="38" t="str">
        <f t="shared" si="2"/>
        <v>Marked</v>
      </c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34"/>
      <c r="AE941" s="34"/>
    </row>
    <row r="942" ht="12.75" customHeight="1">
      <c r="A942" s="19" t="str">
        <f t="shared" si="3"/>
        <v>Jacqui Kinergizer Kinergizer</v>
      </c>
      <c r="B942" s="19" t="s">
        <v>5595</v>
      </c>
      <c r="C942" s="29" t="s">
        <v>5596</v>
      </c>
      <c r="D942" s="29" t="s">
        <v>5597</v>
      </c>
      <c r="E942" s="31" t="s">
        <v>5598</v>
      </c>
      <c r="F942" s="33" t="s">
        <v>5597</v>
      </c>
      <c r="G942" s="24" t="s">
        <v>46</v>
      </c>
      <c r="H942" s="25" t="s">
        <v>47</v>
      </c>
      <c r="I942" s="34"/>
      <c r="J942" s="35" t="s">
        <v>5599</v>
      </c>
      <c r="K942" s="27" t="s">
        <v>50</v>
      </c>
      <c r="L942" s="13" t="s">
        <v>5600</v>
      </c>
      <c r="M942" s="26" t="str">
        <f>VLOOKUP(E942,'MTS 2026 registrations'!B:B,1,false)</f>
        <v>#N/A</v>
      </c>
      <c r="N942" s="26" t="str">
        <f>VLOOKUP(B942,'MTS 2026 registrations'!A:A,1,false)</f>
        <v>#N/A</v>
      </c>
      <c r="O942" s="38" t="str">
        <f t="shared" si="2"/>
        <v>Marked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23"/>
      <c r="AE942" s="23"/>
    </row>
    <row r="943" ht="12.75" customHeight="1">
      <c r="A943" s="19" t="str">
        <f t="shared" si="3"/>
        <v>Jakob nosuchventures</v>
      </c>
      <c r="B943" s="19" t="s">
        <v>5601</v>
      </c>
      <c r="C943" s="116" t="s">
        <v>5601</v>
      </c>
      <c r="D943" s="20"/>
      <c r="E943" s="160" t="s">
        <v>5602</v>
      </c>
      <c r="F943" s="23" t="s">
        <v>271</v>
      </c>
      <c r="G943" s="24" t="s">
        <v>163</v>
      </c>
      <c r="H943" s="25" t="s">
        <v>164</v>
      </c>
      <c r="I943" s="34"/>
      <c r="J943" s="35" t="s">
        <v>5603</v>
      </c>
      <c r="K943" s="27" t="s">
        <v>50</v>
      </c>
      <c r="L943" s="13" t="s">
        <v>5604</v>
      </c>
      <c r="M943" s="26" t="str">
        <f>VLOOKUP(E943,'MTS 2026 registrations'!B:B,1,false)</f>
        <v>#N/A</v>
      </c>
      <c r="N943" s="26" t="str">
        <f>VLOOKUP(B943,'MTS 2026 registrations'!A:A,1,false)</f>
        <v>#N/A</v>
      </c>
      <c r="O943" s="38" t="str">
        <f t="shared" si="2"/>
        <v>Marked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</row>
    <row r="944" ht="12.75" customHeight="1">
      <c r="A944" s="19" t="str">
        <f t="shared" si="3"/>
        <v>Jamie Macfarlane Creator Fund</v>
      </c>
      <c r="B944" s="19" t="s">
        <v>5605</v>
      </c>
      <c r="C944" s="20" t="s">
        <v>5606</v>
      </c>
      <c r="D944" s="20" t="s">
        <v>5607</v>
      </c>
      <c r="E944" s="21" t="s">
        <v>5608</v>
      </c>
      <c r="F944" s="49" t="s">
        <v>5609</v>
      </c>
      <c r="G944" s="24" t="s">
        <v>163</v>
      </c>
      <c r="H944" s="26" t="s">
        <v>164</v>
      </c>
      <c r="I944" s="13"/>
      <c r="J944" s="35" t="s">
        <v>5610</v>
      </c>
      <c r="K944" s="27" t="s">
        <v>50</v>
      </c>
      <c r="L944" s="25" t="s">
        <v>5611</v>
      </c>
      <c r="M944" s="26" t="str">
        <f>VLOOKUP(E944,'MTS 2026 registrations'!B:B,1,false)</f>
        <v>#N/A</v>
      </c>
      <c r="N944" s="26" t="str">
        <f>VLOOKUP(B944,'MTS 2026 registrations'!A:A,1,false)</f>
        <v>#N/A</v>
      </c>
      <c r="O944" s="38" t="str">
        <f t="shared" si="2"/>
        <v>Marked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ht="12.75" customHeight="1">
      <c r="A945" s="19" t="str">
        <f t="shared" si="3"/>
        <v>Jan Bot zepp</v>
      </c>
      <c r="B945" s="19" t="s">
        <v>5612</v>
      </c>
      <c r="C945" s="29" t="s">
        <v>709</v>
      </c>
      <c r="D945" s="29" t="s">
        <v>5613</v>
      </c>
      <c r="E945" s="30" t="s">
        <v>5614</v>
      </c>
      <c r="F945" s="29" t="s">
        <v>5615</v>
      </c>
      <c r="G945" s="32" t="s">
        <v>46</v>
      </c>
      <c r="H945" s="13" t="s">
        <v>213</v>
      </c>
      <c r="I945" s="34"/>
      <c r="J945" s="35" t="s">
        <v>5616</v>
      </c>
      <c r="K945" s="27" t="s">
        <v>50</v>
      </c>
      <c r="L945" s="13" t="s">
        <v>5617</v>
      </c>
      <c r="M945" s="26" t="str">
        <f>VLOOKUP(E945,'MTS 2026 registrations'!B:B,1,false)</f>
        <v>#N/A</v>
      </c>
      <c r="N945" s="26" t="str">
        <f>VLOOKUP(B945,'MTS 2026 registrations'!A:A,1,false)</f>
        <v>#N/A</v>
      </c>
      <c r="O945" s="38" t="str">
        <f t="shared" si="2"/>
        <v>Marked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2.75" customHeight="1">
      <c r="A946" s="19" t="str">
        <f t="shared" si="3"/>
        <v>Jan de becker NWO</v>
      </c>
      <c r="B946" s="19" t="s">
        <v>5618</v>
      </c>
      <c r="C946" s="72" t="s">
        <v>709</v>
      </c>
      <c r="D946" s="72" t="s">
        <v>5619</v>
      </c>
      <c r="E946" s="30" t="s">
        <v>5620</v>
      </c>
      <c r="F946" s="72" t="s">
        <v>5621</v>
      </c>
      <c r="G946" s="32" t="s">
        <v>29</v>
      </c>
      <c r="H946" s="13" t="s">
        <v>45</v>
      </c>
      <c r="I946" s="34"/>
      <c r="J946" s="35" t="s">
        <v>5622</v>
      </c>
      <c r="K946" s="27" t="s">
        <v>50</v>
      </c>
      <c r="L946" s="13" t="s">
        <v>5623</v>
      </c>
      <c r="M946" s="26" t="str">
        <f>VLOOKUP(E946,'MTS 2026 registrations'!B:B,1,false)</f>
        <v>#N/A</v>
      </c>
      <c r="N946" s="26" t="str">
        <f>VLOOKUP(B946,'MTS 2026 registrations'!A:A,1,false)</f>
        <v>#N/A</v>
      </c>
      <c r="O946" s="38" t="str">
        <f t="shared" si="2"/>
        <v>Marked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ht="12.75" customHeight="1">
      <c r="A947" s="19" t="str">
        <f t="shared" si="3"/>
        <v>Jan Hunik unikline</v>
      </c>
      <c r="B947" s="19" t="s">
        <v>5624</v>
      </c>
      <c r="C947" s="20" t="s">
        <v>709</v>
      </c>
      <c r="D947" s="20" t="s">
        <v>5625</v>
      </c>
      <c r="E947" s="21" t="s">
        <v>5626</v>
      </c>
      <c r="F947" s="23" t="s">
        <v>5627</v>
      </c>
      <c r="G947" s="24" t="s">
        <v>225</v>
      </c>
      <c r="H947" s="25" t="s">
        <v>47</v>
      </c>
      <c r="I947" s="26"/>
      <c r="J947" s="35" t="s">
        <v>5628</v>
      </c>
      <c r="K947" s="27" t="s">
        <v>50</v>
      </c>
      <c r="L947" s="13" t="s">
        <v>5629</v>
      </c>
      <c r="M947" s="26" t="str">
        <f>VLOOKUP(E947,'MTS 2026 registrations'!B:B,1,false)</f>
        <v>#N/A</v>
      </c>
      <c r="N947" s="26" t="str">
        <f>VLOOKUP(B947,'MTS 2026 registrations'!A:A,1,false)</f>
        <v>#N/A</v>
      </c>
      <c r="O947" s="38" t="str">
        <f t="shared" si="2"/>
        <v>Marked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34"/>
      <c r="AE947" s="34"/>
    </row>
    <row r="948" ht="12.75" customHeight="1">
      <c r="A948" s="19" t="str">
        <f t="shared" si="3"/>
        <v>Jan van de Tempel Ampelmann</v>
      </c>
      <c r="B948" s="19" t="s">
        <v>5630</v>
      </c>
      <c r="C948" s="29" t="s">
        <v>709</v>
      </c>
      <c r="D948" s="29" t="s">
        <v>5631</v>
      </c>
      <c r="E948" s="31" t="s">
        <v>5632</v>
      </c>
      <c r="F948" s="33" t="s">
        <v>5633</v>
      </c>
      <c r="G948" s="32" t="s">
        <v>46</v>
      </c>
      <c r="H948" s="25" t="s">
        <v>47</v>
      </c>
      <c r="I948" s="34"/>
      <c r="J948" s="35" t="s">
        <v>5634</v>
      </c>
      <c r="K948" s="27" t="s">
        <v>50</v>
      </c>
      <c r="L948" s="13" t="s">
        <v>4899</v>
      </c>
      <c r="M948" s="26" t="str">
        <f>VLOOKUP(E948,'MTS 2026 registrations'!B:B,1,false)</f>
        <v>#N/A</v>
      </c>
      <c r="N948" s="26" t="str">
        <f>VLOOKUP(B948,'MTS 2026 registrations'!A:A,1,false)</f>
        <v>#N/A</v>
      </c>
      <c r="O948" s="38" t="str">
        <f t="shared" si="2"/>
        <v>Marked</v>
      </c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ht="12.75" customHeight="1">
      <c r="A949" s="19" t="str">
        <f t="shared" si="3"/>
        <v>Jan Verhave embeddedacoustics</v>
      </c>
      <c r="B949" s="19" t="s">
        <v>5635</v>
      </c>
      <c r="C949" s="20" t="s">
        <v>709</v>
      </c>
      <c r="D949" s="20" t="s">
        <v>5636</v>
      </c>
      <c r="E949" s="21" t="s">
        <v>5637</v>
      </c>
      <c r="F949" s="23" t="s">
        <v>5638</v>
      </c>
      <c r="G949" s="32" t="s">
        <v>46</v>
      </c>
      <c r="H949" s="25" t="s">
        <v>47</v>
      </c>
      <c r="I949" s="23"/>
      <c r="J949" s="35" t="s">
        <v>5639</v>
      </c>
      <c r="K949" s="27" t="s">
        <v>50</v>
      </c>
      <c r="L949" s="13" t="s">
        <v>5640</v>
      </c>
      <c r="M949" s="26" t="str">
        <f>VLOOKUP(E949,'MTS 2026 registrations'!B:B,1,false)</f>
        <v>#N/A</v>
      </c>
      <c r="N949" s="26" t="str">
        <f>VLOOKUP(B949,'MTS 2026 registrations'!A:A,1,false)</f>
        <v>#N/A</v>
      </c>
      <c r="O949" s="38" t="str">
        <f t="shared" si="2"/>
        <v>Marked</v>
      </c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34"/>
      <c r="AE949" s="34"/>
    </row>
    <row r="950" ht="12.75" customHeight="1">
      <c r="A950" s="19" t="str">
        <f t="shared" si="3"/>
        <v>Jan Pieter Versluijs Solar Monkey</v>
      </c>
      <c r="B950" s="19" t="s">
        <v>5641</v>
      </c>
      <c r="C950" s="29" t="s">
        <v>709</v>
      </c>
      <c r="D950" s="29" t="s">
        <v>5642</v>
      </c>
      <c r="E950" s="62" t="s">
        <v>5643</v>
      </c>
      <c r="F950" s="50" t="s">
        <v>5644</v>
      </c>
      <c r="G950" s="32" t="s">
        <v>46</v>
      </c>
      <c r="H950" s="25" t="s">
        <v>139</v>
      </c>
      <c r="I950" s="23"/>
      <c r="J950" s="35" t="s">
        <v>5645</v>
      </c>
      <c r="K950" s="27" t="s">
        <v>50</v>
      </c>
      <c r="L950" s="13" t="s">
        <v>5646</v>
      </c>
      <c r="M950" s="26" t="str">
        <f>VLOOKUP(E950,'MTS 2026 registrations'!B:B,1,false)</f>
        <v>#N/A</v>
      </c>
      <c r="N950" s="26" t="str">
        <f>VLOOKUP(B950,'MTS 2026 registrations'!A:A,1,false)</f>
        <v>#N/A</v>
      </c>
      <c r="O950" s="38" t="str">
        <f t="shared" si="2"/>
        <v>Marked</v>
      </c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2.75" customHeight="1">
      <c r="A951" s="19" t="str">
        <f t="shared" si="3"/>
        <v>Jan Willem Klerkx janwillemklerkx</v>
      </c>
      <c r="B951" s="19" t="s">
        <v>5647</v>
      </c>
      <c r="C951" s="20" t="s">
        <v>709</v>
      </c>
      <c r="D951" s="20" t="s">
        <v>5648</v>
      </c>
      <c r="E951" s="21" t="s">
        <v>5649</v>
      </c>
      <c r="F951" s="23" t="s">
        <v>5650</v>
      </c>
      <c r="G951" s="24" t="s">
        <v>29</v>
      </c>
      <c r="H951" s="25" t="s">
        <v>47</v>
      </c>
      <c r="I951" s="34"/>
      <c r="J951" s="35" t="s">
        <v>5651</v>
      </c>
      <c r="K951" s="27" t="s">
        <v>50</v>
      </c>
      <c r="L951" s="13" t="s">
        <v>5652</v>
      </c>
      <c r="M951" s="26" t="str">
        <f>VLOOKUP(E951,'MTS 2026 registrations'!B:B,1,false)</f>
        <v>#N/A</v>
      </c>
      <c r="N951" s="26" t="str">
        <f>VLOOKUP(B951,'MTS 2026 registrations'!A:A,1,false)</f>
        <v>#N/A</v>
      </c>
      <c r="O951" s="38" t="str">
        <f t="shared" si="2"/>
        <v>Marked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</row>
    <row r="952" ht="12.75" customHeight="1">
      <c r="A952" s="19" t="str">
        <f t="shared" si="3"/>
        <v>Jan Ferdinand Henseler joinflux</v>
      </c>
      <c r="B952" s="19" t="s">
        <v>5653</v>
      </c>
      <c r="C952" s="20" t="s">
        <v>5654</v>
      </c>
      <c r="D952" s="20" t="s">
        <v>5655</v>
      </c>
      <c r="E952" s="21" t="s">
        <v>5656</v>
      </c>
      <c r="F952" s="23" t="s">
        <v>5657</v>
      </c>
      <c r="G952" s="32" t="s">
        <v>46</v>
      </c>
      <c r="H952" s="25" t="s">
        <v>47</v>
      </c>
      <c r="I952" s="23"/>
      <c r="J952" s="35" t="s">
        <v>5658</v>
      </c>
      <c r="K952" s="27" t="s">
        <v>50</v>
      </c>
      <c r="L952" s="13" t="s">
        <v>5659</v>
      </c>
      <c r="M952" s="26" t="str">
        <f>VLOOKUP(E952,'MTS 2026 registrations'!B:B,1,false)</f>
        <v>#N/A</v>
      </c>
      <c r="N952" s="26" t="str">
        <f>VLOOKUP(B952,'MTS 2026 registrations'!A:A,1,false)</f>
        <v>#N/A</v>
      </c>
      <c r="O952" s="38" t="str">
        <f t="shared" si="2"/>
        <v>Marked</v>
      </c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34"/>
      <c r="AE952" s="34"/>
    </row>
    <row r="953" ht="12.75" customHeight="1">
      <c r="A953" s="19" t="str">
        <f t="shared" si="3"/>
        <v>Jan Geert van Hall yesdelft</v>
      </c>
      <c r="B953" s="19" t="s">
        <v>5660</v>
      </c>
      <c r="C953" s="20" t="s">
        <v>5661</v>
      </c>
      <c r="D953" s="20" t="s">
        <v>5662</v>
      </c>
      <c r="E953" s="21" t="s">
        <v>5663</v>
      </c>
      <c r="F953" s="23" t="s">
        <v>2267</v>
      </c>
      <c r="G953" s="24" t="s">
        <v>29</v>
      </c>
      <c r="H953" s="25" t="s">
        <v>139</v>
      </c>
      <c r="I953" s="26"/>
      <c r="J953" s="35" t="s">
        <v>5664</v>
      </c>
      <c r="K953" s="27" t="s">
        <v>50</v>
      </c>
      <c r="L953" s="13" t="s">
        <v>5665</v>
      </c>
      <c r="M953" s="26" t="str">
        <f>VLOOKUP(E953,'MTS 2026 registrations'!B:B,1,false)</f>
        <v>#N/A</v>
      </c>
      <c r="N953" s="26" t="str">
        <f>VLOOKUP(B953,'MTS 2026 registrations'!A:A,1,false)</f>
        <v>#N/A</v>
      </c>
      <c r="O953" s="38" t="str">
        <f t="shared" si="2"/>
        <v>Marked</v>
      </c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34"/>
      <c r="AE953" s="34"/>
    </row>
    <row r="954" ht="12.75" customHeight="1">
      <c r="A954" s="19" t="str">
        <f t="shared" si="3"/>
        <v>Jan Pieter van Tilburg naturesprinciples</v>
      </c>
      <c r="B954" s="19" t="s">
        <v>5666</v>
      </c>
      <c r="C954" s="20" t="s">
        <v>5667</v>
      </c>
      <c r="D954" s="20" t="s">
        <v>3893</v>
      </c>
      <c r="E954" s="21" t="s">
        <v>5668</v>
      </c>
      <c r="F954" s="23" t="s">
        <v>5669</v>
      </c>
      <c r="G954" s="32" t="s">
        <v>46</v>
      </c>
      <c r="H954" s="25" t="s">
        <v>47</v>
      </c>
      <c r="I954" s="34"/>
      <c r="J954" s="35" t="s">
        <v>5670</v>
      </c>
      <c r="K954" s="27" t="s">
        <v>50</v>
      </c>
      <c r="L954" s="13" t="s">
        <v>5671</v>
      </c>
      <c r="M954" s="26" t="str">
        <f>VLOOKUP(E954,'MTS 2026 registrations'!B:B,1,false)</f>
        <v>#N/A</v>
      </c>
      <c r="N954" s="26" t="str">
        <f>VLOOKUP(B954,'MTS 2026 registrations'!A:A,1,false)</f>
        <v>#N/A</v>
      </c>
      <c r="O954" s="38" t="str">
        <f t="shared" si="2"/>
        <v>Marked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ht="12.75" customHeight="1">
      <c r="A955" s="19" t="str">
        <f t="shared" si="3"/>
        <v>Jan Willem Hekman VFA solutions (virus free air)</v>
      </c>
      <c r="B955" s="19" t="s">
        <v>5672</v>
      </c>
      <c r="C955" s="29" t="s">
        <v>5673</v>
      </c>
      <c r="D955" s="29" t="s">
        <v>5674</v>
      </c>
      <c r="E955" s="31" t="s">
        <v>5675</v>
      </c>
      <c r="F955" s="33" t="s">
        <v>5676</v>
      </c>
      <c r="G955" s="32" t="s">
        <v>46</v>
      </c>
      <c r="H955" s="25" t="s">
        <v>47</v>
      </c>
      <c r="I955" s="34"/>
      <c r="J955" s="35" t="s">
        <v>5677</v>
      </c>
      <c r="K955" s="27" t="s">
        <v>50</v>
      </c>
      <c r="L955" s="13" t="s">
        <v>5678</v>
      </c>
      <c r="M955" s="26" t="str">
        <f>VLOOKUP(E955,'MTS 2026 registrations'!B:B,1,false)</f>
        <v>#N/A</v>
      </c>
      <c r="N955" s="26" t="str">
        <f>VLOOKUP(B955,'MTS 2026 registrations'!A:A,1,false)</f>
        <v>#N/A</v>
      </c>
      <c r="O955" s="38" t="str">
        <f t="shared" si="2"/>
        <v>Marked</v>
      </c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</row>
    <row r="956" ht="12.75" customHeight="1">
      <c r="A956" s="19" t="str">
        <f t="shared" si="3"/>
        <v>Jan Willem Heinen maeve</v>
      </c>
      <c r="B956" s="19" t="s">
        <v>5679</v>
      </c>
      <c r="C956" s="20" t="s">
        <v>5680</v>
      </c>
      <c r="D956" s="72" t="s">
        <v>5681</v>
      </c>
      <c r="E956" s="183" t="s">
        <v>5682</v>
      </c>
      <c r="F956" s="29" t="s">
        <v>786</v>
      </c>
      <c r="G956" s="32" t="s">
        <v>46</v>
      </c>
      <c r="H956" s="13" t="s">
        <v>213</v>
      </c>
      <c r="I956" s="34"/>
      <c r="J956" s="35" t="s">
        <v>5683</v>
      </c>
      <c r="K956" s="27" t="s">
        <v>50</v>
      </c>
      <c r="L956" s="13" t="s">
        <v>5684</v>
      </c>
      <c r="M956" s="26" t="str">
        <f>VLOOKUP(E956,'MTS 2026 registrations'!B:B,1,false)</f>
        <v>#N/A</v>
      </c>
      <c r="N956" s="26" t="str">
        <f>VLOOKUP(B956,'MTS 2026 registrations'!A:A,1,false)</f>
        <v>#N/A</v>
      </c>
      <c r="O956" s="38" t="str">
        <f t="shared" si="2"/>
        <v>Marked</v>
      </c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34"/>
      <c r="AE956" s="34"/>
    </row>
    <row r="957" ht="12.75" customHeight="1">
      <c r="A957" s="19" t="str">
        <f t="shared" si="3"/>
        <v>Jan Willem Deutekom thaumatec</v>
      </c>
      <c r="B957" s="19" t="s">
        <v>5685</v>
      </c>
      <c r="C957" s="20" t="s">
        <v>5680</v>
      </c>
      <c r="D957" s="20" t="s">
        <v>5686</v>
      </c>
      <c r="E957" s="21" t="s">
        <v>5687</v>
      </c>
      <c r="F957" s="23" t="s">
        <v>5688</v>
      </c>
      <c r="G957" s="24" t="s">
        <v>225</v>
      </c>
      <c r="H957" s="25" t="s">
        <v>47</v>
      </c>
      <c r="I957" s="23"/>
      <c r="J957" s="35" t="s">
        <v>5689</v>
      </c>
      <c r="K957" s="27" t="s">
        <v>50</v>
      </c>
      <c r="L957" s="13" t="s">
        <v>5690</v>
      </c>
      <c r="M957" s="26" t="str">
        <f>VLOOKUP(E957,'MTS 2026 registrations'!B:B,1,false)</f>
        <v>jan-willem.deutekom@thaumatec.com</v>
      </c>
      <c r="N957" s="26" t="str">
        <f>VLOOKUP(B957,'MTS 2026 registrations'!A:A,1,false)</f>
        <v>#N/A</v>
      </c>
      <c r="O957" s="38" t="str">
        <f t="shared" si="2"/>
        <v/>
      </c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34"/>
      <c r="AE957" s="34"/>
    </row>
    <row r="958" ht="12.75" customHeight="1">
      <c r="A958" s="19" t="str">
        <f t="shared" si="3"/>
        <v>Jan-Joost Rueb </v>
      </c>
      <c r="B958" s="19" t="s">
        <v>5691</v>
      </c>
      <c r="C958" s="20" t="s">
        <v>5692</v>
      </c>
      <c r="D958" s="20" t="s">
        <v>5693</v>
      </c>
      <c r="E958" s="21" t="s">
        <v>5694</v>
      </c>
      <c r="F958" s="52"/>
      <c r="G958" s="24" t="s">
        <v>163</v>
      </c>
      <c r="H958" s="13" t="s">
        <v>213</v>
      </c>
      <c r="I958" s="26"/>
      <c r="J958" s="35" t="s">
        <v>5695</v>
      </c>
      <c r="K958" s="27" t="s">
        <v>50</v>
      </c>
      <c r="L958" s="13" t="s">
        <v>5696</v>
      </c>
      <c r="M958" s="26" t="str">
        <f>VLOOKUP(E958,'MTS 2026 registrations'!B:B,1,false)</f>
        <v>#N/A</v>
      </c>
      <c r="N958" s="26" t="str">
        <f>VLOOKUP(B958,'MTS 2026 registrations'!A:A,1,false)</f>
        <v>#N/A</v>
      </c>
      <c r="O958" s="38" t="str">
        <f t="shared" si="2"/>
        <v>Marked</v>
      </c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34"/>
      <c r="AE958" s="34"/>
    </row>
    <row r="959" ht="12.75" customHeight="1">
      <c r="A959" s="19" t="str">
        <f t="shared" si="3"/>
        <v>Jan-Matthijs van Eendenburg ten.investments</v>
      </c>
      <c r="B959" s="19" t="s">
        <v>5697</v>
      </c>
      <c r="C959" s="20" t="s">
        <v>5698</v>
      </c>
      <c r="D959" s="20" t="s">
        <v>5699</v>
      </c>
      <c r="E959" s="21" t="s">
        <v>5700</v>
      </c>
      <c r="F959" s="23" t="s">
        <v>5267</v>
      </c>
      <c r="G959" s="24" t="s">
        <v>163</v>
      </c>
      <c r="H959" s="25" t="s">
        <v>164</v>
      </c>
      <c r="I959" s="23"/>
      <c r="J959" s="35" t="s">
        <v>5701</v>
      </c>
      <c r="K959" s="27" t="s">
        <v>50</v>
      </c>
      <c r="L959" s="13" t="s">
        <v>5702</v>
      </c>
      <c r="M959" s="26" t="str">
        <f>VLOOKUP(E959,'MTS 2026 registrations'!B:B,1,false)</f>
        <v>#N/A</v>
      </c>
      <c r="N959" s="26" t="str">
        <f>VLOOKUP(B959,'MTS 2026 registrations'!A:A,1,false)</f>
        <v>#N/A</v>
      </c>
      <c r="O959" s="38" t="str">
        <f t="shared" si="2"/>
        <v>Marked</v>
      </c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34"/>
      <c r="AE959" s="34"/>
    </row>
    <row r="960" ht="12.75" customHeight="1">
      <c r="A960" s="19" t="str">
        <f t="shared" si="3"/>
        <v>Jan-Willem van Boeckel pelagos</v>
      </c>
      <c r="B960" s="19" t="s">
        <v>5703</v>
      </c>
      <c r="C960" s="20" t="s">
        <v>5704</v>
      </c>
      <c r="D960" s="20" t="s">
        <v>5705</v>
      </c>
      <c r="E960" s="21" t="s">
        <v>5706</v>
      </c>
      <c r="F960" s="23" t="s">
        <v>5707</v>
      </c>
      <c r="G960" s="24" t="s">
        <v>225</v>
      </c>
      <c r="H960" s="25" t="s">
        <v>47</v>
      </c>
      <c r="I960" s="23"/>
      <c r="J960" s="35" t="s">
        <v>5708</v>
      </c>
      <c r="K960" s="27" t="s">
        <v>50</v>
      </c>
      <c r="L960" s="13" t="s">
        <v>5709</v>
      </c>
      <c r="M960" s="26" t="str">
        <f>VLOOKUP(E960,'MTS 2026 registrations'!B:B,1,false)</f>
        <v>#N/A</v>
      </c>
      <c r="N960" s="26" t="str">
        <f>VLOOKUP(B960,'MTS 2026 registrations'!A:A,1,false)</f>
        <v>#N/A</v>
      </c>
      <c r="O960" s="38" t="str">
        <f t="shared" si="2"/>
        <v>Marked</v>
      </c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34"/>
      <c r="AE960" s="34"/>
    </row>
    <row r="961" ht="12.75" customHeight="1">
      <c r="A961" s="19" t="str">
        <f t="shared" si="3"/>
        <v>Jan-Willem Snoeker merqato</v>
      </c>
      <c r="B961" s="19" t="s">
        <v>5710</v>
      </c>
      <c r="C961" s="20" t="s">
        <v>5711</v>
      </c>
      <c r="D961" s="184" t="s">
        <v>5712</v>
      </c>
      <c r="E961" s="94" t="s">
        <v>5713</v>
      </c>
      <c r="F961" s="23" t="s">
        <v>566</v>
      </c>
      <c r="G961" s="32" t="s">
        <v>46</v>
      </c>
      <c r="H961" s="25" t="s">
        <v>47</v>
      </c>
      <c r="I961" s="23"/>
      <c r="J961" s="35" t="s">
        <v>5714</v>
      </c>
      <c r="K961" s="27" t="s">
        <v>50</v>
      </c>
      <c r="L961" s="13" t="s">
        <v>5715</v>
      </c>
      <c r="M961" s="26" t="str">
        <f>VLOOKUP(E961,'MTS 2026 registrations'!B:B,1,false)</f>
        <v>#N/A</v>
      </c>
      <c r="N961" s="26" t="str">
        <f>VLOOKUP(B961,'MTS 2026 registrations'!A:A,1,false)</f>
        <v>#N/A</v>
      </c>
      <c r="O961" s="38" t="str">
        <f t="shared" si="2"/>
        <v>Marked</v>
      </c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34"/>
      <c r="AE961" s="34"/>
    </row>
    <row r="962" ht="12.75" customHeight="1">
      <c r="A962" s="19" t="str">
        <f t="shared" si="3"/>
        <v>Janneke Tjon Pian Gi tablomonto</v>
      </c>
      <c r="B962" s="19" t="s">
        <v>5716</v>
      </c>
      <c r="C962" s="20" t="s">
        <v>5717</v>
      </c>
      <c r="D962" s="20" t="s">
        <v>5718</v>
      </c>
      <c r="E962" s="21" t="s">
        <v>5719</v>
      </c>
      <c r="F962" s="23" t="s">
        <v>5720</v>
      </c>
      <c r="G962" s="24" t="s">
        <v>163</v>
      </c>
      <c r="H962" s="25" t="s">
        <v>164</v>
      </c>
      <c r="I962" s="23"/>
      <c r="J962" s="35" t="s">
        <v>5721</v>
      </c>
      <c r="K962" s="27" t="s">
        <v>50</v>
      </c>
      <c r="L962" s="13" t="s">
        <v>5722</v>
      </c>
      <c r="M962" s="26" t="str">
        <f>VLOOKUP(E962,'MTS 2026 registrations'!B:B,1,false)</f>
        <v>#N/A</v>
      </c>
      <c r="N962" s="26" t="str">
        <f>VLOOKUP(B962,'MTS 2026 registrations'!A:A,1,false)</f>
        <v>#N/A</v>
      </c>
      <c r="O962" s="38" t="str">
        <f t="shared" si="2"/>
        <v>Marked</v>
      </c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34"/>
      <c r="AE962" s="34"/>
    </row>
    <row r="963" ht="12.75" customHeight="1">
      <c r="A963" s="19" t="str">
        <f t="shared" si="3"/>
        <v>Jantine Schaap tudelft</v>
      </c>
      <c r="B963" s="19" t="s">
        <v>5723</v>
      </c>
      <c r="C963" s="60" t="s">
        <v>5724</v>
      </c>
      <c r="D963" s="60" t="s">
        <v>5725</v>
      </c>
      <c r="E963" s="62" t="s">
        <v>5726</v>
      </c>
      <c r="F963" s="64" t="s">
        <v>184</v>
      </c>
      <c r="G963" s="42" t="s">
        <v>43</v>
      </c>
      <c r="H963" s="25" t="s">
        <v>139</v>
      </c>
      <c r="I963" s="34"/>
      <c r="J963" s="35" t="s">
        <v>5727</v>
      </c>
      <c r="K963" s="27" t="s">
        <v>50</v>
      </c>
      <c r="L963" s="13" t="s">
        <v>5728</v>
      </c>
      <c r="M963" s="26" t="str">
        <f>VLOOKUP(E963,'MTS 2026 registrations'!B:B,1,false)</f>
        <v>#N/A</v>
      </c>
      <c r="N963" s="26" t="str">
        <f>VLOOKUP(B963,'MTS 2026 registrations'!A:A,1,false)</f>
        <v>#N/A</v>
      </c>
      <c r="O963" s="38" t="str">
        <f t="shared" si="2"/>
        <v>Marked</v>
      </c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34"/>
      <c r="AE963" s="34"/>
    </row>
    <row r="964" ht="12.75" customHeight="1">
      <c r="A964" s="19" t="str">
        <f t="shared" si="3"/>
        <v>Jardo Stammeshaus Liion Power B.V.</v>
      </c>
      <c r="B964" s="19" t="s">
        <v>5729</v>
      </c>
      <c r="C964" s="13" t="s">
        <v>5730</v>
      </c>
      <c r="D964" s="13" t="s">
        <v>5731</v>
      </c>
      <c r="E964" s="60" t="s">
        <v>5732</v>
      </c>
      <c r="F964" s="60" t="s">
        <v>3346</v>
      </c>
      <c r="G964" s="32" t="s">
        <v>46</v>
      </c>
      <c r="H964" s="25" t="s">
        <v>47</v>
      </c>
      <c r="I964" s="34"/>
      <c r="J964" s="35" t="s">
        <v>5733</v>
      </c>
      <c r="K964" s="27" t="s">
        <v>50</v>
      </c>
      <c r="L964" s="13" t="s">
        <v>5734</v>
      </c>
      <c r="M964" s="26" t="str">
        <f>VLOOKUP(E964,'MTS 2026 registrations'!B:B,1,false)</f>
        <v>#N/A</v>
      </c>
      <c r="N964" s="26" t="str">
        <f>VLOOKUP(B964,'MTS 2026 registrations'!A:A,1,false)</f>
        <v>#N/A</v>
      </c>
      <c r="O964" s="38" t="str">
        <f t="shared" si="2"/>
        <v>Marked</v>
      </c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ht="12.75" customHeight="1">
      <c r="A965" s="19" t="str">
        <f t="shared" si="3"/>
        <v>Jasper Peterich tudelft</v>
      </c>
      <c r="B965" s="19" t="s">
        <v>5735</v>
      </c>
      <c r="C965" s="60" t="s">
        <v>715</v>
      </c>
      <c r="D965" s="60" t="s">
        <v>5736</v>
      </c>
      <c r="E965" s="62" t="s">
        <v>5737</v>
      </c>
      <c r="F965" s="64" t="s">
        <v>184</v>
      </c>
      <c r="G965" s="42" t="s">
        <v>43</v>
      </c>
      <c r="H965" s="25" t="s">
        <v>139</v>
      </c>
      <c r="I965" s="34"/>
      <c r="J965" s="35" t="s">
        <v>5738</v>
      </c>
      <c r="K965" s="27" t="s">
        <v>50</v>
      </c>
      <c r="L965" s="13" t="s">
        <v>5739</v>
      </c>
      <c r="M965" s="26" t="str">
        <f>VLOOKUP(E965,'MTS 2026 registrations'!B:B,1,false)</f>
        <v>j.p.peterich@tudelft.nl</v>
      </c>
      <c r="N965" s="26" t="str">
        <f>VLOOKUP(B965,'MTS 2026 registrations'!A:A,1,false)</f>
        <v>Jasper Peterich</v>
      </c>
      <c r="O965" s="38" t="str">
        <f t="shared" si="2"/>
        <v/>
      </c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34"/>
      <c r="AE965" s="34"/>
    </row>
    <row r="966" ht="12.75" customHeight="1">
      <c r="A966" s="19" t="str">
        <f t="shared" si="3"/>
        <v>Jasper Schol heemskerk-innovative</v>
      </c>
      <c r="B966" s="19" t="s">
        <v>5740</v>
      </c>
      <c r="C966" s="20" t="s">
        <v>715</v>
      </c>
      <c r="D966" s="93" t="s">
        <v>5741</v>
      </c>
      <c r="E966" s="21" t="s">
        <v>5742</v>
      </c>
      <c r="F966" s="23" t="s">
        <v>1405</v>
      </c>
      <c r="G966" s="32" t="s">
        <v>46</v>
      </c>
      <c r="H966" s="25" t="s">
        <v>47</v>
      </c>
      <c r="I966" s="23"/>
      <c r="J966" s="35" t="s">
        <v>5743</v>
      </c>
      <c r="K966" s="27" t="s">
        <v>50</v>
      </c>
      <c r="L966" s="13" t="s">
        <v>5744</v>
      </c>
      <c r="M966" s="26" t="str">
        <f>VLOOKUP(E966,'MTS 2026 registrations'!B:B,1,false)</f>
        <v>#N/A</v>
      </c>
      <c r="N966" s="26" t="str">
        <f>VLOOKUP(B966,'MTS 2026 registrations'!A:A,1,false)</f>
        <v>#N/A</v>
      </c>
      <c r="O966" s="38" t="str">
        <f t="shared" si="2"/>
        <v>Marked</v>
      </c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34"/>
      <c r="AE966" s="34"/>
    </row>
    <row r="967" ht="12.75" customHeight="1">
      <c r="A967" s="19" t="str">
        <f t="shared" si="3"/>
        <v>Jasper Driessen planet-b</v>
      </c>
      <c r="B967" s="19" t="s">
        <v>5745</v>
      </c>
      <c r="C967" s="60" t="s">
        <v>715</v>
      </c>
      <c r="D967" s="60" t="s">
        <v>5746</v>
      </c>
      <c r="E967" s="62" t="s">
        <v>5747</v>
      </c>
      <c r="F967" s="64" t="s">
        <v>2716</v>
      </c>
      <c r="G967" s="32" t="s">
        <v>29</v>
      </c>
      <c r="H967" s="25" t="s">
        <v>139</v>
      </c>
      <c r="I967" s="23"/>
      <c r="J967" s="35" t="s">
        <v>5748</v>
      </c>
      <c r="K967" s="27" t="s">
        <v>50</v>
      </c>
      <c r="L967" s="13" t="s">
        <v>5749</v>
      </c>
      <c r="M967" s="26" t="str">
        <f>VLOOKUP(E967,'MTS 2026 registrations'!B:B,1,false)</f>
        <v>#N/A</v>
      </c>
      <c r="N967" s="26" t="str">
        <f>VLOOKUP(B967,'MTS 2026 registrations'!A:A,1,false)</f>
        <v>#N/A</v>
      </c>
      <c r="O967" s="38" t="str">
        <f t="shared" si="2"/>
        <v>Marked</v>
      </c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34"/>
      <c r="AE967" s="34"/>
    </row>
    <row r="968" ht="12.75" customHeight="1">
      <c r="A968" s="19" t="str">
        <f t="shared" si="3"/>
        <v>Jasper Geselschap uniiq</v>
      </c>
      <c r="B968" s="19" t="s">
        <v>5750</v>
      </c>
      <c r="C968" s="20" t="s">
        <v>715</v>
      </c>
      <c r="D968" s="20" t="s">
        <v>5751</v>
      </c>
      <c r="E968" s="21" t="s">
        <v>5752</v>
      </c>
      <c r="F968" s="23" t="s">
        <v>1424</v>
      </c>
      <c r="G968" s="24" t="s">
        <v>5753</v>
      </c>
      <c r="H968" s="25" t="s">
        <v>164</v>
      </c>
      <c r="I968" s="26"/>
      <c r="J968" s="35" t="s">
        <v>5754</v>
      </c>
      <c r="K968" s="27" t="s">
        <v>50</v>
      </c>
      <c r="L968" s="13" t="s">
        <v>5755</v>
      </c>
      <c r="M968" s="26" t="str">
        <f>VLOOKUP(E968,'MTS 2026 registrations'!B:B,1,false)</f>
        <v>#N/A</v>
      </c>
      <c r="N968" s="26" t="str">
        <f>VLOOKUP(B968,'MTS 2026 registrations'!A:A,1,false)</f>
        <v>#N/A</v>
      </c>
      <c r="O968" s="38" t="str">
        <f t="shared" si="2"/>
        <v>Marked</v>
      </c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34"/>
      <c r="AE968" s="34"/>
    </row>
    <row r="969" ht="12.75" customHeight="1">
      <c r="A969" s="19" t="str">
        <f t="shared" si="3"/>
        <v>Jasper Schuringa damen</v>
      </c>
      <c r="B969" s="19" t="s">
        <v>5756</v>
      </c>
      <c r="C969" s="29" t="s">
        <v>715</v>
      </c>
      <c r="D969" s="29" t="s">
        <v>5757</v>
      </c>
      <c r="E969" s="30" t="s">
        <v>5758</v>
      </c>
      <c r="F969" s="29" t="s">
        <v>2744</v>
      </c>
      <c r="G969" s="32" t="s">
        <v>56</v>
      </c>
      <c r="H969" s="13" t="s">
        <v>45</v>
      </c>
      <c r="I969" s="34"/>
      <c r="J969" s="35" t="s">
        <v>5759</v>
      </c>
      <c r="K969" s="27" t="s">
        <v>50</v>
      </c>
      <c r="L969" s="13" t="s">
        <v>5760</v>
      </c>
      <c r="M969" s="26" t="str">
        <f>VLOOKUP(E969,'MTS 2026 registrations'!B:B,1,false)</f>
        <v>#N/A</v>
      </c>
      <c r="N969" s="26" t="str">
        <f>VLOOKUP(B969,'MTS 2026 registrations'!A:A,1,false)</f>
        <v>#N/A</v>
      </c>
      <c r="O969" s="38" t="str">
        <f t="shared" si="2"/>
        <v>Marked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</row>
    <row r="970" ht="12.75" customHeight="1">
      <c r="A970" s="19" t="str">
        <f t="shared" si="3"/>
        <v>Jasper van Tongeren </v>
      </c>
      <c r="B970" s="19" t="s">
        <v>5761</v>
      </c>
      <c r="C970" s="20" t="s">
        <v>715</v>
      </c>
      <c r="D970" s="53" t="s">
        <v>5762</v>
      </c>
      <c r="E970" s="21" t="s">
        <v>5763</v>
      </c>
      <c r="F970" s="52"/>
      <c r="G970" s="24" t="s">
        <v>225</v>
      </c>
      <c r="H970" s="25" t="s">
        <v>47</v>
      </c>
      <c r="I970" s="26"/>
      <c r="J970" s="35" t="s">
        <v>5764</v>
      </c>
      <c r="K970" s="27" t="s">
        <v>50</v>
      </c>
      <c r="L970" s="13" t="s">
        <v>5765</v>
      </c>
      <c r="M970" s="26" t="str">
        <f>VLOOKUP(E970,'MTS 2026 registrations'!B:B,1,false)</f>
        <v>#N/A</v>
      </c>
      <c r="N970" s="26" t="str">
        <f>VLOOKUP(B970,'MTS 2026 registrations'!A:A,1,false)</f>
        <v>#N/A</v>
      </c>
      <c r="O970" s="38" t="str">
        <f t="shared" si="2"/>
        <v>Marked</v>
      </c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2.75" customHeight="1">
      <c r="A971" s="19" t="str">
        <f t="shared" si="3"/>
        <v>Jasper Schuurmans virtualock</v>
      </c>
      <c r="B971" s="19" t="s">
        <v>5766</v>
      </c>
      <c r="C971" s="20" t="s">
        <v>715</v>
      </c>
      <c r="D971" s="20" t="s">
        <v>5767</v>
      </c>
      <c r="E971" s="21" t="s">
        <v>5768</v>
      </c>
      <c r="F971" s="23" t="s">
        <v>5769</v>
      </c>
      <c r="G971" s="32" t="s">
        <v>46</v>
      </c>
      <c r="H971" s="25" t="s">
        <v>47</v>
      </c>
      <c r="I971" s="26"/>
      <c r="J971" s="35" t="s">
        <v>5770</v>
      </c>
      <c r="K971" s="27" t="s">
        <v>50</v>
      </c>
      <c r="L971" s="13" t="s">
        <v>5771</v>
      </c>
      <c r="M971" s="26" t="str">
        <f>VLOOKUP(E971,'MTS 2026 registrations'!B:B,1,false)</f>
        <v>#N/A</v>
      </c>
      <c r="N971" s="26" t="str">
        <f>VLOOKUP(B971,'MTS 2026 registrations'!A:A,1,false)</f>
        <v>#N/A</v>
      </c>
      <c r="O971" s="38" t="str">
        <f t="shared" si="2"/>
        <v>Marked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</row>
    <row r="972" ht="12.75" customHeight="1">
      <c r="A972" s="19" t="str">
        <f t="shared" si="3"/>
        <v>Jeffrey Miog Tective Robotics</v>
      </c>
      <c r="B972" s="19" t="s">
        <v>5772</v>
      </c>
      <c r="C972" s="29" t="s">
        <v>5773</v>
      </c>
      <c r="D972" s="121" t="s">
        <v>5774</v>
      </c>
      <c r="E972" s="31" t="s">
        <v>5775</v>
      </c>
      <c r="F972" s="33" t="s">
        <v>5776</v>
      </c>
      <c r="G972" s="32" t="s">
        <v>46</v>
      </c>
      <c r="H972" s="25" t="s">
        <v>47</v>
      </c>
      <c r="I972" s="34"/>
      <c r="J972" s="35" t="s">
        <v>5777</v>
      </c>
      <c r="K972" s="27" t="s">
        <v>50</v>
      </c>
      <c r="L972" s="13" t="s">
        <v>5778</v>
      </c>
      <c r="M972" s="26" t="str">
        <f>VLOOKUP(E972,'MTS 2026 registrations'!B:B,1,false)</f>
        <v>#N/A</v>
      </c>
      <c r="N972" s="26" t="str">
        <f>VLOOKUP(B972,'MTS 2026 registrations'!A:A,1,false)</f>
        <v>#N/A</v>
      </c>
      <c r="O972" s="38" t="str">
        <f t="shared" si="2"/>
        <v>Marked</v>
      </c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ht="12.75" customHeight="1">
      <c r="A973" s="19" t="str">
        <f t="shared" si="3"/>
        <v>Jefta Vriend glimp</v>
      </c>
      <c r="B973" s="19" t="s">
        <v>5779</v>
      </c>
      <c r="C973" s="29" t="s">
        <v>5780</v>
      </c>
      <c r="D973" s="29" t="s">
        <v>5781</v>
      </c>
      <c r="E973" s="30" t="s">
        <v>5782</v>
      </c>
      <c r="F973" s="29" t="s">
        <v>5783</v>
      </c>
      <c r="G973" s="32" t="s">
        <v>46</v>
      </c>
      <c r="H973" s="13" t="s">
        <v>213</v>
      </c>
      <c r="I973" s="23"/>
      <c r="J973" s="35" t="s">
        <v>5784</v>
      </c>
      <c r="K973" s="27" t="s">
        <v>50</v>
      </c>
      <c r="L973" s="13" t="s">
        <v>5785</v>
      </c>
      <c r="M973" s="26" t="str">
        <f>VLOOKUP(E973,'MTS 2026 registrations'!B:B,1,false)</f>
        <v>#N/A</v>
      </c>
      <c r="N973" s="26" t="str">
        <f>VLOOKUP(B973,'MTS 2026 registrations'!A:A,1,false)</f>
        <v>#N/A</v>
      </c>
      <c r="O973" s="38" t="str">
        <f t="shared" si="2"/>
        <v>Marked</v>
      </c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34"/>
      <c r="AE973" s="34"/>
    </row>
    <row r="974" ht="12.75" customHeight="1">
      <c r="A974" s="19" t="str">
        <f t="shared" si="3"/>
        <v>Jelle Tiemensma smart-ship</v>
      </c>
      <c r="B974" s="19" t="s">
        <v>5786</v>
      </c>
      <c r="C974" s="20" t="s">
        <v>2526</v>
      </c>
      <c r="D974" s="20" t="s">
        <v>5787</v>
      </c>
      <c r="E974" s="21" t="s">
        <v>5788</v>
      </c>
      <c r="F974" s="23" t="s">
        <v>3836</v>
      </c>
      <c r="G974" s="32" t="s">
        <v>46</v>
      </c>
      <c r="H974" s="25" t="s">
        <v>47</v>
      </c>
      <c r="I974" s="23"/>
      <c r="J974" s="35" t="s">
        <v>5789</v>
      </c>
      <c r="K974" s="27" t="s">
        <v>50</v>
      </c>
      <c r="L974" s="13" t="s">
        <v>5790</v>
      </c>
      <c r="M974" s="26" t="str">
        <f>VLOOKUP(E974,'MTS 2026 registrations'!B:B,1,false)</f>
        <v>#N/A</v>
      </c>
      <c r="N974" s="26" t="str">
        <f>VLOOKUP(B974,'MTS 2026 registrations'!A:A,1,false)</f>
        <v>#N/A</v>
      </c>
      <c r="O974" s="38" t="str">
        <f t="shared" si="2"/>
        <v>Marked</v>
      </c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34"/>
      <c r="AE974" s="34"/>
    </row>
    <row r="975" ht="12.75" customHeight="1">
      <c r="A975" s="19" t="str">
        <f t="shared" si="3"/>
        <v>Jelle Roozenburg aanmelder</v>
      </c>
      <c r="B975" s="19" t="s">
        <v>5791</v>
      </c>
      <c r="C975" s="20" t="s">
        <v>2526</v>
      </c>
      <c r="D975" s="20" t="s">
        <v>5792</v>
      </c>
      <c r="E975" s="21" t="s">
        <v>5793</v>
      </c>
      <c r="F975" s="23" t="s">
        <v>4949</v>
      </c>
      <c r="G975" s="32" t="s">
        <v>46</v>
      </c>
      <c r="H975" s="25" t="s">
        <v>47</v>
      </c>
      <c r="I975" s="26"/>
      <c r="J975" s="35" t="s">
        <v>5794</v>
      </c>
      <c r="K975" s="27" t="s">
        <v>50</v>
      </c>
      <c r="L975" s="13" t="s">
        <v>5795</v>
      </c>
      <c r="M975" s="26" t="str">
        <f>VLOOKUP(E975,'MTS 2026 registrations'!B:B,1,false)</f>
        <v>jelle@aanmelder.nl</v>
      </c>
      <c r="N975" s="26" t="str">
        <f>VLOOKUP(B975,'MTS 2026 registrations'!A:A,1,false)</f>
        <v>Jelle Roozenburg</v>
      </c>
      <c r="O975" s="38" t="str">
        <f t="shared" si="2"/>
        <v/>
      </c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34"/>
      <c r="AE975" s="34"/>
    </row>
    <row r="976" ht="12.75" customHeight="1">
      <c r="A976" s="19" t="str">
        <f t="shared" si="3"/>
        <v>Jelmer van Ast Conference Compass</v>
      </c>
      <c r="B976" s="19" t="s">
        <v>5796</v>
      </c>
      <c r="C976" s="29" t="s">
        <v>5797</v>
      </c>
      <c r="D976" s="29" t="s">
        <v>5798</v>
      </c>
      <c r="E976" s="62" t="s">
        <v>5799</v>
      </c>
      <c r="F976" s="50" t="s">
        <v>5800</v>
      </c>
      <c r="G976" s="32" t="s">
        <v>46</v>
      </c>
      <c r="H976" s="25" t="s">
        <v>139</v>
      </c>
      <c r="I976" s="13" t="s">
        <v>188</v>
      </c>
      <c r="J976" s="35" t="s">
        <v>5801</v>
      </c>
      <c r="K976" s="27" t="s">
        <v>50</v>
      </c>
      <c r="L976" s="13" t="s">
        <v>5802</v>
      </c>
      <c r="M976" s="26" t="str">
        <f>VLOOKUP(E976,'MTS 2026 registrations'!B:B,1,false)</f>
        <v>#N/A</v>
      </c>
      <c r="N976" s="26" t="str">
        <f>VLOOKUP(B976,'MTS 2026 registrations'!A:A,1,false)</f>
        <v>#N/A</v>
      </c>
      <c r="O976" s="38" t="str">
        <f t="shared" si="2"/>
        <v>Marked</v>
      </c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34"/>
      <c r="AE976" s="34"/>
    </row>
    <row r="977" ht="12.75" customHeight="1">
      <c r="A977" s="19" t="str">
        <f t="shared" si="3"/>
        <v>Jelte Mense Politie</v>
      </c>
      <c r="B977" s="19" t="s">
        <v>5803</v>
      </c>
      <c r="C977" s="156" t="s">
        <v>5804</v>
      </c>
      <c r="D977" s="156" t="s">
        <v>5805</v>
      </c>
      <c r="E977" s="50" t="s">
        <v>5806</v>
      </c>
      <c r="F977" s="50" t="s">
        <v>5807</v>
      </c>
      <c r="G977" s="32" t="s">
        <v>69</v>
      </c>
      <c r="H977" s="25" t="s">
        <v>47</v>
      </c>
      <c r="I977" s="34"/>
      <c r="J977" s="35" t="s">
        <v>5808</v>
      </c>
      <c r="K977" s="27" t="s">
        <v>50</v>
      </c>
      <c r="L977" s="13" t="s">
        <v>5809</v>
      </c>
      <c r="M977" s="26" t="str">
        <f>VLOOKUP(E977,'MTS 2026 registrations'!B:B,1,false)</f>
        <v>#N/A</v>
      </c>
      <c r="N977" s="26" t="str">
        <f>VLOOKUP(B977,'MTS 2026 registrations'!A:A,1,false)</f>
        <v>#N/A</v>
      </c>
      <c r="O977" s="38" t="str">
        <f t="shared" si="2"/>
        <v>Marked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</row>
    <row r="978" ht="12.75" customHeight="1">
      <c r="A978" s="19" t="str">
        <f t="shared" si="3"/>
        <v>Jerke Boers binki.es</v>
      </c>
      <c r="B978" s="19" t="s">
        <v>5810</v>
      </c>
      <c r="C978" s="20" t="s">
        <v>5811</v>
      </c>
      <c r="D978" s="20" t="s">
        <v>5812</v>
      </c>
      <c r="E978" s="21" t="s">
        <v>5813</v>
      </c>
      <c r="F978" s="23" t="s">
        <v>5814</v>
      </c>
      <c r="G978" s="32" t="s">
        <v>46</v>
      </c>
      <c r="H978" s="25" t="s">
        <v>47</v>
      </c>
      <c r="I978" s="26"/>
      <c r="J978" s="35" t="s">
        <v>5815</v>
      </c>
      <c r="K978" s="27" t="s">
        <v>50</v>
      </c>
      <c r="L978" s="13" t="s">
        <v>5816</v>
      </c>
      <c r="M978" s="26" t="str">
        <f>VLOOKUP(E978,'MTS 2026 registrations'!B:B,1,false)</f>
        <v>#N/A</v>
      </c>
      <c r="N978" s="26" t="str">
        <f>VLOOKUP(B978,'MTS 2026 registrations'!A:A,1,false)</f>
        <v>#N/A</v>
      </c>
      <c r="O978" s="38" t="str">
        <f t="shared" si="2"/>
        <v>Marked</v>
      </c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34"/>
      <c r="AE978" s="34"/>
    </row>
    <row r="979" ht="12.75" customHeight="1">
      <c r="A979" s="19" t="str">
        <f t="shared" si="3"/>
        <v>Jeroen Coelen jeroencoelen</v>
      </c>
      <c r="B979" s="19" t="s">
        <v>5817</v>
      </c>
      <c r="C979" s="29" t="s">
        <v>731</v>
      </c>
      <c r="D979" s="29" t="s">
        <v>5818</v>
      </c>
      <c r="E979" s="30" t="s">
        <v>5819</v>
      </c>
      <c r="F979" s="29" t="s">
        <v>5820</v>
      </c>
      <c r="G979" s="32" t="s">
        <v>1306</v>
      </c>
      <c r="H979" s="13" t="s">
        <v>213</v>
      </c>
      <c r="I979" s="23"/>
      <c r="J979" s="35" t="s">
        <v>5821</v>
      </c>
      <c r="K979" s="27" t="s">
        <v>50</v>
      </c>
      <c r="L979" s="13" t="s">
        <v>5822</v>
      </c>
      <c r="M979" s="26" t="str">
        <f>VLOOKUP(E979,'MTS 2026 registrations'!B:B,1,false)</f>
        <v>#N/A</v>
      </c>
      <c r="N979" s="26" t="str">
        <f>VLOOKUP(B979,'MTS 2026 registrations'!A:A,1,false)</f>
        <v>#N/A</v>
      </c>
      <c r="O979" s="38" t="str">
        <f t="shared" si="2"/>
        <v>Marked</v>
      </c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34"/>
      <c r="AE979" s="34"/>
    </row>
    <row r="980" ht="12.75" customHeight="1">
      <c r="A980" s="19" t="str">
        <f t="shared" si="3"/>
        <v>Jeroen Rotteveel Innovative Solutions in Space B.V.</v>
      </c>
      <c r="B980" s="19" t="s">
        <v>5823</v>
      </c>
      <c r="C980" s="29" t="s">
        <v>731</v>
      </c>
      <c r="D980" s="29" t="s">
        <v>5824</v>
      </c>
      <c r="E980" s="31" t="s">
        <v>5825</v>
      </c>
      <c r="F980" s="33" t="s">
        <v>4394</v>
      </c>
      <c r="G980" s="24" t="s">
        <v>5826</v>
      </c>
      <c r="H980" s="50" t="s">
        <v>47</v>
      </c>
      <c r="I980" s="34"/>
      <c r="J980" s="35" t="s">
        <v>5827</v>
      </c>
      <c r="K980" s="27" t="s">
        <v>50</v>
      </c>
      <c r="L980" s="13" t="s">
        <v>5828</v>
      </c>
      <c r="M980" s="26" t="str">
        <f>VLOOKUP(E980,'MTS 2026 registrations'!B:B,1,false)</f>
        <v>#N/A</v>
      </c>
      <c r="N980" s="26" t="str">
        <f>VLOOKUP(B980,'MTS 2026 registrations'!A:A,1,false)</f>
        <v>#N/A</v>
      </c>
      <c r="O980" s="38" t="str">
        <f t="shared" si="2"/>
        <v>Marked</v>
      </c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ht="12.75" customHeight="1">
      <c r="A981" s="19" t="str">
        <f t="shared" si="3"/>
        <v>Jeroen Wilschut YSVOGEL</v>
      </c>
      <c r="B981" s="19" t="s">
        <v>5829</v>
      </c>
      <c r="C981" s="29" t="s">
        <v>731</v>
      </c>
      <c r="D981" s="29" t="s">
        <v>5830</v>
      </c>
      <c r="E981" s="31" t="s">
        <v>5831</v>
      </c>
      <c r="F981" s="113" t="s">
        <v>1065</v>
      </c>
      <c r="G981" s="32" t="s">
        <v>46</v>
      </c>
      <c r="H981" s="25" t="s">
        <v>47</v>
      </c>
      <c r="I981" s="34"/>
      <c r="J981" s="35" t="s">
        <v>5832</v>
      </c>
      <c r="K981" s="27" t="s">
        <v>50</v>
      </c>
      <c r="L981" s="13" t="s">
        <v>5833</v>
      </c>
      <c r="M981" s="26" t="str">
        <f>VLOOKUP(E981,'MTS 2026 registrations'!B:B,1,false)</f>
        <v>#N/A</v>
      </c>
      <c r="N981" s="26" t="str">
        <f>VLOOKUP(B981,'MTS 2026 registrations'!A:A,1,false)</f>
        <v>#N/A</v>
      </c>
      <c r="O981" s="38" t="str">
        <f t="shared" si="2"/>
        <v>Marked</v>
      </c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34"/>
      <c r="AE981" s="34"/>
    </row>
    <row r="982" ht="12.75" customHeight="1">
      <c r="A982" s="19" t="str">
        <f t="shared" si="3"/>
        <v>Jeroen Voorham Novuqare Pelvic Health (Maxam Medical)</v>
      </c>
      <c r="B982" s="19" t="s">
        <v>5834</v>
      </c>
      <c r="C982" s="29" t="s">
        <v>731</v>
      </c>
      <c r="D982" s="29" t="s">
        <v>5835</v>
      </c>
      <c r="E982" s="31" t="s">
        <v>5836</v>
      </c>
      <c r="F982" s="33" t="s">
        <v>4776</v>
      </c>
      <c r="G982" s="156" t="s">
        <v>46</v>
      </c>
      <c r="H982" s="50" t="s">
        <v>47</v>
      </c>
      <c r="I982" s="34"/>
      <c r="J982" s="35" t="s">
        <v>5837</v>
      </c>
      <c r="K982" s="27" t="s">
        <v>50</v>
      </c>
      <c r="L982" s="27" t="s">
        <v>5838</v>
      </c>
      <c r="M982" s="26" t="str">
        <f>VLOOKUP(E982,'MTS 2026 registrations'!B:B,1,false)</f>
        <v>#N/A</v>
      </c>
      <c r="N982" s="26" t="str">
        <f>VLOOKUP(B982,'MTS 2026 registrations'!A:A,1,false)</f>
        <v>#N/A</v>
      </c>
      <c r="O982" s="38" t="str">
        <f t="shared" si="2"/>
        <v>Marked</v>
      </c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23"/>
      <c r="AE982" s="23"/>
    </row>
    <row r="983" ht="12.75" customHeight="1">
      <c r="A983" s="19" t="str">
        <f t="shared" si="3"/>
        <v>Jeroen Dobbe Binkies3D (Canibal game studios)</v>
      </c>
      <c r="B983" s="19" t="s">
        <v>5839</v>
      </c>
      <c r="C983" s="29" t="s">
        <v>731</v>
      </c>
      <c r="D983" s="29" t="s">
        <v>5840</v>
      </c>
      <c r="E983" s="31" t="s">
        <v>5841</v>
      </c>
      <c r="F983" s="33" t="s">
        <v>5842</v>
      </c>
      <c r="G983" s="32" t="s">
        <v>46</v>
      </c>
      <c r="H983" s="25" t="s">
        <v>47</v>
      </c>
      <c r="I983" s="34"/>
      <c r="J983" s="35" t="s">
        <v>5843</v>
      </c>
      <c r="K983" s="27" t="s">
        <v>50</v>
      </c>
      <c r="L983" s="13" t="s">
        <v>5844</v>
      </c>
      <c r="M983" s="26" t="str">
        <f>VLOOKUP(E983,'MTS 2026 registrations'!B:B,1,false)</f>
        <v>#N/A</v>
      </c>
      <c r="N983" s="26" t="str">
        <f>VLOOKUP(B983,'MTS 2026 registrations'!A:A,1,false)</f>
        <v>#N/A</v>
      </c>
      <c r="O983" s="38" t="str">
        <f t="shared" si="2"/>
        <v>Marked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</row>
    <row r="984" ht="12.75" customHeight="1">
      <c r="A984" s="19" t="str">
        <f t="shared" si="3"/>
        <v>Jeroen Wink dawnaerospace</v>
      </c>
      <c r="B984" s="19" t="s">
        <v>5845</v>
      </c>
      <c r="C984" s="20" t="s">
        <v>731</v>
      </c>
      <c r="D984" s="20" t="s">
        <v>5846</v>
      </c>
      <c r="E984" s="21" t="s">
        <v>5847</v>
      </c>
      <c r="F984" s="23" t="s">
        <v>5848</v>
      </c>
      <c r="G984" s="32" t="s">
        <v>46</v>
      </c>
      <c r="H984" s="25" t="s">
        <v>47</v>
      </c>
      <c r="I984" s="23"/>
      <c r="J984" s="35" t="s">
        <v>5849</v>
      </c>
      <c r="K984" s="27" t="s">
        <v>50</v>
      </c>
      <c r="L984" s="13" t="s">
        <v>5850</v>
      </c>
      <c r="M984" s="26" t="str">
        <f>VLOOKUP(E984,'MTS 2026 registrations'!B:B,1,false)</f>
        <v>#N/A</v>
      </c>
      <c r="N984" s="26" t="str">
        <f>VLOOKUP(B984,'MTS 2026 registrations'!A:A,1,false)</f>
        <v>#N/A</v>
      </c>
      <c r="O984" s="38" t="str">
        <f t="shared" si="2"/>
        <v>Marked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34"/>
      <c r="AE984" s="34"/>
    </row>
    <row r="985" ht="12.75" customHeight="1">
      <c r="A985" s="19" t="str">
        <f t="shared" si="3"/>
        <v>Jeroen Van Oorschot Loqed</v>
      </c>
      <c r="B985" s="19" t="s">
        <v>5851</v>
      </c>
      <c r="C985" s="29" t="s">
        <v>731</v>
      </c>
      <c r="D985" s="29" t="s">
        <v>5852</v>
      </c>
      <c r="E985" s="31" t="s">
        <v>5853</v>
      </c>
      <c r="F985" s="33" t="s">
        <v>5854</v>
      </c>
      <c r="G985" s="24" t="s">
        <v>46</v>
      </c>
      <c r="H985" s="25" t="s">
        <v>47</v>
      </c>
      <c r="I985" s="34"/>
      <c r="J985" s="35" t="s">
        <v>5855</v>
      </c>
      <c r="K985" s="27" t="s">
        <v>50</v>
      </c>
      <c r="L985" s="13" t="s">
        <v>5856</v>
      </c>
      <c r="M985" s="26" t="str">
        <f>VLOOKUP(E985,'MTS 2026 registrations'!B:B,1,false)</f>
        <v>#N/A</v>
      </c>
      <c r="N985" s="26" t="str">
        <f>VLOOKUP(B985,'MTS 2026 registrations'!A:A,1,false)</f>
        <v>#N/A</v>
      </c>
      <c r="O985" s="38" t="str">
        <f t="shared" si="2"/>
        <v>Marked</v>
      </c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</row>
    <row r="986" ht="12.75" customHeight="1">
      <c r="A986" s="19" t="str">
        <f t="shared" si="3"/>
        <v>Jeroen Thijs secondstage.ventures</v>
      </c>
      <c r="B986" s="19" t="s">
        <v>5857</v>
      </c>
      <c r="C986" s="20" t="s">
        <v>731</v>
      </c>
      <c r="D986" s="20" t="s">
        <v>1086</v>
      </c>
      <c r="E986" s="21" t="s">
        <v>5858</v>
      </c>
      <c r="F986" s="23" t="s">
        <v>5859</v>
      </c>
      <c r="G986" s="24" t="s">
        <v>163</v>
      </c>
      <c r="H986" s="25" t="s">
        <v>164</v>
      </c>
      <c r="I986" s="23"/>
      <c r="J986" s="35" t="s">
        <v>5860</v>
      </c>
      <c r="K986" s="27" t="s">
        <v>50</v>
      </c>
      <c r="L986" s="13" t="s">
        <v>5861</v>
      </c>
      <c r="M986" s="26" t="str">
        <f>VLOOKUP(E986,'MTS 2026 registrations'!B:B,1,false)</f>
        <v>#N/A</v>
      </c>
      <c r="N986" s="26" t="str">
        <f>VLOOKUP(B986,'MTS 2026 registrations'!A:A,1,false)</f>
        <v>#N/A</v>
      </c>
      <c r="O986" s="38" t="str">
        <f t="shared" si="2"/>
        <v>Marked</v>
      </c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34"/>
      <c r="AE986" s="34"/>
    </row>
    <row r="987" ht="12.75" customHeight="1">
      <c r="A987" s="19" t="str">
        <f t="shared" si="3"/>
        <v>Jeroen Netten uneti-labs</v>
      </c>
      <c r="B987" s="19" t="s">
        <v>5862</v>
      </c>
      <c r="C987" s="20" t="s">
        <v>731</v>
      </c>
      <c r="D987" s="20" t="s">
        <v>5863</v>
      </c>
      <c r="E987" s="21" t="s">
        <v>5864</v>
      </c>
      <c r="F987" s="23" t="s">
        <v>5865</v>
      </c>
      <c r="G987" s="24" t="s">
        <v>163</v>
      </c>
      <c r="H987" s="25" t="s">
        <v>164</v>
      </c>
      <c r="I987" s="25" t="s">
        <v>188</v>
      </c>
      <c r="J987" s="35" t="s">
        <v>5866</v>
      </c>
      <c r="K987" s="27" t="s">
        <v>50</v>
      </c>
      <c r="L987" s="13" t="s">
        <v>5867</v>
      </c>
      <c r="M987" s="26" t="str">
        <f>VLOOKUP(E987,'MTS 2026 registrations'!B:B,1,false)</f>
        <v>#N/A</v>
      </c>
      <c r="N987" s="26" t="str">
        <f>VLOOKUP(B987,'MTS 2026 registrations'!A:A,1,false)</f>
        <v>#N/A</v>
      </c>
      <c r="O987" s="38" t="str">
        <f t="shared" si="2"/>
        <v>Marked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34"/>
      <c r="AE987" s="34"/>
    </row>
    <row r="988" ht="12.75" customHeight="1">
      <c r="A988" s="19" t="str">
        <f t="shared" si="3"/>
        <v>Jeroen Janssen vertepac</v>
      </c>
      <c r="B988" s="19" t="s">
        <v>5868</v>
      </c>
      <c r="C988" s="20" t="s">
        <v>731</v>
      </c>
      <c r="D988" s="20" t="s">
        <v>2285</v>
      </c>
      <c r="E988" s="21" t="s">
        <v>5869</v>
      </c>
      <c r="F988" s="23" t="s">
        <v>5321</v>
      </c>
      <c r="G988" s="32" t="s">
        <v>46</v>
      </c>
      <c r="H988" s="25" t="s">
        <v>47</v>
      </c>
      <c r="I988" s="26"/>
      <c r="J988" s="35" t="s">
        <v>5870</v>
      </c>
      <c r="K988" s="27" t="s">
        <v>50</v>
      </c>
      <c r="L988" s="13" t="s">
        <v>5871</v>
      </c>
      <c r="M988" s="26" t="str">
        <f>VLOOKUP(E988,'MTS 2026 registrations'!B:B,1,false)</f>
        <v>#N/A</v>
      </c>
      <c r="N988" s="26" t="str">
        <f>VLOOKUP(B988,'MTS 2026 registrations'!A:A,1,false)</f>
        <v>#N/A</v>
      </c>
      <c r="O988" s="38" t="str">
        <f t="shared" si="2"/>
        <v>Marked</v>
      </c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34"/>
      <c r="AE988" s="34"/>
    </row>
    <row r="989" ht="12.75" customHeight="1">
      <c r="A989" s="19" t="str">
        <f t="shared" si="3"/>
        <v>Jesper vangelder</v>
      </c>
      <c r="B989" s="19" t="s">
        <v>5872</v>
      </c>
      <c r="C989" s="72" t="s">
        <v>5872</v>
      </c>
      <c r="D989" s="145"/>
      <c r="E989" s="30" t="s">
        <v>5873</v>
      </c>
      <c r="F989" s="29" t="s">
        <v>5874</v>
      </c>
      <c r="G989" s="32" t="s">
        <v>56</v>
      </c>
      <c r="H989" s="13" t="s">
        <v>45</v>
      </c>
      <c r="I989" s="34"/>
      <c r="J989" s="35" t="s">
        <v>5875</v>
      </c>
      <c r="K989" s="27" t="s">
        <v>50</v>
      </c>
      <c r="L989" s="13" t="s">
        <v>5876</v>
      </c>
      <c r="M989" s="26" t="str">
        <f>VLOOKUP(E989,'MTS 2026 registrations'!B:B,1,false)</f>
        <v>#N/A</v>
      </c>
      <c r="N989" s="26" t="str">
        <f>VLOOKUP(B989,'MTS 2026 registrations'!A:A,1,false)</f>
        <v>#N/A</v>
      </c>
      <c r="O989" s="38" t="str">
        <f t="shared" si="2"/>
        <v>Marked</v>
      </c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</row>
    <row r="990" ht="12.75" customHeight="1">
      <c r="A990" s="19"/>
      <c r="B990" s="19" t="s">
        <v>5877</v>
      </c>
      <c r="C990" s="72" t="s">
        <v>5872</v>
      </c>
      <c r="D990" s="72" t="s">
        <v>5878</v>
      </c>
      <c r="E990" s="30" t="s">
        <v>5873</v>
      </c>
      <c r="F990" s="72" t="s">
        <v>5879</v>
      </c>
      <c r="G990" s="32" t="s">
        <v>69</v>
      </c>
      <c r="H990" s="25" t="s">
        <v>47</v>
      </c>
      <c r="I990" s="34"/>
      <c r="J990" s="133" t="s">
        <v>5880</v>
      </c>
      <c r="K990" s="27" t="s">
        <v>50</v>
      </c>
      <c r="L990" s="13" t="s">
        <v>5876</v>
      </c>
      <c r="M990" s="26"/>
      <c r="N990" s="26"/>
      <c r="O990" s="38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ht="12.75" customHeight="1">
      <c r="A991" s="19" t="str">
        <f t="shared" ref="A991:A1353" si="4">B991&amp;" "&amp;F991</f>
        <v>Jesse Van Bemmelen VONK Ventures</v>
      </c>
      <c r="B991" s="19" t="s">
        <v>5881</v>
      </c>
      <c r="C991" s="20" t="s">
        <v>5882</v>
      </c>
      <c r="D991" s="20" t="s">
        <v>5883</v>
      </c>
      <c r="E991" s="21" t="s">
        <v>5884</v>
      </c>
      <c r="F991" s="49" t="s">
        <v>5885</v>
      </c>
      <c r="G991" s="24" t="s">
        <v>163</v>
      </c>
      <c r="H991" s="26" t="s">
        <v>164</v>
      </c>
      <c r="I991" s="13"/>
      <c r="J991" s="35" t="s">
        <v>5886</v>
      </c>
      <c r="K991" s="27" t="s">
        <v>50</v>
      </c>
      <c r="L991" s="25" t="s">
        <v>5887</v>
      </c>
      <c r="M991" s="26" t="str">
        <f>VLOOKUP(E991,'MTS 2026 registrations'!B:B,1,false)</f>
        <v>#N/A</v>
      </c>
      <c r="N991" s="26" t="str">
        <f>VLOOKUP(B991,'MTS 2026 registrations'!A:A,1,false)</f>
        <v>#N/A</v>
      </c>
      <c r="O991" s="38" t="str">
        <f t="shared" ref="O991:O1153" si="5">IF(AND(ISNA(M991), ISNA(N991)), "Marked", "")</f>
        <v>Marked</v>
      </c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</row>
    <row r="992" ht="12.75" customHeight="1">
      <c r="A992" s="19" t="str">
        <f t="shared" si="4"/>
        <v>Jesse Echeverry DC Opportunities R&amp;D</v>
      </c>
      <c r="B992" s="19" t="s">
        <v>5888</v>
      </c>
      <c r="C992" s="29" t="s">
        <v>5882</v>
      </c>
      <c r="D992" s="29" t="s">
        <v>5889</v>
      </c>
      <c r="E992" s="31" t="s">
        <v>5890</v>
      </c>
      <c r="F992" s="33" t="s">
        <v>5891</v>
      </c>
      <c r="G992" s="24" t="s">
        <v>46</v>
      </c>
      <c r="H992" s="25" t="s">
        <v>47</v>
      </c>
      <c r="I992" s="34"/>
      <c r="J992" s="35" t="s">
        <v>5892</v>
      </c>
      <c r="K992" s="27" t="s">
        <v>50</v>
      </c>
      <c r="L992" s="13" t="s">
        <v>5893</v>
      </c>
      <c r="M992" s="26" t="str">
        <f>VLOOKUP(E992,'MTS 2026 registrations'!B:B,1,false)</f>
        <v>#N/A</v>
      </c>
      <c r="N992" s="26" t="str">
        <f>VLOOKUP(B992,'MTS 2026 registrations'!A:A,1,false)</f>
        <v>#N/A</v>
      </c>
      <c r="O992" s="38" t="str">
        <f t="shared" si="5"/>
        <v>Marked</v>
      </c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ht="12.75" customHeight="1">
      <c r="A993" s="19" t="str">
        <f t="shared" si="4"/>
        <v>Jesse Eisses effect.ai vb</v>
      </c>
      <c r="B993" s="19" t="s">
        <v>5894</v>
      </c>
      <c r="C993" s="29" t="s">
        <v>5882</v>
      </c>
      <c r="D993" s="29" t="s">
        <v>5895</v>
      </c>
      <c r="E993" s="31" t="s">
        <v>5896</v>
      </c>
      <c r="F993" s="33" t="s">
        <v>5897</v>
      </c>
      <c r="G993" s="24" t="s">
        <v>46</v>
      </c>
      <c r="H993" s="25" t="s">
        <v>47</v>
      </c>
      <c r="I993" s="34"/>
      <c r="J993" s="35" t="s">
        <v>5898</v>
      </c>
      <c r="K993" s="27" t="s">
        <v>50</v>
      </c>
      <c r="L993" s="13" t="s">
        <v>5899</v>
      </c>
      <c r="M993" s="26" t="str">
        <f>VLOOKUP(E993,'MTS 2026 registrations'!B:B,1,false)</f>
        <v>#N/A</v>
      </c>
      <c r="N993" s="26" t="str">
        <f>VLOOKUP(B993,'MTS 2026 registrations'!A:A,1,false)</f>
        <v>#N/A</v>
      </c>
      <c r="O993" s="38" t="str">
        <f t="shared" si="5"/>
        <v>Marked</v>
      </c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</row>
    <row r="994" ht="12.75" customHeight="1">
      <c r="A994" s="19" t="str">
        <f t="shared" si="4"/>
        <v>Jesse van der Linden fluxthor</v>
      </c>
      <c r="B994" s="19" t="s">
        <v>5900</v>
      </c>
      <c r="C994" s="20" t="s">
        <v>5882</v>
      </c>
      <c r="D994" s="20" t="s">
        <v>5901</v>
      </c>
      <c r="E994" s="21" t="s">
        <v>5902</v>
      </c>
      <c r="F994" s="23" t="s">
        <v>5903</v>
      </c>
      <c r="G994" s="32" t="s">
        <v>46</v>
      </c>
      <c r="H994" s="25" t="s">
        <v>47</v>
      </c>
      <c r="I994" s="23"/>
      <c r="J994" s="35" t="s">
        <v>5904</v>
      </c>
      <c r="K994" s="27" t="s">
        <v>50</v>
      </c>
      <c r="L994" s="13" t="s">
        <v>5905</v>
      </c>
      <c r="M994" s="26" t="str">
        <f>VLOOKUP(E994,'MTS 2026 registrations'!B:B,1,false)</f>
        <v>#N/A</v>
      </c>
      <c r="N994" s="26" t="str">
        <f>VLOOKUP(B994,'MTS 2026 registrations'!A:A,1,false)</f>
        <v>#N/A</v>
      </c>
      <c r="O994" s="38" t="str">
        <f t="shared" si="5"/>
        <v>Marked</v>
      </c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34"/>
      <c r="AE994" s="34"/>
    </row>
    <row r="995" ht="12.75" customHeight="1">
      <c r="A995" s="19" t="str">
        <f t="shared" si="4"/>
        <v>Jessica Broeders pzh</v>
      </c>
      <c r="B995" s="19" t="s">
        <v>5906</v>
      </c>
      <c r="C995" s="72" t="s">
        <v>5907</v>
      </c>
      <c r="D995" s="72" t="s">
        <v>5908</v>
      </c>
      <c r="E995" s="30" t="s">
        <v>5909</v>
      </c>
      <c r="F995" s="29" t="s">
        <v>1532</v>
      </c>
      <c r="G995" s="32" t="s">
        <v>323</v>
      </c>
      <c r="H995" s="13" t="s">
        <v>45</v>
      </c>
      <c r="I995" s="34"/>
      <c r="J995" s="35" t="s">
        <v>5910</v>
      </c>
      <c r="K995" s="27" t="s">
        <v>50</v>
      </c>
      <c r="L995" s="13" t="s">
        <v>5911</v>
      </c>
      <c r="M995" s="26" t="str">
        <f>VLOOKUP(E995,'MTS 2026 registrations'!B:B,1,false)</f>
        <v>#N/A</v>
      </c>
      <c r="N995" s="26" t="str">
        <f>VLOOKUP(B995,'MTS 2026 registrations'!A:A,1,false)</f>
        <v>#N/A</v>
      </c>
      <c r="O995" s="38" t="str">
        <f t="shared" si="5"/>
        <v>Marked</v>
      </c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23"/>
      <c r="AE995" s="23"/>
    </row>
    <row r="996" ht="12.75" customHeight="1">
      <c r="A996" s="19" t="str">
        <f t="shared" si="4"/>
        <v>Jian Jiang parkbee</v>
      </c>
      <c r="B996" s="19" t="s">
        <v>5912</v>
      </c>
      <c r="C996" s="20" t="s">
        <v>5913</v>
      </c>
      <c r="D996" s="20" t="s">
        <v>5914</v>
      </c>
      <c r="E996" s="21" t="s">
        <v>5915</v>
      </c>
      <c r="F996" s="23" t="s">
        <v>5916</v>
      </c>
      <c r="G996" s="32" t="s">
        <v>46</v>
      </c>
      <c r="H996" s="25" t="s">
        <v>47</v>
      </c>
      <c r="I996" s="23"/>
      <c r="J996" s="35" t="s">
        <v>5917</v>
      </c>
      <c r="K996" s="27" t="s">
        <v>50</v>
      </c>
      <c r="L996" s="13" t="s">
        <v>5918</v>
      </c>
      <c r="M996" s="26" t="str">
        <f>VLOOKUP(E996,'MTS 2026 registrations'!B:B,1,false)</f>
        <v>#N/A</v>
      </c>
      <c r="N996" s="26" t="str">
        <f>VLOOKUP(B996,'MTS 2026 registrations'!A:A,1,false)</f>
        <v>#N/A</v>
      </c>
      <c r="O996" s="38" t="str">
        <f t="shared" si="5"/>
        <v>Marked</v>
      </c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34"/>
      <c r="AE996" s="34"/>
    </row>
    <row r="997" ht="12.75" customHeight="1">
      <c r="A997" s="19" t="str">
        <f t="shared" si="4"/>
        <v>Jip Dresia ece</v>
      </c>
      <c r="B997" s="19" t="s">
        <v>5919</v>
      </c>
      <c r="C997" s="29" t="s">
        <v>5920</v>
      </c>
      <c r="D997" s="72" t="s">
        <v>5921</v>
      </c>
      <c r="E997" s="30" t="s">
        <v>5922</v>
      </c>
      <c r="F997" s="29" t="s">
        <v>1437</v>
      </c>
      <c r="G997" s="24" t="s">
        <v>29</v>
      </c>
      <c r="H997" s="13" t="s">
        <v>45</v>
      </c>
      <c r="I997" s="34"/>
      <c r="J997" s="35" t="s">
        <v>5923</v>
      </c>
      <c r="K997" s="27" t="s">
        <v>50</v>
      </c>
      <c r="L997" s="13" t="s">
        <v>5924</v>
      </c>
      <c r="M997" s="26" t="str">
        <f>VLOOKUP(E997,'MTS 2026 registrations'!B:B,1,false)</f>
        <v>#N/A</v>
      </c>
      <c r="N997" s="26" t="str">
        <f>VLOOKUP(B997,'MTS 2026 registrations'!A:A,1,false)</f>
        <v>#N/A</v>
      </c>
      <c r="O997" s="38" t="str">
        <f t="shared" si="5"/>
        <v>Marked</v>
      </c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170"/>
      <c r="AE997" s="170"/>
    </row>
    <row r="998" ht="12.75" customHeight="1">
      <c r="A998" s="19" t="str">
        <f t="shared" si="4"/>
        <v>Jip Leendertse tudelft</v>
      </c>
      <c r="B998" s="19" t="s">
        <v>5925</v>
      </c>
      <c r="C998" s="29" t="s">
        <v>5920</v>
      </c>
      <c r="D998" s="29" t="s">
        <v>5926</v>
      </c>
      <c r="E998" s="30" t="s">
        <v>5927</v>
      </c>
      <c r="F998" s="29" t="s">
        <v>184</v>
      </c>
      <c r="G998" s="32" t="s">
        <v>43</v>
      </c>
      <c r="H998" s="13" t="s">
        <v>213</v>
      </c>
      <c r="I998" s="34"/>
      <c r="J998" s="35" t="s">
        <v>5928</v>
      </c>
      <c r="K998" s="27" t="s">
        <v>50</v>
      </c>
      <c r="L998" s="13" t="s">
        <v>5929</v>
      </c>
      <c r="M998" s="26" t="str">
        <f>VLOOKUP(E998,'MTS 2026 registrations'!B:B,1,false)</f>
        <v>j.leendertse@tudelft.nl</v>
      </c>
      <c r="N998" s="26" t="str">
        <f>VLOOKUP(B998,'MTS 2026 registrations'!A:A,1,false)</f>
        <v>Jip Leendertse</v>
      </c>
      <c r="O998" s="38" t="str">
        <f t="shared" si="5"/>
        <v/>
      </c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34"/>
      <c r="AE998" s="34"/>
    </row>
    <row r="999" ht="12.75" customHeight="1">
      <c r="A999" s="19" t="str">
        <f t="shared" si="4"/>
        <v>JM Nunnely raadrotterdam</v>
      </c>
      <c r="B999" s="19" t="s">
        <v>5930</v>
      </c>
      <c r="C999" s="134" t="s">
        <v>5931</v>
      </c>
      <c r="D999" s="60" t="s">
        <v>5932</v>
      </c>
      <c r="E999" s="62" t="s">
        <v>5933</v>
      </c>
      <c r="F999" s="64" t="s">
        <v>4260</v>
      </c>
      <c r="G999" s="42" t="s">
        <v>323</v>
      </c>
      <c r="H999" s="25" t="s">
        <v>139</v>
      </c>
      <c r="I999" s="23"/>
      <c r="J999" s="35" t="s">
        <v>5934</v>
      </c>
      <c r="K999" s="27" t="s">
        <v>50</v>
      </c>
      <c r="L999" s="13" t="s">
        <v>5935</v>
      </c>
      <c r="M999" s="26" t="str">
        <f>VLOOKUP(E999,'MTS 2026 registrations'!B:B,1,false)</f>
        <v>#N/A</v>
      </c>
      <c r="N999" s="26" t="str">
        <f>VLOOKUP(B999,'MTS 2026 registrations'!A:A,1,false)</f>
        <v>#N/A</v>
      </c>
      <c r="O999" s="38" t="str">
        <f t="shared" si="5"/>
        <v>Marked</v>
      </c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34"/>
      <c r="AE999" s="34"/>
    </row>
    <row r="1000" ht="12.75" customHeight="1">
      <c r="A1000" s="19" t="str">
        <f t="shared" si="4"/>
        <v>Job Withaar AerogridUAV</v>
      </c>
      <c r="B1000" s="19" t="s">
        <v>5936</v>
      </c>
      <c r="C1000" s="13" t="s">
        <v>5937</v>
      </c>
      <c r="D1000" s="13" t="s">
        <v>5938</v>
      </c>
      <c r="E1000" s="60" t="s">
        <v>5939</v>
      </c>
      <c r="F1000" s="60" t="s">
        <v>3178</v>
      </c>
      <c r="G1000" s="32" t="s">
        <v>46</v>
      </c>
      <c r="H1000" s="25" t="s">
        <v>47</v>
      </c>
      <c r="I1000" s="34"/>
      <c r="J1000" s="35" t="s">
        <v>5940</v>
      </c>
      <c r="K1000" s="27" t="s">
        <v>50</v>
      </c>
      <c r="L1000" s="13" t="s">
        <v>5941</v>
      </c>
      <c r="M1000" s="26" t="str">
        <f>VLOOKUP(E1000,'MTS 2026 registrations'!B:B,1,false)</f>
        <v>#N/A</v>
      </c>
      <c r="N1000" s="26" t="str">
        <f>VLOOKUP(B1000,'MTS 2026 registrations'!A:A,1,false)</f>
        <v>#N/A</v>
      </c>
      <c r="O1000" s="38" t="str">
        <f t="shared" si="5"/>
        <v>Marked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  <row r="1001" ht="12.75" customHeight="1">
      <c r="A1001" s="19" t="str">
        <f t="shared" si="4"/>
        <v>Job Veltman seastate5</v>
      </c>
      <c r="B1001" s="19" t="s">
        <v>5942</v>
      </c>
      <c r="C1001" s="20" t="s">
        <v>5937</v>
      </c>
      <c r="D1001" s="20" t="s">
        <v>5943</v>
      </c>
      <c r="E1001" s="21" t="s">
        <v>5944</v>
      </c>
      <c r="F1001" s="23" t="s">
        <v>5945</v>
      </c>
      <c r="G1001" s="32" t="s">
        <v>46</v>
      </c>
      <c r="H1001" s="25" t="s">
        <v>47</v>
      </c>
      <c r="I1001" s="23"/>
      <c r="J1001" s="35" t="s">
        <v>5946</v>
      </c>
      <c r="K1001" s="27" t="s">
        <v>50</v>
      </c>
      <c r="L1001" s="13" t="s">
        <v>5947</v>
      </c>
      <c r="M1001" s="26" t="str">
        <f>VLOOKUP(E1001,'MTS 2026 registrations'!B:B,1,false)</f>
        <v>#N/A</v>
      </c>
      <c r="N1001" s="26" t="str">
        <f>VLOOKUP(B1001,'MTS 2026 registrations'!A:A,1,false)</f>
        <v>#N/A</v>
      </c>
      <c r="O1001" s="38" t="str">
        <f t="shared" si="5"/>
        <v>Marked</v>
      </c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34"/>
      <c r="AE1001" s="34"/>
    </row>
    <row r="1002" ht="12.75" customHeight="1">
      <c r="A1002" s="19" t="str">
        <f t="shared" si="4"/>
        <v>Job Engel somnox</v>
      </c>
      <c r="B1002" s="19" t="s">
        <v>5948</v>
      </c>
      <c r="C1002" s="20" t="s">
        <v>5937</v>
      </c>
      <c r="D1002" s="20" t="s">
        <v>5949</v>
      </c>
      <c r="E1002" s="21" t="s">
        <v>5950</v>
      </c>
      <c r="F1002" s="23" t="s">
        <v>5951</v>
      </c>
      <c r="G1002" s="32" t="s">
        <v>46</v>
      </c>
      <c r="H1002" s="25" t="s">
        <v>47</v>
      </c>
      <c r="I1002" s="23"/>
      <c r="J1002" s="35" t="s">
        <v>5952</v>
      </c>
      <c r="K1002" s="27" t="s">
        <v>50</v>
      </c>
      <c r="L1002" s="13" t="s">
        <v>5953</v>
      </c>
      <c r="M1002" s="26" t="str">
        <f>VLOOKUP(E1002,'MTS 2026 registrations'!B:B,1,false)</f>
        <v>#N/A</v>
      </c>
      <c r="N1002" s="26" t="str">
        <f>VLOOKUP(B1002,'MTS 2026 registrations'!A:A,1,false)</f>
        <v>#N/A</v>
      </c>
      <c r="O1002" s="38" t="str">
        <f t="shared" si="5"/>
        <v>Marked</v>
      </c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34"/>
      <c r="AE1002" s="34"/>
    </row>
    <row r="1003" ht="12.75" customHeight="1">
      <c r="A1003" s="19" t="str">
        <f t="shared" si="4"/>
        <v>Job Nijs </v>
      </c>
      <c r="B1003" s="19" t="s">
        <v>5954</v>
      </c>
      <c r="C1003" s="60" t="s">
        <v>5937</v>
      </c>
      <c r="D1003" s="60" t="s">
        <v>5955</v>
      </c>
      <c r="E1003" s="128" t="s">
        <v>5956</v>
      </c>
      <c r="F1003" s="64"/>
      <c r="G1003" s="42" t="s">
        <v>163</v>
      </c>
      <c r="H1003" s="25" t="s">
        <v>139</v>
      </c>
      <c r="I1003" s="13" t="s">
        <v>2406</v>
      </c>
      <c r="J1003" s="35" t="s">
        <v>5957</v>
      </c>
      <c r="K1003" s="27" t="s">
        <v>50</v>
      </c>
      <c r="L1003" s="13" t="s">
        <v>5958</v>
      </c>
      <c r="M1003" s="26" t="str">
        <f>VLOOKUP(E1003,'MTS 2026 registrations'!B:B,1,false)</f>
        <v>jobnijs@gmail.com</v>
      </c>
      <c r="N1003" s="26" t="str">
        <f>VLOOKUP(B1003,'MTS 2026 registrations'!A:A,1,false)</f>
        <v>Job Nijs</v>
      </c>
      <c r="O1003" s="38" t="str">
        <f t="shared" si="5"/>
        <v/>
      </c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34"/>
      <c r="AE1003" s="34"/>
    </row>
    <row r="1004" ht="12.75" customHeight="1">
      <c r="A1004" s="19" t="str">
        <f t="shared" si="4"/>
        <v>Job Timmermans Mills, Clay and Carpenter</v>
      </c>
      <c r="B1004" s="19" t="s">
        <v>5959</v>
      </c>
      <c r="C1004" s="29" t="s">
        <v>5937</v>
      </c>
      <c r="D1004" s="29" t="s">
        <v>5960</v>
      </c>
      <c r="E1004" s="31" t="s">
        <v>5961</v>
      </c>
      <c r="F1004" s="33" t="s">
        <v>655</v>
      </c>
      <c r="G1004" s="24" t="s">
        <v>46</v>
      </c>
      <c r="H1004" s="25" t="s">
        <v>47</v>
      </c>
      <c r="I1004" s="34"/>
      <c r="J1004" s="35" t="s">
        <v>5962</v>
      </c>
      <c r="K1004" s="27" t="s">
        <v>50</v>
      </c>
      <c r="L1004" s="13" t="s">
        <v>5963</v>
      </c>
      <c r="M1004" s="26" t="str">
        <f>VLOOKUP(E1004,'MTS 2026 registrations'!B:B,1,false)</f>
        <v>#N/A</v>
      </c>
      <c r="N1004" s="26" t="str">
        <f>VLOOKUP(B1004,'MTS 2026 registrations'!A:A,1,false)</f>
        <v>#N/A</v>
      </c>
      <c r="O1004" s="38" t="str">
        <f t="shared" si="5"/>
        <v>Marked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23"/>
      <c r="AE1004" s="23"/>
    </row>
    <row r="1005" ht="12.75" customHeight="1">
      <c r="A1005" s="19" t="str">
        <f t="shared" si="4"/>
        <v>Job van de Kieft scoozy</v>
      </c>
      <c r="B1005" s="19" t="s">
        <v>5964</v>
      </c>
      <c r="C1005" s="20" t="s">
        <v>5937</v>
      </c>
      <c r="D1005" s="20" t="s">
        <v>5965</v>
      </c>
      <c r="E1005" s="21" t="s">
        <v>5966</v>
      </c>
      <c r="F1005" s="23" t="s">
        <v>5967</v>
      </c>
      <c r="G1005" s="32" t="s">
        <v>46</v>
      </c>
      <c r="H1005" s="25" t="s">
        <v>47</v>
      </c>
      <c r="I1005" s="23"/>
      <c r="J1005" s="35" t="s">
        <v>5968</v>
      </c>
      <c r="K1005" s="27" t="s">
        <v>50</v>
      </c>
      <c r="L1005" s="13" t="s">
        <v>5969</v>
      </c>
      <c r="M1005" s="26" t="str">
        <f>VLOOKUP(E1005,'MTS 2026 registrations'!B:B,1,false)</f>
        <v>#N/A</v>
      </c>
      <c r="N1005" s="26" t="str">
        <f>VLOOKUP(B1005,'MTS 2026 registrations'!A:A,1,false)</f>
        <v>#N/A</v>
      </c>
      <c r="O1005" s="38" t="str">
        <f t="shared" si="5"/>
        <v>Marked</v>
      </c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34"/>
      <c r="AE1005" s="34"/>
    </row>
    <row r="1006" ht="12.75" customHeight="1">
      <c r="A1006" s="19" t="str">
        <f t="shared" si="4"/>
        <v>Jochem Berends KE-works</v>
      </c>
      <c r="B1006" s="19" t="s">
        <v>5970</v>
      </c>
      <c r="C1006" s="29" t="s">
        <v>5971</v>
      </c>
      <c r="D1006" s="29" t="s">
        <v>5972</v>
      </c>
      <c r="E1006" s="31" t="s">
        <v>5973</v>
      </c>
      <c r="F1006" s="33" t="s">
        <v>1059</v>
      </c>
      <c r="G1006" s="32" t="s">
        <v>46</v>
      </c>
      <c r="H1006" s="25" t="s">
        <v>47</v>
      </c>
      <c r="I1006" s="34"/>
      <c r="J1006" s="35" t="s">
        <v>5974</v>
      </c>
      <c r="K1006" s="27" t="s">
        <v>50</v>
      </c>
      <c r="L1006" s="13" t="s">
        <v>5975</v>
      </c>
      <c r="M1006" s="26" t="str">
        <f>VLOOKUP(E1006,'MTS 2026 registrations'!B:B,1,false)</f>
        <v>#N/A</v>
      </c>
      <c r="N1006" s="26" t="str">
        <f>VLOOKUP(B1006,'MTS 2026 registrations'!A:A,1,false)</f>
        <v>#N/A</v>
      </c>
      <c r="O1006" s="38" t="str">
        <f t="shared" si="5"/>
        <v>Marked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</row>
    <row r="1007" ht="12.75" customHeight="1">
      <c r="A1007" s="19" t="str">
        <f t="shared" si="4"/>
        <v>Jochem Toolenaar civinc.co</v>
      </c>
      <c r="B1007" s="19" t="s">
        <v>5976</v>
      </c>
      <c r="C1007" s="20" t="s">
        <v>5971</v>
      </c>
      <c r="D1007" s="20" t="s">
        <v>5977</v>
      </c>
      <c r="E1007" s="21" t="s">
        <v>5978</v>
      </c>
      <c r="F1007" s="23" t="s">
        <v>1377</v>
      </c>
      <c r="G1007" s="32" t="s">
        <v>46</v>
      </c>
      <c r="H1007" s="25" t="s">
        <v>47</v>
      </c>
      <c r="I1007" s="26"/>
      <c r="J1007" s="35" t="s">
        <v>5979</v>
      </c>
      <c r="K1007" s="27" t="s">
        <v>50</v>
      </c>
      <c r="L1007" s="13" t="s">
        <v>5980</v>
      </c>
      <c r="M1007" s="26" t="str">
        <f>VLOOKUP(E1007,'MTS 2026 registrations'!B:B,1,false)</f>
        <v>#N/A</v>
      </c>
      <c r="N1007" s="26" t="str">
        <f>VLOOKUP(B1007,'MTS 2026 registrations'!A:A,1,false)</f>
        <v>#N/A</v>
      </c>
      <c r="O1007" s="38" t="str">
        <f t="shared" si="5"/>
        <v>Marked</v>
      </c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34"/>
      <c r="AE1007" s="34"/>
    </row>
    <row r="1008" ht="12.75" customHeight="1">
      <c r="A1008" s="19" t="str">
        <f t="shared" si="4"/>
        <v>Jochem Verboom mainblades</v>
      </c>
      <c r="B1008" s="19" t="s">
        <v>5981</v>
      </c>
      <c r="C1008" s="20" t="s">
        <v>5971</v>
      </c>
      <c r="D1008" s="20" t="s">
        <v>4605</v>
      </c>
      <c r="E1008" s="21" t="s">
        <v>5982</v>
      </c>
      <c r="F1008" s="23" t="s">
        <v>4208</v>
      </c>
      <c r="G1008" s="32" t="s">
        <v>46</v>
      </c>
      <c r="H1008" s="25" t="s">
        <v>47</v>
      </c>
      <c r="I1008" s="23"/>
      <c r="J1008" s="35" t="s">
        <v>5983</v>
      </c>
      <c r="K1008" s="27" t="s">
        <v>50</v>
      </c>
      <c r="L1008" s="13" t="s">
        <v>5984</v>
      </c>
      <c r="M1008" s="26" t="str">
        <f>VLOOKUP(E1008,'MTS 2026 registrations'!B:B,1,false)</f>
        <v>#N/A</v>
      </c>
      <c r="N1008" s="26" t="str">
        <f>VLOOKUP(B1008,'MTS 2026 registrations'!A:A,1,false)</f>
        <v>#N/A</v>
      </c>
      <c r="O1008" s="38" t="str">
        <f t="shared" si="5"/>
        <v>Marked</v>
      </c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34"/>
      <c r="AE1008" s="34"/>
    </row>
    <row r="1009" ht="12.75" customHeight="1">
      <c r="A1009" s="19" t="str">
        <f t="shared" si="4"/>
        <v>Joep van der Stoep arnold-siedsma</v>
      </c>
      <c r="B1009" s="19" t="s">
        <v>5985</v>
      </c>
      <c r="C1009" s="20" t="s">
        <v>746</v>
      </c>
      <c r="D1009" s="20" t="s">
        <v>5986</v>
      </c>
      <c r="E1009" s="21" t="s">
        <v>5987</v>
      </c>
      <c r="F1009" s="23" t="s">
        <v>627</v>
      </c>
      <c r="G1009" s="42" t="s">
        <v>69</v>
      </c>
      <c r="H1009" s="25" t="s">
        <v>47</v>
      </c>
      <c r="I1009" s="26"/>
      <c r="J1009" s="35" t="s">
        <v>5988</v>
      </c>
      <c r="K1009" s="27" t="s">
        <v>50</v>
      </c>
      <c r="L1009" s="13" t="s">
        <v>5989</v>
      </c>
      <c r="M1009" s="26" t="str">
        <f>VLOOKUP(E1009,'MTS 2026 registrations'!B:B,1,false)</f>
        <v>#N/A</v>
      </c>
      <c r="N1009" s="26" t="str">
        <f>VLOOKUP(B1009,'MTS 2026 registrations'!A:A,1,false)</f>
        <v>#N/A</v>
      </c>
      <c r="O1009" s="38" t="str">
        <f t="shared" si="5"/>
        <v>Marked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</row>
    <row r="1010" ht="12.75" customHeight="1">
      <c r="A1010" s="19" t="str">
        <f t="shared" si="4"/>
        <v>Johan Brandenburg TU Delft</v>
      </c>
      <c r="B1010" s="19" t="s">
        <v>5990</v>
      </c>
      <c r="C1010" s="156" t="s">
        <v>5991</v>
      </c>
      <c r="D1010" s="156" t="s">
        <v>5992</v>
      </c>
      <c r="E1010" s="50" t="s">
        <v>5993</v>
      </c>
      <c r="F1010" s="50" t="s">
        <v>2090</v>
      </c>
      <c r="G1010" s="24" t="s">
        <v>225</v>
      </c>
      <c r="H1010" s="25" t="s">
        <v>47</v>
      </c>
      <c r="I1010" s="34"/>
      <c r="J1010" s="35" t="s">
        <v>5994</v>
      </c>
      <c r="K1010" s="27" t="s">
        <v>50</v>
      </c>
      <c r="L1010" s="13" t="s">
        <v>5995</v>
      </c>
      <c r="M1010" s="26" t="str">
        <f>VLOOKUP(E1010,'MTS 2026 registrations'!B:B,1,false)</f>
        <v>#N/A</v>
      </c>
      <c r="N1010" s="26" t="str">
        <f>VLOOKUP(B1010,'MTS 2026 registrations'!A:A,1,false)</f>
        <v>Johan Brandenburg</v>
      </c>
      <c r="O1010" s="38" t="str">
        <f t="shared" si="5"/>
        <v/>
      </c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</row>
    <row r="1011" ht="12.75" customHeight="1">
      <c r="A1011" s="19" t="str">
        <f t="shared" si="4"/>
        <v>Johan Sebregts kikkcapital</v>
      </c>
      <c r="B1011" s="19" t="s">
        <v>5996</v>
      </c>
      <c r="C1011" s="20" t="s">
        <v>5991</v>
      </c>
      <c r="D1011" s="20" t="s">
        <v>5997</v>
      </c>
      <c r="E1011" s="21" t="s">
        <v>5998</v>
      </c>
      <c r="F1011" s="23" t="s">
        <v>2379</v>
      </c>
      <c r="G1011" s="24" t="s">
        <v>163</v>
      </c>
      <c r="H1011" s="25" t="s">
        <v>164</v>
      </c>
      <c r="I1011" s="23"/>
      <c r="J1011" s="35" t="s">
        <v>5999</v>
      </c>
      <c r="K1011" s="27" t="s">
        <v>50</v>
      </c>
      <c r="L1011" s="13" t="s">
        <v>6000</v>
      </c>
      <c r="M1011" s="26" t="str">
        <f>VLOOKUP(E1011,'MTS 2026 registrations'!B:B,1,false)</f>
        <v>#N/A</v>
      </c>
      <c r="N1011" s="26" t="str">
        <f>VLOOKUP(B1011,'MTS 2026 registrations'!A:A,1,false)</f>
        <v>#N/A</v>
      </c>
      <c r="O1011" s="38" t="str">
        <f t="shared" si="5"/>
        <v>Marked</v>
      </c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34"/>
      <c r="AE1011" s="34"/>
    </row>
    <row r="1012" ht="12.75" customHeight="1">
      <c r="A1012" s="19" t="str">
        <f t="shared" si="4"/>
        <v>Johan Mastenbroek Netsam participaties</v>
      </c>
      <c r="B1012" s="19" t="s">
        <v>6001</v>
      </c>
      <c r="C1012" s="161" t="s">
        <v>5991</v>
      </c>
      <c r="D1012" s="161" t="s">
        <v>6002</v>
      </c>
      <c r="E1012" s="128" t="s">
        <v>6003</v>
      </c>
      <c r="F1012" s="66" t="s">
        <v>3273</v>
      </c>
      <c r="G1012" s="42" t="s">
        <v>163</v>
      </c>
      <c r="H1012" s="25" t="s">
        <v>164</v>
      </c>
      <c r="I1012" s="34"/>
      <c r="J1012" s="35" t="s">
        <v>6004</v>
      </c>
      <c r="K1012" s="27" t="s">
        <v>50</v>
      </c>
      <c r="L1012" s="13" t="s">
        <v>6005</v>
      </c>
      <c r="M1012" s="26" t="str">
        <f>VLOOKUP(E1012,'MTS 2026 registrations'!B:B,1,false)</f>
        <v>#N/A</v>
      </c>
      <c r="N1012" s="26" t="str">
        <f>VLOOKUP(B1012,'MTS 2026 registrations'!A:A,1,false)</f>
        <v>#N/A</v>
      </c>
      <c r="O1012" s="38" t="str">
        <f t="shared" si="5"/>
        <v>Marked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</row>
    <row r="1013" ht="12.75" customHeight="1">
      <c r="A1013" s="19" t="str">
        <f t="shared" si="4"/>
        <v>Johan Stins invest-nl</v>
      </c>
      <c r="B1013" s="19" t="s">
        <v>6006</v>
      </c>
      <c r="C1013" s="20" t="s">
        <v>5991</v>
      </c>
      <c r="D1013" s="20" t="s">
        <v>6007</v>
      </c>
      <c r="E1013" s="21" t="s">
        <v>6008</v>
      </c>
      <c r="F1013" s="23" t="s">
        <v>1648</v>
      </c>
      <c r="G1013" s="24" t="s">
        <v>163</v>
      </c>
      <c r="H1013" s="25" t="s">
        <v>164</v>
      </c>
      <c r="I1013" s="34"/>
      <c r="J1013" s="35" t="s">
        <v>6009</v>
      </c>
      <c r="K1013" s="27" t="s">
        <v>50</v>
      </c>
      <c r="L1013" s="13" t="s">
        <v>6010</v>
      </c>
      <c r="M1013" s="26" t="str">
        <f>VLOOKUP(E1013,'MTS 2026 registrations'!B:B,1,false)</f>
        <v>#N/A</v>
      </c>
      <c r="N1013" s="26" t="str">
        <f>VLOOKUP(B1013,'MTS 2026 registrations'!A:A,1,false)</f>
        <v>#N/A</v>
      </c>
      <c r="O1013" s="38" t="str">
        <f t="shared" si="5"/>
        <v>Marked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</row>
    <row r="1014" ht="12.75" customHeight="1">
      <c r="A1014" s="19" t="str">
        <f t="shared" si="4"/>
        <v>Johan Pieters </v>
      </c>
      <c r="B1014" s="19" t="s">
        <v>6011</v>
      </c>
      <c r="C1014" s="20" t="s">
        <v>5991</v>
      </c>
      <c r="D1014" s="20" t="s">
        <v>6012</v>
      </c>
      <c r="E1014" s="21" t="s">
        <v>6013</v>
      </c>
      <c r="F1014" s="52"/>
      <c r="G1014" s="24" t="s">
        <v>225</v>
      </c>
      <c r="H1014" s="25" t="s">
        <v>47</v>
      </c>
      <c r="I1014" s="26"/>
      <c r="J1014" s="35" t="s">
        <v>6014</v>
      </c>
      <c r="K1014" s="27" t="s">
        <v>50</v>
      </c>
      <c r="L1014" s="13" t="s">
        <v>6015</v>
      </c>
      <c r="M1014" s="26" t="str">
        <f>VLOOKUP(E1014,'MTS 2026 registrations'!B:B,1,false)</f>
        <v>#N/A</v>
      </c>
      <c r="N1014" s="26" t="str">
        <f>VLOOKUP(B1014,'MTS 2026 registrations'!A:A,1,false)</f>
        <v>#N/A</v>
      </c>
      <c r="O1014" s="38" t="str">
        <f t="shared" si="5"/>
        <v>Marked</v>
      </c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</row>
    <row r="1015" ht="12.75" customHeight="1">
      <c r="A1015" s="19" t="str">
        <f t="shared" si="4"/>
        <v>Johannes Gartner tudelft</v>
      </c>
      <c r="B1015" s="19" t="s">
        <v>6016</v>
      </c>
      <c r="C1015" s="29" t="s">
        <v>757</v>
      </c>
      <c r="D1015" s="29" t="s">
        <v>6017</v>
      </c>
      <c r="E1015" s="30" t="s">
        <v>6018</v>
      </c>
      <c r="F1015" s="29" t="s">
        <v>184</v>
      </c>
      <c r="G1015" s="32" t="s">
        <v>43</v>
      </c>
      <c r="H1015" s="13" t="s">
        <v>213</v>
      </c>
      <c r="I1015" s="34"/>
      <c r="J1015" s="35" t="s">
        <v>6019</v>
      </c>
      <c r="K1015" s="27" t="s">
        <v>50</v>
      </c>
      <c r="L1015" s="13" t="s">
        <v>6020</v>
      </c>
      <c r="M1015" s="26" t="str">
        <f>VLOOKUP(E1015,'MTS 2026 registrations'!B:B,1,false)</f>
        <v>#N/A</v>
      </c>
      <c r="N1015" s="26" t="str">
        <f>VLOOKUP(B1015,'MTS 2026 registrations'!A:A,1,false)</f>
        <v>#N/A</v>
      </c>
      <c r="O1015" s="38" t="str">
        <f t="shared" si="5"/>
        <v>Marked</v>
      </c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34"/>
      <c r="AE1015" s="34"/>
    </row>
    <row r="1016" ht="12.75" customHeight="1">
      <c r="A1016" s="19" t="str">
        <f t="shared" si="4"/>
        <v>Johannes Peschel kitepower</v>
      </c>
      <c r="B1016" s="19" t="s">
        <v>6021</v>
      </c>
      <c r="C1016" s="20" t="s">
        <v>757</v>
      </c>
      <c r="D1016" s="20" t="s">
        <v>6022</v>
      </c>
      <c r="E1016" s="21" t="s">
        <v>6023</v>
      </c>
      <c r="F1016" s="23" t="s">
        <v>976</v>
      </c>
      <c r="G1016" s="32" t="s">
        <v>46</v>
      </c>
      <c r="H1016" s="25" t="s">
        <v>47</v>
      </c>
      <c r="I1016" s="23"/>
      <c r="J1016" s="35" t="s">
        <v>6024</v>
      </c>
      <c r="K1016" s="27" t="s">
        <v>50</v>
      </c>
      <c r="L1016" s="13" t="s">
        <v>6025</v>
      </c>
      <c r="M1016" s="26" t="str">
        <f>VLOOKUP(E1016,'MTS 2026 registrations'!B:B,1,false)</f>
        <v>#N/A</v>
      </c>
      <c r="N1016" s="26" t="str">
        <f>VLOOKUP(B1016,'MTS 2026 registrations'!A:A,1,false)</f>
        <v>#N/A</v>
      </c>
      <c r="O1016" s="38" t="str">
        <f t="shared" si="5"/>
        <v>Marked</v>
      </c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34"/>
      <c r="AE1016" s="34"/>
    </row>
    <row r="1017" ht="12.75" customHeight="1">
      <c r="A1017" s="19" t="str">
        <f t="shared" si="4"/>
        <v>Johannes Borburgh HYPERFLOW 4D</v>
      </c>
      <c r="B1017" s="19" t="s">
        <v>6026</v>
      </c>
      <c r="C1017" s="60" t="s">
        <v>757</v>
      </c>
      <c r="D1017" s="60" t="s">
        <v>6027</v>
      </c>
      <c r="E1017" s="62" t="s">
        <v>6028</v>
      </c>
      <c r="F1017" s="23" t="s">
        <v>6029</v>
      </c>
      <c r="G1017" s="24" t="s">
        <v>750</v>
      </c>
      <c r="H1017" s="25" t="s">
        <v>31</v>
      </c>
      <c r="I1017" s="34"/>
      <c r="J1017" s="35" t="s">
        <v>6030</v>
      </c>
      <c r="K1017" s="27" t="s">
        <v>50</v>
      </c>
      <c r="L1017" s="13" t="s">
        <v>6031</v>
      </c>
      <c r="M1017" s="26" t="str">
        <f>VLOOKUP(E1017,'MTS 2026 registrations'!B:B,1,false)</f>
        <v>#N/A</v>
      </c>
      <c r="N1017" s="26" t="str">
        <f>VLOOKUP(B1017,'MTS 2026 registrations'!A:A,1,false)</f>
        <v>#N/A</v>
      </c>
      <c r="O1017" s="38" t="str">
        <f t="shared" si="5"/>
        <v>Marked</v>
      </c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</row>
    <row r="1018" ht="12.75" customHeight="1">
      <c r="A1018" s="19" t="str">
        <f t="shared" si="4"/>
        <v>John van Nijnatten Flywheel Impact</v>
      </c>
      <c r="B1018" s="19" t="s">
        <v>6032</v>
      </c>
      <c r="C1018" s="20" t="s">
        <v>763</v>
      </c>
      <c r="D1018" s="20" t="s">
        <v>6033</v>
      </c>
      <c r="E1018" s="21" t="s">
        <v>6034</v>
      </c>
      <c r="F1018" s="49" t="s">
        <v>6035</v>
      </c>
      <c r="G1018" s="24" t="s">
        <v>163</v>
      </c>
      <c r="H1018" s="26" t="s">
        <v>164</v>
      </c>
      <c r="I1018" s="13"/>
      <c r="J1018" s="35" t="s">
        <v>6036</v>
      </c>
      <c r="K1018" s="27" t="s">
        <v>50</v>
      </c>
      <c r="L1018" s="25" t="s">
        <v>6037</v>
      </c>
      <c r="M1018" s="26" t="str">
        <f>VLOOKUP(E1018,'MTS 2026 registrations'!B:B,1,false)</f>
        <v>j.van.nijnatten@flywheel-impact.com</v>
      </c>
      <c r="N1018" s="26" t="str">
        <f>VLOOKUP(B1018,'MTS 2026 registrations'!A:A,1,false)</f>
        <v>John van Nijnatten</v>
      </c>
      <c r="O1018" s="38" t="str">
        <f t="shared" si="5"/>
        <v/>
      </c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</row>
    <row r="1019" ht="12.75" customHeight="1">
      <c r="A1019" s="19" t="str">
        <f t="shared" si="4"/>
        <v>John Tillema twtg</v>
      </c>
      <c r="B1019" s="19" t="s">
        <v>6038</v>
      </c>
      <c r="C1019" s="20" t="s">
        <v>763</v>
      </c>
      <c r="D1019" s="20" t="s">
        <v>6039</v>
      </c>
      <c r="E1019" s="21" t="s">
        <v>6040</v>
      </c>
      <c r="F1019" s="23" t="s">
        <v>1617</v>
      </c>
      <c r="G1019" s="24" t="s">
        <v>225</v>
      </c>
      <c r="H1019" s="13" t="s">
        <v>213</v>
      </c>
      <c r="I1019" s="26"/>
      <c r="J1019" s="35" t="s">
        <v>6041</v>
      </c>
      <c r="K1019" s="27" t="s">
        <v>50</v>
      </c>
      <c r="L1019" s="13" t="s">
        <v>6042</v>
      </c>
      <c r="M1019" s="26" t="str">
        <f>VLOOKUP(E1019,'MTS 2026 registrations'!B:B,1,false)</f>
        <v>#N/A</v>
      </c>
      <c r="N1019" s="26" t="str">
        <f>VLOOKUP(B1019,'MTS 2026 registrations'!A:A,1,false)</f>
        <v>#N/A</v>
      </c>
      <c r="O1019" s="38" t="str">
        <f t="shared" si="5"/>
        <v>Marked</v>
      </c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</row>
    <row r="1020" ht="12.75" customHeight="1">
      <c r="A1020" s="19" t="str">
        <f t="shared" si="4"/>
        <v>John Van der Vlies BaselineZ (Craytive)</v>
      </c>
      <c r="B1020" s="19" t="s">
        <v>6043</v>
      </c>
      <c r="C1020" s="29" t="s">
        <v>763</v>
      </c>
      <c r="D1020" s="29" t="s">
        <v>6044</v>
      </c>
      <c r="E1020" s="31" t="s">
        <v>6045</v>
      </c>
      <c r="F1020" s="33" t="s">
        <v>6046</v>
      </c>
      <c r="G1020" s="24" t="s">
        <v>46</v>
      </c>
      <c r="H1020" s="25" t="s">
        <v>47</v>
      </c>
      <c r="I1020" s="34"/>
      <c r="J1020" s="35" t="s">
        <v>6047</v>
      </c>
      <c r="K1020" s="27" t="s">
        <v>50</v>
      </c>
      <c r="L1020" s="13" t="s">
        <v>6048</v>
      </c>
      <c r="M1020" s="26" t="str">
        <f>VLOOKUP(E1020,'MTS 2026 registrations'!B:B,1,false)</f>
        <v>#N/A</v>
      </c>
      <c r="N1020" s="26" t="str">
        <f>VLOOKUP(B1020,'MTS 2026 registrations'!A:A,1,false)</f>
        <v>#N/A</v>
      </c>
      <c r="O1020" s="38" t="str">
        <f t="shared" si="5"/>
        <v>Marked</v>
      </c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</row>
    <row r="1021" ht="12.75" customHeight="1">
      <c r="A1021" s="19" t="str">
        <f t="shared" si="4"/>
        <v>Jon van Til Politie</v>
      </c>
      <c r="B1021" s="19" t="s">
        <v>6049</v>
      </c>
      <c r="C1021" s="156" t="s">
        <v>1814</v>
      </c>
      <c r="D1021" s="156" t="s">
        <v>6050</v>
      </c>
      <c r="E1021" s="50" t="s">
        <v>6051</v>
      </c>
      <c r="F1021" s="50" t="s">
        <v>5807</v>
      </c>
      <c r="G1021" s="32" t="s">
        <v>69</v>
      </c>
      <c r="H1021" s="25" t="s">
        <v>47</v>
      </c>
      <c r="I1021" s="34"/>
      <c r="J1021" s="35" t="s">
        <v>6052</v>
      </c>
      <c r="K1021" s="27" t="s">
        <v>50</v>
      </c>
      <c r="L1021" s="13" t="s">
        <v>6053</v>
      </c>
      <c r="M1021" s="26" t="str">
        <f>VLOOKUP(E1021,'MTS 2026 registrations'!B:B,1,false)</f>
        <v>#N/A</v>
      </c>
      <c r="N1021" s="26" t="str">
        <f>VLOOKUP(B1021,'MTS 2026 registrations'!A:A,1,false)</f>
        <v>#N/A</v>
      </c>
      <c r="O1021" s="38" t="str">
        <f t="shared" si="5"/>
        <v>Marked</v>
      </c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</row>
    <row r="1022" ht="12.75" customHeight="1">
      <c r="A1022" s="19" t="str">
        <f t="shared" si="4"/>
        <v>Jonathan Zwaan joa.ventures</v>
      </c>
      <c r="B1022" s="19" t="s">
        <v>6054</v>
      </c>
      <c r="C1022" s="20" t="s">
        <v>2561</v>
      </c>
      <c r="D1022" s="20" t="s">
        <v>6055</v>
      </c>
      <c r="E1022" s="21" t="s">
        <v>6056</v>
      </c>
      <c r="F1022" s="23" t="s">
        <v>6057</v>
      </c>
      <c r="G1022" s="24" t="s">
        <v>163</v>
      </c>
      <c r="H1022" s="25" t="s">
        <v>164</v>
      </c>
      <c r="I1022" s="34"/>
      <c r="J1022" s="35" t="s">
        <v>6058</v>
      </c>
      <c r="K1022" s="27" t="s">
        <v>50</v>
      </c>
      <c r="L1022" s="13" t="s">
        <v>6059</v>
      </c>
      <c r="M1022" s="26" t="str">
        <f>VLOOKUP(E1022,'MTS 2026 registrations'!B:B,1,false)</f>
        <v>#N/A</v>
      </c>
      <c r="N1022" s="26" t="str">
        <f>VLOOKUP(B1022,'MTS 2026 registrations'!A:A,1,false)</f>
        <v>#N/A</v>
      </c>
      <c r="O1022" s="38" t="str">
        <f t="shared" si="5"/>
        <v>Marked</v>
      </c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</row>
    <row r="1023" ht="12.75" customHeight="1">
      <c r="A1023" s="19" t="str">
        <f t="shared" si="4"/>
        <v>Joost Mathot tudelft</v>
      </c>
      <c r="B1023" s="19" t="s">
        <v>6060</v>
      </c>
      <c r="C1023" s="29" t="s">
        <v>774</v>
      </c>
      <c r="D1023" s="29" t="s">
        <v>6061</v>
      </c>
      <c r="E1023" s="30" t="s">
        <v>6062</v>
      </c>
      <c r="F1023" s="29" t="s">
        <v>184</v>
      </c>
      <c r="G1023" s="32" t="s">
        <v>43</v>
      </c>
      <c r="H1023" s="13" t="s">
        <v>213</v>
      </c>
      <c r="I1023" s="34"/>
      <c r="J1023" s="35" t="s">
        <v>6063</v>
      </c>
      <c r="K1023" s="27" t="s">
        <v>50</v>
      </c>
      <c r="L1023" s="13" t="s">
        <v>6064</v>
      </c>
      <c r="M1023" s="26" t="str">
        <f>VLOOKUP(E1023,'MTS 2026 registrations'!B:B,1,false)</f>
        <v>#N/A</v>
      </c>
      <c r="N1023" s="26" t="str">
        <f>VLOOKUP(B1023,'MTS 2026 registrations'!A:A,1,false)</f>
        <v>#N/A</v>
      </c>
      <c r="O1023" s="38" t="str">
        <f t="shared" si="5"/>
        <v>Marked</v>
      </c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34"/>
      <c r="AE1023" s="34"/>
    </row>
    <row r="1024" ht="12.75" customHeight="1">
      <c r="A1024" s="19" t="str">
        <f t="shared" si="4"/>
        <v>Joost Poort tudelft</v>
      </c>
      <c r="B1024" s="19" t="s">
        <v>6065</v>
      </c>
      <c r="C1024" s="138" t="s">
        <v>774</v>
      </c>
      <c r="D1024" s="138" t="s">
        <v>6066</v>
      </c>
      <c r="E1024" s="139" t="s">
        <v>6067</v>
      </c>
      <c r="F1024" s="71" t="s">
        <v>184</v>
      </c>
      <c r="G1024" s="24" t="s">
        <v>43</v>
      </c>
      <c r="H1024" s="25" t="s">
        <v>139</v>
      </c>
      <c r="I1024" s="26"/>
      <c r="J1024" s="35" t="s">
        <v>6068</v>
      </c>
      <c r="K1024" s="27" t="s">
        <v>50</v>
      </c>
      <c r="L1024" s="13" t="s">
        <v>6069</v>
      </c>
      <c r="M1024" s="26" t="str">
        <f>VLOOKUP(E1024,'MTS 2026 registrations'!B:B,1,false)</f>
        <v>j.poort@tudelft.nl</v>
      </c>
      <c r="N1024" s="26" t="str">
        <f>VLOOKUP(B1024,'MTS 2026 registrations'!A:A,1,false)</f>
        <v>Joost Poort</v>
      </c>
      <c r="O1024" s="38" t="str">
        <f t="shared" si="5"/>
        <v/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34"/>
      <c r="AE1024" s="34"/>
    </row>
    <row r="1025" ht="12.75" customHeight="1">
      <c r="A1025" s="19" t="str">
        <f t="shared" si="4"/>
        <v>Joost Schut ke-works</v>
      </c>
      <c r="B1025" s="19" t="s">
        <v>6070</v>
      </c>
      <c r="C1025" s="20" t="s">
        <v>774</v>
      </c>
      <c r="D1025" s="20" t="s">
        <v>687</v>
      </c>
      <c r="E1025" s="21" t="s">
        <v>6071</v>
      </c>
      <c r="F1025" s="23" t="s">
        <v>6072</v>
      </c>
      <c r="G1025" s="32" t="s">
        <v>46</v>
      </c>
      <c r="H1025" s="25" t="s">
        <v>47</v>
      </c>
      <c r="I1025" s="34"/>
      <c r="J1025" s="35" t="s">
        <v>6073</v>
      </c>
      <c r="K1025" s="27" t="s">
        <v>50</v>
      </c>
      <c r="L1025" s="13" t="s">
        <v>6074</v>
      </c>
      <c r="M1025" s="26" t="str">
        <f>VLOOKUP(E1025,'MTS 2026 registrations'!B:B,1,false)</f>
        <v>#N/A</v>
      </c>
      <c r="N1025" s="26" t="str">
        <f>VLOOKUP(B1025,'MTS 2026 registrations'!A:A,1,false)</f>
        <v>#N/A</v>
      </c>
      <c r="O1025" s="38" t="str">
        <f t="shared" si="5"/>
        <v>Marked</v>
      </c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</row>
    <row r="1026" ht="12.75" customHeight="1">
      <c r="A1026" s="19" t="str">
        <f t="shared" si="4"/>
        <v>Joost Vette fairm</v>
      </c>
      <c r="B1026" s="19" t="s">
        <v>6075</v>
      </c>
      <c r="C1026" s="20" t="s">
        <v>774</v>
      </c>
      <c r="D1026" s="20" t="s">
        <v>6076</v>
      </c>
      <c r="E1026" s="76" t="s">
        <v>6077</v>
      </c>
      <c r="F1026" s="23" t="s">
        <v>6078</v>
      </c>
      <c r="G1026" s="32" t="s">
        <v>46</v>
      </c>
      <c r="H1026" s="25" t="s">
        <v>47</v>
      </c>
      <c r="I1026" s="34"/>
      <c r="J1026" s="35" t="s">
        <v>6079</v>
      </c>
      <c r="K1026" s="27" t="s">
        <v>50</v>
      </c>
      <c r="L1026" s="13" t="s">
        <v>6080</v>
      </c>
      <c r="M1026" s="26" t="str">
        <f>VLOOKUP(E1026,'MTS 2026 registrations'!B:B,1,false)</f>
        <v>#N/A</v>
      </c>
      <c r="N1026" s="26" t="str">
        <f>VLOOKUP(B1026,'MTS 2026 registrations'!A:A,1,false)</f>
        <v>#N/A</v>
      </c>
      <c r="O1026" s="38" t="str">
        <f t="shared" si="5"/>
        <v>Marked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</row>
    <row r="1027" ht="12.75" customHeight="1">
      <c r="A1027" s="19" t="str">
        <f t="shared" si="4"/>
        <v>Joost van der Plas maven11</v>
      </c>
      <c r="B1027" s="19" t="s">
        <v>6081</v>
      </c>
      <c r="C1027" s="161" t="s">
        <v>774</v>
      </c>
      <c r="D1027" s="161" t="s">
        <v>6082</v>
      </c>
      <c r="E1027" s="128" t="s">
        <v>6083</v>
      </c>
      <c r="F1027" s="66" t="s">
        <v>6084</v>
      </c>
      <c r="G1027" s="42" t="s">
        <v>163</v>
      </c>
      <c r="H1027" s="25" t="s">
        <v>164</v>
      </c>
      <c r="I1027" s="34"/>
      <c r="J1027" s="35" t="s">
        <v>6085</v>
      </c>
      <c r="K1027" s="27" t="s">
        <v>50</v>
      </c>
      <c r="L1027" s="13" t="s">
        <v>6086</v>
      </c>
      <c r="M1027" s="26" t="str">
        <f>VLOOKUP(E1027,'MTS 2026 registrations'!B:B,1,false)</f>
        <v>#N/A</v>
      </c>
      <c r="N1027" s="26" t="str">
        <f>VLOOKUP(B1027,'MTS 2026 registrations'!A:A,1,false)</f>
        <v>#N/A</v>
      </c>
      <c r="O1027" s="38" t="str">
        <f t="shared" si="5"/>
        <v>Marked</v>
      </c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</row>
    <row r="1028" ht="12.75" customHeight="1">
      <c r="A1028" s="19" t="str">
        <f t="shared" si="4"/>
        <v>Joost Stenfert pythia-energy</v>
      </c>
      <c r="B1028" s="19" t="s">
        <v>6087</v>
      </c>
      <c r="C1028" s="20" t="s">
        <v>774</v>
      </c>
      <c r="D1028" s="120" t="s">
        <v>6088</v>
      </c>
      <c r="E1028" s="21" t="s">
        <v>6089</v>
      </c>
      <c r="F1028" s="23" t="s">
        <v>6090</v>
      </c>
      <c r="G1028" s="32" t="s">
        <v>46</v>
      </c>
      <c r="H1028" s="25" t="s">
        <v>47</v>
      </c>
      <c r="I1028" s="34"/>
      <c r="J1028" s="35" t="s">
        <v>6091</v>
      </c>
      <c r="K1028" s="27" t="s">
        <v>50</v>
      </c>
      <c r="L1028" s="13" t="s">
        <v>6092</v>
      </c>
      <c r="M1028" s="26" t="str">
        <f>VLOOKUP(E1028,'MTS 2026 registrations'!B:B,1,false)</f>
        <v>#N/A</v>
      </c>
      <c r="N1028" s="26" t="str">
        <f>VLOOKUP(B1028,'MTS 2026 registrations'!A:A,1,false)</f>
        <v>#N/A</v>
      </c>
      <c r="O1028" s="38" t="str">
        <f t="shared" si="5"/>
        <v>Marked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</row>
    <row r="1029" ht="12.75" customHeight="1">
      <c r="A1029" s="19" t="str">
        <f t="shared" si="4"/>
        <v>Joost Wit Media Distillery</v>
      </c>
      <c r="B1029" s="19" t="s">
        <v>6093</v>
      </c>
      <c r="C1029" s="29" t="s">
        <v>774</v>
      </c>
      <c r="D1029" s="29" t="s">
        <v>6094</v>
      </c>
      <c r="E1029" s="31" t="s">
        <v>6095</v>
      </c>
      <c r="F1029" s="33" t="s">
        <v>6096</v>
      </c>
      <c r="G1029" s="32" t="s">
        <v>46</v>
      </c>
      <c r="H1029" s="25" t="s">
        <v>47</v>
      </c>
      <c r="I1029" s="34"/>
      <c r="J1029" s="35" t="s">
        <v>6097</v>
      </c>
      <c r="K1029" s="27" t="s">
        <v>50</v>
      </c>
      <c r="L1029" s="13" t="s">
        <v>6098</v>
      </c>
      <c r="M1029" s="26" t="str">
        <f>VLOOKUP(E1029,'MTS 2026 registrations'!B:B,1,false)</f>
        <v>#N/A</v>
      </c>
      <c r="N1029" s="26" t="str">
        <f>VLOOKUP(B1029,'MTS 2026 registrations'!A:A,1,false)</f>
        <v>#N/A</v>
      </c>
      <c r="O1029" s="38" t="str">
        <f t="shared" si="5"/>
        <v>Marked</v>
      </c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23"/>
      <c r="AE1029" s="23"/>
    </row>
    <row r="1030" ht="12.75" customHeight="1">
      <c r="A1030" s="19" t="str">
        <f t="shared" si="4"/>
        <v>Joppe Eising Virida Capital</v>
      </c>
      <c r="B1030" s="19" t="s">
        <v>6099</v>
      </c>
      <c r="C1030" s="116" t="s">
        <v>6100</v>
      </c>
      <c r="D1030" s="117" t="s">
        <v>6101</v>
      </c>
      <c r="E1030" s="128" t="s">
        <v>6102</v>
      </c>
      <c r="F1030" s="66" t="s">
        <v>6103</v>
      </c>
      <c r="G1030" s="42" t="s">
        <v>163</v>
      </c>
      <c r="H1030" s="25" t="s">
        <v>164</v>
      </c>
      <c r="I1030" s="26"/>
      <c r="J1030" s="35" t="s">
        <v>6104</v>
      </c>
      <c r="K1030" s="27" t="s">
        <v>50</v>
      </c>
      <c r="L1030" s="13" t="s">
        <v>6105</v>
      </c>
      <c r="M1030" s="26" t="str">
        <f>VLOOKUP(E1030,'MTS 2026 registrations'!B:B,1,false)</f>
        <v>#N/A</v>
      </c>
      <c r="N1030" s="26" t="str">
        <f>VLOOKUP(B1030,'MTS 2026 registrations'!A:A,1,false)</f>
        <v>#N/A</v>
      </c>
      <c r="O1030" s="38" t="str">
        <f t="shared" si="5"/>
        <v>Marked</v>
      </c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</row>
    <row r="1031" ht="12.75" customHeight="1">
      <c r="A1031" s="19" t="str">
        <f t="shared" si="4"/>
        <v>Joppe van Dijk dentalrobotics</v>
      </c>
      <c r="B1031" s="19" t="s">
        <v>6106</v>
      </c>
      <c r="C1031" s="20" t="s">
        <v>6100</v>
      </c>
      <c r="D1031" s="20" t="s">
        <v>830</v>
      </c>
      <c r="E1031" s="21" t="s">
        <v>6107</v>
      </c>
      <c r="F1031" s="23" t="s">
        <v>4098</v>
      </c>
      <c r="G1031" s="32" t="s">
        <v>46</v>
      </c>
      <c r="H1031" s="25" t="s">
        <v>47</v>
      </c>
      <c r="I1031" s="34"/>
      <c r="J1031" s="35" t="s">
        <v>6108</v>
      </c>
      <c r="K1031" s="27" t="s">
        <v>50</v>
      </c>
      <c r="L1031" s="13" t="s">
        <v>6109</v>
      </c>
      <c r="M1031" s="26" t="str">
        <f>VLOOKUP(E1031,'MTS 2026 registrations'!B:B,1,false)</f>
        <v>#N/A</v>
      </c>
      <c r="N1031" s="26" t="str">
        <f>VLOOKUP(B1031,'MTS 2026 registrations'!A:A,1,false)</f>
        <v>#N/A</v>
      </c>
      <c r="O1031" s="38" t="str">
        <f t="shared" si="5"/>
        <v>Marked</v>
      </c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</row>
    <row r="1032" ht="12.75" customHeight="1">
      <c r="A1032" s="19" t="str">
        <f t="shared" si="4"/>
        <v>Jordi de Vos circularise</v>
      </c>
      <c r="B1032" s="19" t="s">
        <v>6110</v>
      </c>
      <c r="C1032" s="20" t="s">
        <v>6111</v>
      </c>
      <c r="D1032" s="20" t="s">
        <v>4985</v>
      </c>
      <c r="E1032" s="21" t="s">
        <v>6112</v>
      </c>
      <c r="F1032" s="23" t="s">
        <v>6113</v>
      </c>
      <c r="G1032" s="32" t="s">
        <v>46</v>
      </c>
      <c r="H1032" s="25" t="s">
        <v>47</v>
      </c>
      <c r="I1032" s="26"/>
      <c r="J1032" s="35" t="s">
        <v>6114</v>
      </c>
      <c r="K1032" s="27" t="s">
        <v>50</v>
      </c>
      <c r="L1032" s="13" t="s">
        <v>6115</v>
      </c>
      <c r="M1032" s="26" t="str">
        <f>VLOOKUP(E1032,'MTS 2026 registrations'!B:B,1,false)</f>
        <v>#N/A</v>
      </c>
      <c r="N1032" s="26" t="str">
        <f>VLOOKUP(B1032,'MTS 2026 registrations'!A:A,1,false)</f>
        <v>#N/A</v>
      </c>
      <c r="O1032" s="38" t="str">
        <f t="shared" si="5"/>
        <v>Marked</v>
      </c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</row>
    <row r="1033" ht="12.75" customHeight="1">
      <c r="A1033" s="19" t="str">
        <f t="shared" si="4"/>
        <v>Jorg Rijkschroeff Sit and Heat</v>
      </c>
      <c r="B1033" s="19" t="s">
        <v>6116</v>
      </c>
      <c r="C1033" s="20" t="s">
        <v>2573</v>
      </c>
      <c r="D1033" s="20" t="s">
        <v>6117</v>
      </c>
      <c r="E1033" s="21" t="s">
        <v>6118</v>
      </c>
      <c r="F1033" s="41" t="s">
        <v>6119</v>
      </c>
      <c r="G1033" s="32" t="s">
        <v>46</v>
      </c>
      <c r="H1033" s="25" t="s">
        <v>47</v>
      </c>
      <c r="I1033" s="34"/>
      <c r="J1033" s="35" t="s">
        <v>6120</v>
      </c>
      <c r="K1033" s="27" t="s">
        <v>50</v>
      </c>
      <c r="L1033" s="13" t="s">
        <v>6121</v>
      </c>
      <c r="M1033" s="26" t="str">
        <f>VLOOKUP(E1033,'MTS 2026 registrations'!B:B,1,false)</f>
        <v>#N/A</v>
      </c>
      <c r="N1033" s="26" t="str">
        <f>VLOOKUP(B1033,'MTS 2026 registrations'!A:A,1,false)</f>
        <v>#N/A</v>
      </c>
      <c r="O1033" s="38" t="str">
        <f t="shared" si="5"/>
        <v>Marked</v>
      </c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</row>
    <row r="1034" ht="12.75" customHeight="1">
      <c r="A1034" s="19" t="str">
        <f t="shared" si="4"/>
        <v>Jorick Naber UbiOps (Dutch Analytics)</v>
      </c>
      <c r="B1034" s="19" t="s">
        <v>6122</v>
      </c>
      <c r="C1034" s="29" t="s">
        <v>6123</v>
      </c>
      <c r="D1034" s="29" t="s">
        <v>6124</v>
      </c>
      <c r="E1034" s="31" t="s">
        <v>6125</v>
      </c>
      <c r="F1034" s="33" t="s">
        <v>6126</v>
      </c>
      <c r="G1034" s="32" t="s">
        <v>46</v>
      </c>
      <c r="H1034" s="25" t="s">
        <v>47</v>
      </c>
      <c r="I1034" s="34"/>
      <c r="J1034" s="35" t="s">
        <v>6127</v>
      </c>
      <c r="K1034" s="27" t="s">
        <v>50</v>
      </c>
      <c r="L1034" s="13" t="s">
        <v>6128</v>
      </c>
      <c r="M1034" s="26" t="str">
        <f>VLOOKUP(E1034,'MTS 2026 registrations'!B:B,1,false)</f>
        <v>#N/A</v>
      </c>
      <c r="N1034" s="26" t="str">
        <f>VLOOKUP(B1034,'MTS 2026 registrations'!A:A,1,false)</f>
        <v>#N/A</v>
      </c>
      <c r="O1034" s="38" t="str">
        <f t="shared" si="5"/>
        <v>Marked</v>
      </c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23"/>
      <c r="AE1034" s="23"/>
    </row>
    <row r="1035" ht="12.75" customHeight="1">
      <c r="A1035" s="19" t="str">
        <f t="shared" si="4"/>
        <v>Joris Vogels Independent</v>
      </c>
      <c r="B1035" s="19" t="s">
        <v>6129</v>
      </c>
      <c r="C1035" s="13" t="s">
        <v>1822</v>
      </c>
      <c r="D1035" s="13" t="s">
        <v>6130</v>
      </c>
      <c r="E1035" s="13" t="s">
        <v>6131</v>
      </c>
      <c r="F1035" s="66" t="s">
        <v>1209</v>
      </c>
      <c r="G1035" s="24" t="s">
        <v>225</v>
      </c>
      <c r="H1035" s="25" t="s">
        <v>47</v>
      </c>
      <c r="I1035" s="34"/>
      <c r="J1035" s="35" t="s">
        <v>6132</v>
      </c>
      <c r="K1035" s="27" t="s">
        <v>50</v>
      </c>
      <c r="L1035" s="13" t="s">
        <v>6133</v>
      </c>
      <c r="M1035" s="26" t="str">
        <f>VLOOKUP(E1035,'MTS 2026 registrations'!B:B,1,false)</f>
        <v>#N/A</v>
      </c>
      <c r="N1035" s="26" t="str">
        <f>VLOOKUP(B1035,'MTS 2026 registrations'!A:A,1,false)</f>
        <v>#N/A</v>
      </c>
      <c r="O1035" s="38" t="str">
        <f t="shared" si="5"/>
        <v>Marked</v>
      </c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</row>
    <row r="1036" ht="12.75" customHeight="1">
      <c r="A1036" s="19" t="str">
        <f t="shared" si="4"/>
        <v>Joris Geertman </v>
      </c>
      <c r="B1036" s="19" t="s">
        <v>6134</v>
      </c>
      <c r="C1036" s="20" t="s">
        <v>1822</v>
      </c>
      <c r="D1036" s="20" t="s">
        <v>6135</v>
      </c>
      <c r="E1036" s="31" t="s">
        <v>6136</v>
      </c>
      <c r="F1036" s="52"/>
      <c r="G1036" s="24" t="s">
        <v>225</v>
      </c>
      <c r="H1036" s="25" t="s">
        <v>47</v>
      </c>
      <c r="I1036" s="26"/>
      <c r="J1036" s="35" t="s">
        <v>6137</v>
      </c>
      <c r="K1036" s="27" t="s">
        <v>50</v>
      </c>
      <c r="L1036" s="13" t="s">
        <v>6138</v>
      </c>
      <c r="M1036" s="26" t="str">
        <f>VLOOKUP(E1036,'MTS 2026 registrations'!B:B,1,false)</f>
        <v>#N/A</v>
      </c>
      <c r="N1036" s="26" t="str">
        <f>VLOOKUP(B1036,'MTS 2026 registrations'!A:A,1,false)</f>
        <v>#N/A</v>
      </c>
      <c r="O1036" s="38" t="str">
        <f t="shared" si="5"/>
        <v>Marked</v>
      </c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23"/>
      <c r="AE1036" s="23"/>
    </row>
    <row r="1037" ht="12.75" customHeight="1">
      <c r="A1037" s="19" t="str">
        <f t="shared" si="4"/>
        <v>Joris Biskop addoptics</v>
      </c>
      <c r="B1037" s="19" t="s">
        <v>6139</v>
      </c>
      <c r="C1037" s="20" t="s">
        <v>1822</v>
      </c>
      <c r="D1037" s="20" t="s">
        <v>6140</v>
      </c>
      <c r="E1037" s="21" t="s">
        <v>6141</v>
      </c>
      <c r="F1037" s="23" t="s">
        <v>6142</v>
      </c>
      <c r="G1037" s="32" t="s">
        <v>46</v>
      </c>
      <c r="H1037" s="25" t="s">
        <v>47</v>
      </c>
      <c r="I1037" s="26"/>
      <c r="J1037" s="35" t="s">
        <v>6143</v>
      </c>
      <c r="K1037" s="27" t="s">
        <v>50</v>
      </c>
      <c r="L1037" s="13" t="s">
        <v>6144</v>
      </c>
      <c r="M1037" s="26" t="str">
        <f>VLOOKUP(E1037,'MTS 2026 registrations'!B:B,1,false)</f>
        <v>#N/A</v>
      </c>
      <c r="N1037" s="26" t="str">
        <f>VLOOKUP(B1037,'MTS 2026 registrations'!A:A,1,false)</f>
        <v>#N/A</v>
      </c>
      <c r="O1037" s="38" t="str">
        <f t="shared" si="5"/>
        <v>Marked</v>
      </c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</row>
    <row r="1038" ht="12.75" customHeight="1">
      <c r="A1038" s="19" t="str">
        <f t="shared" si="4"/>
        <v>Joris den Bruinen securitydelta</v>
      </c>
      <c r="B1038" s="19" t="s">
        <v>6145</v>
      </c>
      <c r="C1038" s="60" t="s">
        <v>1822</v>
      </c>
      <c r="D1038" s="60" t="s">
        <v>6146</v>
      </c>
      <c r="E1038" s="62" t="s">
        <v>6147</v>
      </c>
      <c r="F1038" s="64" t="s">
        <v>3913</v>
      </c>
      <c r="G1038" s="24" t="s">
        <v>29</v>
      </c>
      <c r="H1038" s="25" t="s">
        <v>139</v>
      </c>
      <c r="I1038" s="34"/>
      <c r="J1038" s="35" t="s">
        <v>6148</v>
      </c>
      <c r="K1038" s="27" t="s">
        <v>50</v>
      </c>
      <c r="L1038" s="13" t="s">
        <v>6149</v>
      </c>
      <c r="M1038" s="26" t="str">
        <f>VLOOKUP(E1038,'MTS 2026 registrations'!B:B,1,false)</f>
        <v>#N/A</v>
      </c>
      <c r="N1038" s="26" t="str">
        <f>VLOOKUP(B1038,'MTS 2026 registrations'!A:A,1,false)</f>
        <v>#N/A</v>
      </c>
      <c r="O1038" s="38" t="str">
        <f t="shared" si="5"/>
        <v>Marked</v>
      </c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</row>
    <row r="1039" ht="12.75" customHeight="1">
      <c r="A1039" s="19" t="str">
        <f t="shared" si="4"/>
        <v>Joris van Doorninck Breeze</v>
      </c>
      <c r="B1039" s="19" t="s">
        <v>6150</v>
      </c>
      <c r="C1039" s="29" t="s">
        <v>1822</v>
      </c>
      <c r="D1039" s="29" t="s">
        <v>6151</v>
      </c>
      <c r="E1039" s="62" t="s">
        <v>6152</v>
      </c>
      <c r="F1039" s="50" t="s">
        <v>6153</v>
      </c>
      <c r="G1039" s="32" t="s">
        <v>46</v>
      </c>
      <c r="H1039" s="25" t="s">
        <v>139</v>
      </c>
      <c r="I1039" s="13" t="s">
        <v>188</v>
      </c>
      <c r="J1039" s="35" t="s">
        <v>6154</v>
      </c>
      <c r="K1039" s="27" t="s">
        <v>50</v>
      </c>
      <c r="L1039" s="13" t="s">
        <v>6155</v>
      </c>
      <c r="M1039" s="26" t="str">
        <f>VLOOKUP(E1039,'MTS 2026 registrations'!B:B,1,false)</f>
        <v>#N/A</v>
      </c>
      <c r="N1039" s="26" t="str">
        <f>VLOOKUP(B1039,'MTS 2026 registrations'!A:A,1,false)</f>
        <v>#N/A</v>
      </c>
      <c r="O1039" s="38" t="str">
        <f t="shared" si="5"/>
        <v>Marked</v>
      </c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</row>
    <row r="1040" ht="12.75" customHeight="1">
      <c r="A1040" s="19" t="str">
        <f t="shared" si="4"/>
        <v>Joris Koudijs tilercharge</v>
      </c>
      <c r="B1040" s="19" t="s">
        <v>6156</v>
      </c>
      <c r="C1040" s="20" t="s">
        <v>1822</v>
      </c>
      <c r="D1040" s="20" t="s">
        <v>6157</v>
      </c>
      <c r="E1040" s="21" t="s">
        <v>6158</v>
      </c>
      <c r="F1040" s="23" t="s">
        <v>528</v>
      </c>
      <c r="G1040" s="32" t="s">
        <v>46</v>
      </c>
      <c r="H1040" s="25" t="s">
        <v>47</v>
      </c>
      <c r="I1040" s="34"/>
      <c r="J1040" s="35" t="s">
        <v>6159</v>
      </c>
      <c r="K1040" s="27" t="s">
        <v>50</v>
      </c>
      <c r="L1040" s="13" t="s">
        <v>6160</v>
      </c>
      <c r="M1040" s="26" t="str">
        <f>VLOOKUP(E1040,'MTS 2026 registrations'!B:B,1,false)</f>
        <v>#N/A</v>
      </c>
      <c r="N1040" s="26" t="str">
        <f>VLOOKUP(B1040,'MTS 2026 registrations'!A:A,1,false)</f>
        <v>#N/A</v>
      </c>
      <c r="O1040" s="38" t="str">
        <f t="shared" si="5"/>
        <v>Marked</v>
      </c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</row>
    <row r="1041" ht="12.75" customHeight="1">
      <c r="A1041" s="19" t="str">
        <f t="shared" si="4"/>
        <v>Jorn Rigter Unpluq</v>
      </c>
      <c r="B1041" s="19" t="s">
        <v>6161</v>
      </c>
      <c r="C1041" s="29" t="s">
        <v>1827</v>
      </c>
      <c r="D1041" s="29" t="s">
        <v>6162</v>
      </c>
      <c r="E1041" s="31" t="s">
        <v>6163</v>
      </c>
      <c r="F1041" s="33" t="s">
        <v>1125</v>
      </c>
      <c r="G1041" s="24" t="s">
        <v>46</v>
      </c>
      <c r="H1041" s="25" t="s">
        <v>47</v>
      </c>
      <c r="I1041" s="34"/>
      <c r="J1041" s="35" t="s">
        <v>6164</v>
      </c>
      <c r="K1041" s="27" t="s">
        <v>50</v>
      </c>
      <c r="L1041" s="13" t="s">
        <v>6165</v>
      </c>
      <c r="M1041" s="26" t="str">
        <f>VLOOKUP(E1041,'MTS 2026 registrations'!B:B,1,false)</f>
        <v>#N/A</v>
      </c>
      <c r="N1041" s="26" t="str">
        <f>VLOOKUP(B1041,'MTS 2026 registrations'!A:A,1,false)</f>
        <v>#N/A</v>
      </c>
      <c r="O1041" s="38" t="str">
        <f t="shared" si="5"/>
        <v>Marked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</row>
    <row r="1042" ht="12.75" customHeight="1">
      <c r="A1042" s="19" t="str">
        <f t="shared" si="4"/>
        <v>Jorn Ouborg </v>
      </c>
      <c r="B1042" s="19" t="s">
        <v>6166</v>
      </c>
      <c r="C1042" s="20" t="s">
        <v>1827</v>
      </c>
      <c r="D1042" s="20" t="s">
        <v>6167</v>
      </c>
      <c r="E1042" s="21" t="s">
        <v>6168</v>
      </c>
      <c r="F1042" s="52"/>
      <c r="G1042" s="32" t="s">
        <v>46</v>
      </c>
      <c r="H1042" s="25" t="s">
        <v>47</v>
      </c>
      <c r="I1042" s="26"/>
      <c r="J1042" s="35" t="s">
        <v>6169</v>
      </c>
      <c r="K1042" s="27" t="s">
        <v>50</v>
      </c>
      <c r="L1042" s="13" t="s">
        <v>6170</v>
      </c>
      <c r="M1042" s="26" t="str">
        <f>VLOOKUP(E1042,'MTS 2026 registrations'!B:B,1,false)</f>
        <v>#N/A</v>
      </c>
      <c r="N1042" s="26" t="str">
        <f>VLOOKUP(B1042,'MTS 2026 registrations'!A:A,1,false)</f>
        <v>#N/A</v>
      </c>
      <c r="O1042" s="38" t="str">
        <f t="shared" si="5"/>
        <v>Marked</v>
      </c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</row>
    <row r="1043" ht="12.75" customHeight="1">
      <c r="A1043" s="19" t="str">
        <f t="shared" si="4"/>
        <v>Jos Bourgonje valuecreationcapital</v>
      </c>
      <c r="B1043" s="19" t="s">
        <v>6171</v>
      </c>
      <c r="C1043" s="20" t="s">
        <v>2587</v>
      </c>
      <c r="D1043" s="20" t="s">
        <v>6172</v>
      </c>
      <c r="E1043" s="21" t="s">
        <v>6173</v>
      </c>
      <c r="F1043" s="23" t="s">
        <v>3140</v>
      </c>
      <c r="G1043" s="24" t="s">
        <v>163</v>
      </c>
      <c r="H1043" s="25" t="s">
        <v>164</v>
      </c>
      <c r="I1043" s="26"/>
      <c r="J1043" s="35" t="s">
        <v>6174</v>
      </c>
      <c r="K1043" s="27" t="s">
        <v>50</v>
      </c>
      <c r="L1043" s="13" t="s">
        <v>6175</v>
      </c>
      <c r="M1043" s="26" t="str">
        <f>VLOOKUP(E1043,'MTS 2026 registrations'!B:B,1,false)</f>
        <v>#N/A</v>
      </c>
      <c r="N1043" s="26" t="str">
        <f>VLOOKUP(B1043,'MTS 2026 registrations'!A:A,1,false)</f>
        <v>#N/A</v>
      </c>
      <c r="O1043" s="38" t="str">
        <f t="shared" si="5"/>
        <v>Marked</v>
      </c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34"/>
      <c r="AE1043" s="34"/>
    </row>
    <row r="1044" ht="12.75" customHeight="1">
      <c r="A1044" s="19" t="str">
        <f t="shared" si="4"/>
        <v>Jos van den Boom tudelft</v>
      </c>
      <c r="B1044" s="19" t="s">
        <v>6176</v>
      </c>
      <c r="C1044" s="60" t="s">
        <v>2587</v>
      </c>
      <c r="D1044" s="60" t="s">
        <v>6177</v>
      </c>
      <c r="E1044" s="62" t="s">
        <v>6178</v>
      </c>
      <c r="F1044" s="64" t="s">
        <v>184</v>
      </c>
      <c r="G1044" s="42" t="s">
        <v>43</v>
      </c>
      <c r="H1044" s="25" t="s">
        <v>139</v>
      </c>
      <c r="I1044" s="34"/>
      <c r="J1044" s="35" t="s">
        <v>6179</v>
      </c>
      <c r="K1044" s="27" t="s">
        <v>50</v>
      </c>
      <c r="L1044" s="13" t="s">
        <v>6180</v>
      </c>
      <c r="M1044" s="26" t="str">
        <f>VLOOKUP(E1044,'MTS 2026 registrations'!B:B,1,false)</f>
        <v>#N/A</v>
      </c>
      <c r="N1044" s="26" t="str">
        <f>VLOOKUP(B1044,'MTS 2026 registrations'!A:A,1,false)</f>
        <v>#N/A</v>
      </c>
      <c r="O1044" s="38" t="str">
        <f t="shared" si="5"/>
        <v>Marked</v>
      </c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34"/>
      <c r="AE1044" s="34"/>
    </row>
    <row r="1045" ht="12.75" customHeight="1">
      <c r="A1045" s="19" t="str">
        <f t="shared" si="4"/>
        <v>Jos mindef</v>
      </c>
      <c r="B1045" s="19" t="s">
        <v>2587</v>
      </c>
      <c r="C1045" s="72" t="s">
        <v>6181</v>
      </c>
      <c r="D1045" s="145"/>
      <c r="E1045" s="30" t="s">
        <v>6182</v>
      </c>
      <c r="F1045" s="29" t="s">
        <v>1527</v>
      </c>
      <c r="G1045" s="32" t="s">
        <v>323</v>
      </c>
      <c r="H1045" s="13" t="s">
        <v>45</v>
      </c>
      <c r="I1045" s="34"/>
      <c r="J1045" s="35" t="s">
        <v>6183</v>
      </c>
      <c r="K1045" s="27" t="s">
        <v>50</v>
      </c>
      <c r="L1045" s="27" t="s">
        <v>6184</v>
      </c>
      <c r="M1045" s="26" t="str">
        <f>VLOOKUP(E1045,'MTS 2026 registrations'!B:B,1,false)</f>
        <v>#N/A</v>
      </c>
      <c r="N1045" s="26" t="str">
        <f>VLOOKUP(B1045,'MTS 2026 registrations'!A:A,1,false)</f>
        <v>#N/A</v>
      </c>
      <c r="O1045" s="38" t="str">
        <f t="shared" si="5"/>
        <v>Marked</v>
      </c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</row>
    <row r="1046" ht="12.75" customHeight="1">
      <c r="A1046" s="19" t="str">
        <f t="shared" si="4"/>
        <v>Josefien Groot qlayers</v>
      </c>
      <c r="B1046" s="19" t="s">
        <v>6185</v>
      </c>
      <c r="C1046" s="20" t="s">
        <v>6186</v>
      </c>
      <c r="D1046" s="20" t="s">
        <v>6187</v>
      </c>
      <c r="E1046" s="21" t="s">
        <v>6188</v>
      </c>
      <c r="F1046" s="23" t="s">
        <v>6189</v>
      </c>
      <c r="G1046" s="32" t="s">
        <v>46</v>
      </c>
      <c r="H1046" s="25" t="s">
        <v>47</v>
      </c>
      <c r="I1046" s="34"/>
      <c r="J1046" s="35" t="s">
        <v>6190</v>
      </c>
      <c r="K1046" s="27" t="s">
        <v>50</v>
      </c>
      <c r="L1046" s="13" t="s">
        <v>6191</v>
      </c>
      <c r="M1046" s="26" t="str">
        <f>VLOOKUP(E1046,'MTS 2026 registrations'!B:B,1,false)</f>
        <v>#N/A</v>
      </c>
      <c r="N1046" s="26" t="str">
        <f>VLOOKUP(B1046,'MTS 2026 registrations'!A:A,1,false)</f>
        <v>#N/A</v>
      </c>
      <c r="O1046" s="38" t="str">
        <f t="shared" si="5"/>
        <v>Marked</v>
      </c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</row>
    <row r="1047" ht="12.75" customHeight="1">
      <c r="A1047" s="19" t="str">
        <f t="shared" si="4"/>
        <v>Joseph Peeraer positron</v>
      </c>
      <c r="B1047" s="19" t="s">
        <v>6192</v>
      </c>
      <c r="C1047" s="20" t="s">
        <v>6193</v>
      </c>
      <c r="D1047" s="20" t="s">
        <v>6194</v>
      </c>
      <c r="E1047" s="21" t="s">
        <v>6195</v>
      </c>
      <c r="F1047" s="23" t="s">
        <v>5083</v>
      </c>
      <c r="G1047" s="24" t="s">
        <v>163</v>
      </c>
      <c r="H1047" s="25" t="s">
        <v>164</v>
      </c>
      <c r="I1047" s="34"/>
      <c r="J1047" s="35" t="s">
        <v>6196</v>
      </c>
      <c r="K1047" s="27" t="s">
        <v>50</v>
      </c>
      <c r="L1047" s="13" t="s">
        <v>6197</v>
      </c>
      <c r="M1047" s="26" t="str">
        <f>VLOOKUP(E1047,'MTS 2026 registrations'!B:B,1,false)</f>
        <v>#N/A</v>
      </c>
      <c r="N1047" s="26" t="str">
        <f>VLOOKUP(B1047,'MTS 2026 registrations'!A:A,1,false)</f>
        <v>#N/A</v>
      </c>
      <c r="O1047" s="38" t="str">
        <f t="shared" si="5"/>
        <v>Marked</v>
      </c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</row>
    <row r="1048" ht="12.75" customHeight="1">
      <c r="A1048" s="19" t="str">
        <f t="shared" si="4"/>
        <v>Joshua Klappe Straw Dog (One Nights Tent )</v>
      </c>
      <c r="B1048" s="19" t="s">
        <v>6198</v>
      </c>
      <c r="C1048" s="29" t="s">
        <v>1832</v>
      </c>
      <c r="D1048" s="29" t="s">
        <v>6199</v>
      </c>
      <c r="E1048" s="185" t="s">
        <v>6200</v>
      </c>
      <c r="F1048" s="33" t="s">
        <v>4249</v>
      </c>
      <c r="G1048" s="24" t="s">
        <v>46</v>
      </c>
      <c r="H1048" s="25" t="s">
        <v>47</v>
      </c>
      <c r="I1048" s="34"/>
      <c r="J1048" s="124" t="s">
        <v>6201</v>
      </c>
      <c r="K1048" s="27" t="s">
        <v>50</v>
      </c>
      <c r="L1048" s="13" t="s">
        <v>6202</v>
      </c>
      <c r="M1048" s="26" t="str">
        <f>VLOOKUP(E1048,'MTS 2026 registrations'!B:B,1,false)</f>
        <v>#N/A</v>
      </c>
      <c r="N1048" s="26" t="str">
        <f>VLOOKUP(B1048,'MTS 2026 registrations'!A:A,1,false)</f>
        <v>#N/A</v>
      </c>
      <c r="O1048" s="38" t="str">
        <f t="shared" si="5"/>
        <v>Marked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</row>
    <row r="1049" ht="12.75" customHeight="1">
      <c r="A1049" s="19" t="str">
        <f t="shared" si="4"/>
        <v>Jouke Goslinga </v>
      </c>
      <c r="B1049" s="19" t="s">
        <v>6203</v>
      </c>
      <c r="C1049" s="72" t="s">
        <v>6204</v>
      </c>
      <c r="D1049" s="29" t="s">
        <v>6205</v>
      </c>
      <c r="E1049" s="30" t="s">
        <v>6206</v>
      </c>
      <c r="F1049" s="29"/>
      <c r="G1049" s="144"/>
      <c r="H1049" s="13" t="s">
        <v>45</v>
      </c>
      <c r="I1049" s="34"/>
      <c r="J1049" s="35" t="s">
        <v>6207</v>
      </c>
      <c r="K1049" s="27" t="s">
        <v>50</v>
      </c>
      <c r="L1049" s="13" t="s">
        <v>6208</v>
      </c>
      <c r="M1049" s="26" t="str">
        <f>VLOOKUP(E1049,'MTS 2026 registrations'!B:B,1,false)</f>
        <v>#N/A</v>
      </c>
      <c r="N1049" s="26" t="str">
        <f>VLOOKUP(B1049,'MTS 2026 registrations'!A:A,1,false)</f>
        <v>#N/A</v>
      </c>
      <c r="O1049" s="38" t="str">
        <f t="shared" si="5"/>
        <v>Marked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</row>
    <row r="1050" ht="12.75" customHeight="1">
      <c r="A1050" s="19" t="str">
        <f t="shared" si="4"/>
        <v>Jouri Schoemaker Shake On</v>
      </c>
      <c r="B1050" s="19" t="s">
        <v>6209</v>
      </c>
      <c r="C1050" s="29" t="s">
        <v>6210</v>
      </c>
      <c r="D1050" s="29" t="s">
        <v>6211</v>
      </c>
      <c r="E1050" s="80" t="s">
        <v>6212</v>
      </c>
      <c r="F1050" s="33" t="s">
        <v>6213</v>
      </c>
      <c r="G1050" s="24" t="s">
        <v>46</v>
      </c>
      <c r="H1050" s="25" t="s">
        <v>47</v>
      </c>
      <c r="I1050" s="34"/>
      <c r="J1050" s="35" t="s">
        <v>6214</v>
      </c>
      <c r="K1050" s="27" t="s">
        <v>50</v>
      </c>
      <c r="L1050" s="13" t="s">
        <v>6215</v>
      </c>
      <c r="M1050" s="26" t="str">
        <f>VLOOKUP(E1050,'MTS 2026 registrations'!B:B,1,false)</f>
        <v>#N/A</v>
      </c>
      <c r="N1050" s="26" t="str">
        <f>VLOOKUP(B1050,'MTS 2026 registrations'!A:A,1,false)</f>
        <v>#N/A</v>
      </c>
      <c r="O1050" s="38" t="str">
        <f t="shared" si="5"/>
        <v>Marked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</row>
    <row r="1051" ht="12.75" customHeight="1">
      <c r="A1051" s="19" t="str">
        <f t="shared" si="4"/>
        <v>Joyce Kornet-Vreugdenhil cic</v>
      </c>
      <c r="B1051" s="19" t="s">
        <v>6216</v>
      </c>
      <c r="C1051" s="60" t="s">
        <v>6217</v>
      </c>
      <c r="D1051" s="60" t="s">
        <v>6218</v>
      </c>
      <c r="E1051" s="62" t="s">
        <v>6219</v>
      </c>
      <c r="F1051" s="64" t="s">
        <v>6220</v>
      </c>
      <c r="G1051" s="32" t="s">
        <v>29</v>
      </c>
      <c r="H1051" s="25" t="s">
        <v>139</v>
      </c>
      <c r="I1051" s="34"/>
      <c r="J1051" s="35" t="s">
        <v>6221</v>
      </c>
      <c r="K1051" s="27" t="s">
        <v>50</v>
      </c>
      <c r="L1051" s="27" t="s">
        <v>6222</v>
      </c>
      <c r="M1051" s="26" t="str">
        <f>VLOOKUP(E1051,'MTS 2026 registrations'!B:B,1,false)</f>
        <v>#N/A</v>
      </c>
      <c r="N1051" s="26" t="str">
        <f>VLOOKUP(B1051,'MTS 2026 registrations'!A:A,1,false)</f>
        <v>#N/A</v>
      </c>
      <c r="O1051" s="38" t="str">
        <f t="shared" si="5"/>
        <v>Marked</v>
      </c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</row>
    <row r="1052" ht="12.75" customHeight="1">
      <c r="A1052" s="19" t="str">
        <f t="shared" si="4"/>
        <v>Judith Witte minezk</v>
      </c>
      <c r="B1052" s="19" t="s">
        <v>6223</v>
      </c>
      <c r="C1052" s="72" t="s">
        <v>6224</v>
      </c>
      <c r="D1052" s="72" t="s">
        <v>6225</v>
      </c>
      <c r="E1052" s="30" t="s">
        <v>6226</v>
      </c>
      <c r="F1052" s="29" t="s">
        <v>5114</v>
      </c>
      <c r="G1052" s="32" t="s">
        <v>323</v>
      </c>
      <c r="H1052" s="13" t="s">
        <v>45</v>
      </c>
      <c r="I1052" s="34"/>
      <c r="J1052" s="35" t="s">
        <v>6227</v>
      </c>
      <c r="K1052" s="27" t="s">
        <v>50</v>
      </c>
      <c r="L1052" s="27" t="s">
        <v>6228</v>
      </c>
      <c r="M1052" s="26" t="str">
        <f>VLOOKUP(E1052,'MTS 2026 registrations'!B:B,1,false)</f>
        <v>#N/A</v>
      </c>
      <c r="N1052" s="26" t="str">
        <f>VLOOKUP(B1052,'MTS 2026 registrations'!A:A,1,false)</f>
        <v>#N/A</v>
      </c>
      <c r="O1052" s="38" t="str">
        <f t="shared" si="5"/>
        <v>Marked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23"/>
      <c r="AE1052" s="23"/>
    </row>
    <row r="1053" ht="12.75" customHeight="1">
      <c r="A1053" s="19" t="str">
        <f t="shared" si="4"/>
        <v>Jules van Oven qblox</v>
      </c>
      <c r="B1053" s="19" t="s">
        <v>6229</v>
      </c>
      <c r="C1053" s="20" t="s">
        <v>6230</v>
      </c>
      <c r="D1053" s="20" t="s">
        <v>6231</v>
      </c>
      <c r="E1053" s="21" t="s">
        <v>6232</v>
      </c>
      <c r="F1053" s="23" t="s">
        <v>6233</v>
      </c>
      <c r="G1053" s="32" t="s">
        <v>46</v>
      </c>
      <c r="H1053" s="25" t="s">
        <v>47</v>
      </c>
      <c r="I1053" s="34"/>
      <c r="J1053" s="35" t="s">
        <v>6234</v>
      </c>
      <c r="K1053" s="27" t="s">
        <v>50</v>
      </c>
      <c r="L1053" s="13" t="s">
        <v>6235</v>
      </c>
      <c r="M1053" s="26" t="str">
        <f>VLOOKUP(E1053,'MTS 2026 registrations'!B:B,1,false)</f>
        <v>#N/A</v>
      </c>
      <c r="N1053" s="26" t="str">
        <f>VLOOKUP(B1053,'MTS 2026 registrations'!A:A,1,false)</f>
        <v>#N/A</v>
      </c>
      <c r="O1053" s="38" t="str">
        <f t="shared" si="5"/>
        <v>Marked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</row>
    <row r="1054" ht="12.75" customHeight="1">
      <c r="A1054" s="19" t="str">
        <f t="shared" si="4"/>
        <v>Jules Rombouts naturesprinciples</v>
      </c>
      <c r="B1054" s="19" t="s">
        <v>6236</v>
      </c>
      <c r="C1054" s="20" t="s">
        <v>6230</v>
      </c>
      <c r="D1054" s="20" t="s">
        <v>6237</v>
      </c>
      <c r="E1054" s="112" t="s">
        <v>6238</v>
      </c>
      <c r="F1054" s="23" t="s">
        <v>5669</v>
      </c>
      <c r="G1054" s="44" t="s">
        <v>46</v>
      </c>
      <c r="H1054" s="25" t="s">
        <v>47</v>
      </c>
      <c r="I1054" s="34"/>
      <c r="J1054" s="35" t="s">
        <v>6239</v>
      </c>
      <c r="K1054" s="27" t="s">
        <v>50</v>
      </c>
      <c r="L1054" s="13" t="s">
        <v>6240</v>
      </c>
      <c r="M1054" s="26" t="str">
        <f>VLOOKUP(E1054,'MTS 2026 registrations'!B:B,1,false)</f>
        <v>#N/A</v>
      </c>
      <c r="N1054" s="26" t="str">
        <f>VLOOKUP(B1054,'MTS 2026 registrations'!A:A,1,false)</f>
        <v>#N/A</v>
      </c>
      <c r="O1054" s="38" t="str">
        <f t="shared" si="5"/>
        <v>Marked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</row>
    <row r="1055" ht="12.75" customHeight="1">
      <c r="A1055" s="19" t="str">
        <f t="shared" si="4"/>
        <v>Julia Knoeff graduate</v>
      </c>
      <c r="B1055" s="19" t="s">
        <v>6241</v>
      </c>
      <c r="C1055" s="138" t="s">
        <v>6242</v>
      </c>
      <c r="D1055" s="138" t="s">
        <v>6243</v>
      </c>
      <c r="E1055" s="139" t="s">
        <v>6244</v>
      </c>
      <c r="F1055" s="75" t="s">
        <v>1964</v>
      </c>
      <c r="G1055" s="24" t="s">
        <v>163</v>
      </c>
      <c r="H1055" s="25" t="s">
        <v>139</v>
      </c>
      <c r="I1055" s="34"/>
      <c r="J1055" s="35" t="s">
        <v>6245</v>
      </c>
      <c r="K1055" s="27" t="s">
        <v>50</v>
      </c>
      <c r="L1055" s="13" t="s">
        <v>6246</v>
      </c>
      <c r="M1055" s="26" t="str">
        <f>VLOOKUP(E1055,'MTS 2026 registrations'!B:B,1,false)</f>
        <v>#N/A</v>
      </c>
      <c r="N1055" s="26" t="str">
        <f>VLOOKUP(B1055,'MTS 2026 registrations'!A:A,1,false)</f>
        <v>#N/A</v>
      </c>
      <c r="O1055" s="38" t="str">
        <f t="shared" si="5"/>
        <v>Marked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</row>
    <row r="1056" ht="12.75" customHeight="1">
      <c r="A1056" s="19" t="str">
        <f t="shared" si="4"/>
        <v>Julia Padberg setventures</v>
      </c>
      <c r="B1056" s="19" t="s">
        <v>6247</v>
      </c>
      <c r="C1056" s="20" t="s">
        <v>6242</v>
      </c>
      <c r="D1056" s="20" t="s">
        <v>6248</v>
      </c>
      <c r="E1056" s="21" t="s">
        <v>6249</v>
      </c>
      <c r="F1056" s="23" t="s">
        <v>2722</v>
      </c>
      <c r="G1056" s="24" t="s">
        <v>163</v>
      </c>
      <c r="H1056" s="25" t="s">
        <v>164</v>
      </c>
      <c r="I1056" s="34"/>
      <c r="J1056" s="35" t="s">
        <v>6250</v>
      </c>
      <c r="K1056" s="27" t="s">
        <v>50</v>
      </c>
      <c r="L1056" s="13" t="s">
        <v>6251</v>
      </c>
      <c r="M1056" s="26" t="str">
        <f>VLOOKUP(E1056,'MTS 2026 registrations'!B:B,1,false)</f>
        <v>#N/A</v>
      </c>
      <c r="N1056" s="26" t="str">
        <f>VLOOKUP(B1056,'MTS 2026 registrations'!A:A,1,false)</f>
        <v>#N/A</v>
      </c>
      <c r="O1056" s="38" t="str">
        <f t="shared" si="5"/>
        <v>Marked</v>
      </c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</row>
    <row r="1057" ht="12.75" customHeight="1">
      <c r="A1057" s="19" t="str">
        <f t="shared" si="4"/>
        <v>Julian Jagtenberg Somnox</v>
      </c>
      <c r="B1057" s="19" t="s">
        <v>6252</v>
      </c>
      <c r="C1057" s="20" t="s">
        <v>6253</v>
      </c>
      <c r="D1057" s="20" t="s">
        <v>6254</v>
      </c>
      <c r="E1057" s="62" t="s">
        <v>6255</v>
      </c>
      <c r="F1057" s="23" t="s">
        <v>6256</v>
      </c>
      <c r="G1057" s="32" t="s">
        <v>46</v>
      </c>
      <c r="H1057" s="25" t="s">
        <v>47</v>
      </c>
      <c r="I1057" s="34"/>
      <c r="J1057" s="35" t="s">
        <v>6257</v>
      </c>
      <c r="K1057" s="27" t="s">
        <v>50</v>
      </c>
      <c r="L1057" s="13" t="s">
        <v>6258</v>
      </c>
      <c r="M1057" s="26" t="str">
        <f>VLOOKUP(E1057,'MTS 2026 registrations'!B:B,1,false)</f>
        <v>#N/A</v>
      </c>
      <c r="N1057" s="26" t="str">
        <f>VLOOKUP(B1057,'MTS 2026 registrations'!A:A,1,false)</f>
        <v>#N/A</v>
      </c>
      <c r="O1057" s="38" t="str">
        <f t="shared" si="5"/>
        <v>Marked</v>
      </c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</row>
    <row r="1058" ht="12.75" customHeight="1">
      <c r="A1058" s="19" t="str">
        <f t="shared" si="4"/>
        <v>Julien Fredonie Honda Xcelerator Ventures</v>
      </c>
      <c r="B1058" s="19" t="s">
        <v>6259</v>
      </c>
      <c r="C1058" s="20" t="s">
        <v>6260</v>
      </c>
      <c r="D1058" s="20" t="s">
        <v>6261</v>
      </c>
      <c r="E1058" s="21" t="s">
        <v>6262</v>
      </c>
      <c r="F1058" s="75" t="s">
        <v>6263</v>
      </c>
      <c r="G1058" s="24" t="s">
        <v>163</v>
      </c>
      <c r="H1058" s="13" t="s">
        <v>213</v>
      </c>
      <c r="I1058" s="34"/>
      <c r="J1058" s="35" t="s">
        <v>6264</v>
      </c>
      <c r="K1058" s="27" t="s">
        <v>50</v>
      </c>
      <c r="L1058" s="13" t="s">
        <v>6265</v>
      </c>
      <c r="M1058" s="26" t="str">
        <f>VLOOKUP(E1058,'MTS 2026 registrations'!B:B,1,false)</f>
        <v>#N/A</v>
      </c>
      <c r="N1058" s="26" t="str">
        <f>VLOOKUP(B1058,'MTS 2026 registrations'!A:A,1,false)</f>
        <v>#N/A</v>
      </c>
      <c r="O1058" s="38" t="str">
        <f t="shared" si="5"/>
        <v>Marked</v>
      </c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</row>
    <row r="1059" ht="12.75" customHeight="1">
      <c r="A1059" s="19" t="str">
        <f t="shared" si="4"/>
        <v>Jurgen Nieuwenhuijsen unknowngroup</v>
      </c>
      <c r="B1059" s="19" t="s">
        <v>6266</v>
      </c>
      <c r="C1059" s="60" t="s">
        <v>6267</v>
      </c>
      <c r="D1059" s="60" t="s">
        <v>6268</v>
      </c>
      <c r="E1059" s="62" t="s">
        <v>6269</v>
      </c>
      <c r="F1059" s="64" t="s">
        <v>1756</v>
      </c>
      <c r="G1059" s="24" t="s">
        <v>29</v>
      </c>
      <c r="H1059" s="25" t="s">
        <v>139</v>
      </c>
      <c r="I1059" s="34"/>
      <c r="J1059" s="35" t="s">
        <v>6270</v>
      </c>
      <c r="K1059" s="27" t="s">
        <v>50</v>
      </c>
      <c r="L1059" s="13" t="s">
        <v>6271</v>
      </c>
      <c r="M1059" s="26" t="str">
        <f>VLOOKUP(E1059,'MTS 2026 registrations'!B:B,1,false)</f>
        <v>#N/A</v>
      </c>
      <c r="N1059" s="26" t="str">
        <f>VLOOKUP(B1059,'MTS 2026 registrations'!A:A,1,false)</f>
        <v>#N/A</v>
      </c>
      <c r="O1059" s="38" t="str">
        <f t="shared" si="5"/>
        <v>Marked</v>
      </c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</row>
    <row r="1060" ht="12.75" customHeight="1">
      <c r="A1060" s="19" t="str">
        <f t="shared" si="4"/>
        <v>Juri Volodin Spiral Hydrogen</v>
      </c>
      <c r="B1060" s="19" t="s">
        <v>6272</v>
      </c>
      <c r="C1060" s="13" t="s">
        <v>6273</v>
      </c>
      <c r="D1060" s="13" t="s">
        <v>6274</v>
      </c>
      <c r="E1060" s="60" t="s">
        <v>6275</v>
      </c>
      <c r="F1060" s="60" t="s">
        <v>6276</v>
      </c>
      <c r="G1060" s="32" t="s">
        <v>46</v>
      </c>
      <c r="H1060" s="25" t="s">
        <v>47</v>
      </c>
      <c r="I1060" s="34"/>
      <c r="J1060" s="35" t="s">
        <v>6277</v>
      </c>
      <c r="K1060" s="27" t="s">
        <v>50</v>
      </c>
      <c r="L1060" s="13" t="s">
        <v>6278</v>
      </c>
      <c r="M1060" s="26" t="str">
        <f>VLOOKUP(E1060,'MTS 2026 registrations'!B:B,1,false)</f>
        <v>#N/A</v>
      </c>
      <c r="N1060" s="26" t="str">
        <f>VLOOKUP(B1060,'MTS 2026 registrations'!A:A,1,false)</f>
        <v>#N/A</v>
      </c>
      <c r="O1060" s="38" t="str">
        <f t="shared" si="5"/>
        <v>Marked</v>
      </c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</row>
    <row r="1061" ht="12.75" customHeight="1">
      <c r="A1061" s="19" t="str">
        <f t="shared" si="4"/>
        <v>Jussi Sainiemi Voiman Ventures</v>
      </c>
      <c r="B1061" s="19" t="s">
        <v>6279</v>
      </c>
      <c r="C1061" s="116" t="s">
        <v>6280</v>
      </c>
      <c r="D1061" s="117" t="s">
        <v>6281</v>
      </c>
      <c r="E1061" s="112" t="s">
        <v>6282</v>
      </c>
      <c r="F1061" s="66" t="s">
        <v>6283</v>
      </c>
      <c r="G1061" s="42" t="s">
        <v>163</v>
      </c>
      <c r="H1061" s="25" t="s">
        <v>164</v>
      </c>
      <c r="I1061" s="26"/>
      <c r="J1061" s="35" t="s">
        <v>6284</v>
      </c>
      <c r="K1061" s="27" t="s">
        <v>50</v>
      </c>
      <c r="L1061" s="13" t="s">
        <v>6285</v>
      </c>
      <c r="M1061" s="26" t="str">
        <f>VLOOKUP(E1061,'MTS 2026 registrations'!B:B,1,false)</f>
        <v>#N/A</v>
      </c>
      <c r="N1061" s="26" t="str">
        <f>VLOOKUP(B1061,'MTS 2026 registrations'!A:A,1,false)</f>
        <v>#N/A</v>
      </c>
      <c r="O1061" s="38" t="str">
        <f t="shared" si="5"/>
        <v>Marked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</row>
    <row r="1062" ht="12.75" customHeight="1">
      <c r="A1062" s="19" t="str">
        <f t="shared" si="4"/>
        <v>Just van den Hoek minezk</v>
      </c>
      <c r="B1062" s="19" t="s">
        <v>6286</v>
      </c>
      <c r="C1062" s="60" t="s">
        <v>6287</v>
      </c>
      <c r="D1062" s="60" t="s">
        <v>6288</v>
      </c>
      <c r="E1062" s="62" t="s">
        <v>6289</v>
      </c>
      <c r="F1062" s="64" t="s">
        <v>5114</v>
      </c>
      <c r="G1062" s="42" t="s">
        <v>323</v>
      </c>
      <c r="H1062" s="25" t="s">
        <v>139</v>
      </c>
      <c r="I1062" s="23"/>
      <c r="J1062" s="35" t="s">
        <v>6290</v>
      </c>
      <c r="K1062" s="27" t="s">
        <v>50</v>
      </c>
      <c r="L1062" s="27" t="s">
        <v>6291</v>
      </c>
      <c r="M1062" s="26" t="str">
        <f>VLOOKUP(E1062,'MTS 2026 registrations'!B:B,1,false)</f>
        <v>#N/A</v>
      </c>
      <c r="N1062" s="26" t="str">
        <f>VLOOKUP(B1062,'MTS 2026 registrations'!A:A,1,false)</f>
        <v>#N/A</v>
      </c>
      <c r="O1062" s="38" t="str">
        <f t="shared" si="5"/>
        <v>Marked</v>
      </c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34"/>
      <c r="AE1062" s="34"/>
    </row>
    <row r="1063" ht="12.75" customHeight="1">
      <c r="A1063" s="19" t="str">
        <f t="shared" si="4"/>
        <v>Just Schornagel slamortho</v>
      </c>
      <c r="B1063" s="19" t="s">
        <v>6292</v>
      </c>
      <c r="C1063" s="20" t="s">
        <v>6287</v>
      </c>
      <c r="D1063" s="20" t="s">
        <v>6293</v>
      </c>
      <c r="E1063" s="112" t="s">
        <v>6294</v>
      </c>
      <c r="F1063" s="23" t="s">
        <v>6295</v>
      </c>
      <c r="G1063" s="32" t="s">
        <v>46</v>
      </c>
      <c r="H1063" s="25" t="s">
        <v>47</v>
      </c>
      <c r="I1063" s="23"/>
      <c r="J1063" s="35" t="s">
        <v>6296</v>
      </c>
      <c r="K1063" s="27" t="s">
        <v>50</v>
      </c>
      <c r="L1063" s="13" t="s">
        <v>6297</v>
      </c>
      <c r="M1063" s="26" t="str">
        <f>VLOOKUP(E1063,'MTS 2026 registrations'!B:B,1,false)</f>
        <v>#N/A</v>
      </c>
      <c r="N1063" s="26" t="str">
        <f>VLOOKUP(B1063,'MTS 2026 registrations'!A:A,1,false)</f>
        <v>#N/A</v>
      </c>
      <c r="O1063" s="38" t="str">
        <f t="shared" si="5"/>
        <v>Marked</v>
      </c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34"/>
      <c r="AE1063" s="34"/>
    </row>
    <row r="1064" ht="12.75" customHeight="1">
      <c r="A1064" s="19" t="str">
        <f t="shared" si="4"/>
        <v>Justin Dauwels tudelft</v>
      </c>
      <c r="B1064" s="19" t="s">
        <v>6298</v>
      </c>
      <c r="C1064" s="29" t="s">
        <v>6299</v>
      </c>
      <c r="D1064" s="29" t="s">
        <v>6300</v>
      </c>
      <c r="E1064" s="30" t="s">
        <v>6301</v>
      </c>
      <c r="F1064" s="29" t="s">
        <v>184</v>
      </c>
      <c r="G1064" s="32" t="s">
        <v>43</v>
      </c>
      <c r="H1064" s="13" t="s">
        <v>213</v>
      </c>
      <c r="I1064" s="34"/>
      <c r="J1064" s="35" t="s">
        <v>6302</v>
      </c>
      <c r="K1064" s="27" t="s">
        <v>50</v>
      </c>
      <c r="L1064" s="13" t="s">
        <v>6303</v>
      </c>
      <c r="M1064" s="26" t="str">
        <f>VLOOKUP(E1064,'MTS 2026 registrations'!B:B,1,false)</f>
        <v>#N/A</v>
      </c>
      <c r="N1064" s="26" t="str">
        <f>VLOOKUP(B1064,'MTS 2026 registrations'!A:A,1,false)</f>
        <v>#N/A</v>
      </c>
      <c r="O1064" s="38" t="str">
        <f t="shared" si="5"/>
        <v>Marked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34"/>
      <c r="AE1064" s="34"/>
    </row>
    <row r="1065" ht="12.75" customHeight="1">
      <c r="A1065" s="19" t="str">
        <f t="shared" si="4"/>
        <v>Justin Kok tudelft</v>
      </c>
      <c r="B1065" s="19" t="s">
        <v>6304</v>
      </c>
      <c r="C1065" s="20" t="s">
        <v>6299</v>
      </c>
      <c r="D1065" s="20" t="s">
        <v>421</v>
      </c>
      <c r="E1065" s="21" t="s">
        <v>6305</v>
      </c>
      <c r="F1065" s="52" t="s">
        <v>184</v>
      </c>
      <c r="G1065" s="32" t="s">
        <v>43</v>
      </c>
      <c r="H1065" s="25" t="s">
        <v>139</v>
      </c>
      <c r="I1065" s="26"/>
      <c r="J1065" s="35" t="s">
        <v>6306</v>
      </c>
      <c r="K1065" s="27" t="s">
        <v>50</v>
      </c>
      <c r="L1065" s="27" t="s">
        <v>6307</v>
      </c>
      <c r="M1065" s="26" t="str">
        <f>VLOOKUP(E1065,'MTS 2026 registrations'!B:B,1,false)</f>
        <v>#N/A</v>
      </c>
      <c r="N1065" s="26" t="str">
        <f>VLOOKUP(B1065,'MTS 2026 registrations'!A:A,1,false)</f>
        <v>#N/A</v>
      </c>
      <c r="O1065" s="38" t="str">
        <f t="shared" si="5"/>
        <v>Marked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34"/>
      <c r="AE1065" s="34"/>
    </row>
    <row r="1066" ht="12.75" customHeight="1">
      <c r="A1066" s="19" t="str">
        <f t="shared" si="4"/>
        <v>Justin Fourie Gyrafit</v>
      </c>
      <c r="B1066" s="19" t="s">
        <v>6308</v>
      </c>
      <c r="C1066" s="29" t="s">
        <v>6299</v>
      </c>
      <c r="D1066" s="29" t="s">
        <v>6309</v>
      </c>
      <c r="E1066" s="31" t="s">
        <v>6310</v>
      </c>
      <c r="F1066" s="33" t="s">
        <v>6311</v>
      </c>
      <c r="G1066" s="24" t="s">
        <v>46</v>
      </c>
      <c r="H1066" s="25" t="s">
        <v>47</v>
      </c>
      <c r="I1066" s="34"/>
      <c r="J1066" s="35" t="s">
        <v>6312</v>
      </c>
      <c r="K1066" s="27" t="s">
        <v>50</v>
      </c>
      <c r="L1066" s="13" t="s">
        <v>6313</v>
      </c>
      <c r="M1066" s="26" t="str">
        <f>VLOOKUP(E1066,'MTS 2026 registrations'!B:B,1,false)</f>
        <v>#N/A</v>
      </c>
      <c r="N1066" s="26" t="str">
        <f>VLOOKUP(B1066,'MTS 2026 registrations'!A:A,1,false)</f>
        <v>#N/A</v>
      </c>
      <c r="O1066" s="38" t="str">
        <f t="shared" si="5"/>
        <v>Marked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</row>
    <row r="1067" ht="12.75" customHeight="1">
      <c r="A1067" s="19" t="str">
        <f t="shared" si="4"/>
        <v>Kaj Burchardi bcgplatinion</v>
      </c>
      <c r="B1067" s="19" t="s">
        <v>6314</v>
      </c>
      <c r="C1067" s="20" t="s">
        <v>6315</v>
      </c>
      <c r="D1067" s="20" t="s">
        <v>6316</v>
      </c>
      <c r="E1067" s="88" t="s">
        <v>6317</v>
      </c>
      <c r="F1067" s="23" t="s">
        <v>6318</v>
      </c>
      <c r="G1067" s="24" t="s">
        <v>225</v>
      </c>
      <c r="H1067" s="25" t="s">
        <v>47</v>
      </c>
      <c r="I1067" s="26"/>
      <c r="J1067" s="35" t="s">
        <v>6319</v>
      </c>
      <c r="K1067" s="27" t="s">
        <v>50</v>
      </c>
      <c r="L1067" s="13" t="s">
        <v>6320</v>
      </c>
      <c r="M1067" s="26" t="str">
        <f>VLOOKUP(E1067,'MTS 2026 registrations'!B:B,1,false)</f>
        <v>#N/A</v>
      </c>
      <c r="N1067" s="26" t="str">
        <f>VLOOKUP(B1067,'MTS 2026 registrations'!A:A,1,false)</f>
        <v>#N/A</v>
      </c>
      <c r="O1067" s="38" t="str">
        <f t="shared" si="5"/>
        <v>Marked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</row>
    <row r="1068" ht="12.75" customHeight="1">
      <c r="A1068" s="19" t="str">
        <f t="shared" si="4"/>
        <v>Karel Van Cleemput korys</v>
      </c>
      <c r="B1068" s="19" t="s">
        <v>6321</v>
      </c>
      <c r="C1068" s="20" t="s">
        <v>6322</v>
      </c>
      <c r="D1068" s="20" t="s">
        <v>6323</v>
      </c>
      <c r="E1068" s="21" t="s">
        <v>6324</v>
      </c>
      <c r="F1068" s="23" t="s">
        <v>4658</v>
      </c>
      <c r="G1068" s="24" t="s">
        <v>163</v>
      </c>
      <c r="H1068" s="25" t="s">
        <v>164</v>
      </c>
      <c r="I1068" s="34"/>
      <c r="J1068" s="35" t="s">
        <v>6325</v>
      </c>
      <c r="K1068" s="27" t="s">
        <v>50</v>
      </c>
      <c r="L1068" s="13" t="s">
        <v>6326</v>
      </c>
      <c r="M1068" s="26" t="str">
        <f>VLOOKUP(E1068,'MTS 2026 registrations'!B:B,1,false)</f>
        <v>#N/A</v>
      </c>
      <c r="N1068" s="26" t="str">
        <f>VLOOKUP(B1068,'MTS 2026 registrations'!A:A,1,false)</f>
        <v>#N/A</v>
      </c>
      <c r="O1068" s="38" t="str">
        <f t="shared" si="5"/>
        <v>Marked</v>
      </c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</row>
    <row r="1069" ht="12.75" customHeight="1">
      <c r="A1069" s="19" t="str">
        <f t="shared" si="4"/>
        <v>Karina Czapiewska Blue21 (DeltaSync)</v>
      </c>
      <c r="B1069" s="19" t="s">
        <v>6327</v>
      </c>
      <c r="C1069" s="29" t="s">
        <v>1282</v>
      </c>
      <c r="D1069" s="29" t="s">
        <v>6328</v>
      </c>
      <c r="E1069" s="31" t="s">
        <v>6329</v>
      </c>
      <c r="F1069" s="33" t="s">
        <v>2901</v>
      </c>
      <c r="G1069" s="32" t="s">
        <v>46</v>
      </c>
      <c r="H1069" s="25" t="s">
        <v>47</v>
      </c>
      <c r="I1069" s="34"/>
      <c r="J1069" s="35" t="s">
        <v>6330</v>
      </c>
      <c r="K1069" s="27" t="s">
        <v>50</v>
      </c>
      <c r="L1069" s="13" t="s">
        <v>6331</v>
      </c>
      <c r="M1069" s="26" t="str">
        <f>VLOOKUP(E1069,'MTS 2026 registrations'!B:B,1,false)</f>
        <v>#N/A</v>
      </c>
      <c r="N1069" s="26" t="str">
        <f>VLOOKUP(B1069,'MTS 2026 registrations'!A:A,1,false)</f>
        <v>#N/A</v>
      </c>
      <c r="O1069" s="38" t="str">
        <f t="shared" si="5"/>
        <v>Marked</v>
      </c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</row>
    <row r="1070" ht="12.75" customHeight="1">
      <c r="A1070" s="19" t="str">
        <f t="shared" si="4"/>
        <v>Kars Veling karsveling</v>
      </c>
      <c r="B1070" s="19" t="s">
        <v>6332</v>
      </c>
      <c r="C1070" s="29" t="s">
        <v>6333</v>
      </c>
      <c r="D1070" s="29" t="s">
        <v>6334</v>
      </c>
      <c r="E1070" s="30" t="s">
        <v>6335</v>
      </c>
      <c r="F1070" s="29" t="s">
        <v>6336</v>
      </c>
      <c r="G1070" s="32" t="s">
        <v>1306</v>
      </c>
      <c r="H1070" s="13" t="s">
        <v>213</v>
      </c>
      <c r="I1070" s="34"/>
      <c r="J1070" s="35" t="s">
        <v>6337</v>
      </c>
      <c r="K1070" s="27" t="s">
        <v>50</v>
      </c>
      <c r="L1070" s="13" t="s">
        <v>6338</v>
      </c>
      <c r="M1070" s="26" t="str">
        <f>VLOOKUP(E1070,'MTS 2026 registrations'!B:B,1,false)</f>
        <v>#N/A</v>
      </c>
      <c r="N1070" s="26" t="str">
        <f>VLOOKUP(B1070,'MTS 2026 registrations'!A:A,1,false)</f>
        <v>#N/A</v>
      </c>
      <c r="O1070" s="38" t="str">
        <f t="shared" si="5"/>
        <v>Marked</v>
      </c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</row>
    <row r="1071" ht="12.75" customHeight="1">
      <c r="A1071" s="19" t="str">
        <f t="shared" si="4"/>
        <v>Karthik Kannan Envision</v>
      </c>
      <c r="B1071" s="19" t="s">
        <v>6339</v>
      </c>
      <c r="C1071" s="20" t="s">
        <v>6340</v>
      </c>
      <c r="D1071" s="20" t="s">
        <v>6341</v>
      </c>
      <c r="E1071" s="112" t="s">
        <v>6342</v>
      </c>
      <c r="F1071" s="23" t="s">
        <v>6343</v>
      </c>
      <c r="G1071" s="44" t="s">
        <v>46</v>
      </c>
      <c r="H1071" s="25" t="s">
        <v>47</v>
      </c>
      <c r="I1071" s="34"/>
      <c r="J1071" s="35" t="s">
        <v>6344</v>
      </c>
      <c r="K1071" s="27" t="s">
        <v>50</v>
      </c>
      <c r="L1071" s="13" t="s">
        <v>6345</v>
      </c>
      <c r="M1071" s="26" t="str">
        <f>VLOOKUP(E1071,'MTS 2026 registrations'!B:B,1,false)</f>
        <v>#N/A</v>
      </c>
      <c r="N1071" s="26" t="str">
        <f>VLOOKUP(B1071,'MTS 2026 registrations'!A:A,1,false)</f>
        <v>#N/A</v>
      </c>
      <c r="O1071" s="38" t="str">
        <f t="shared" si="5"/>
        <v>Marked</v>
      </c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</row>
    <row r="1072" ht="12.75" customHeight="1">
      <c r="A1072" s="19" t="str">
        <f t="shared" si="4"/>
        <v>Karthik Mahadevan letsenvision</v>
      </c>
      <c r="B1072" s="19" t="s">
        <v>6346</v>
      </c>
      <c r="C1072" s="29" t="s">
        <v>6340</v>
      </c>
      <c r="D1072" s="29" t="s">
        <v>6347</v>
      </c>
      <c r="E1072" s="30" t="s">
        <v>6348</v>
      </c>
      <c r="F1072" s="29" t="s">
        <v>6349</v>
      </c>
      <c r="G1072" s="32" t="s">
        <v>46</v>
      </c>
      <c r="H1072" s="13" t="s">
        <v>213</v>
      </c>
      <c r="J1072" s="35" t="s">
        <v>6350</v>
      </c>
      <c r="K1072" s="27" t="s">
        <v>50</v>
      </c>
      <c r="L1072" s="13" t="s">
        <v>6351</v>
      </c>
      <c r="M1072" s="26" t="str">
        <f>VLOOKUP(E1072,'MTS 2026 registrations'!B:B,1,false)</f>
        <v>#N/A</v>
      </c>
      <c r="N1072" s="26" t="str">
        <f>VLOOKUP(B1072,'MTS 2026 registrations'!A:A,1,false)</f>
        <v>#N/A</v>
      </c>
      <c r="O1072" s="38" t="str">
        <f t="shared" si="5"/>
        <v>Marked</v>
      </c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</row>
    <row r="1073" ht="12.75" customHeight="1">
      <c r="A1073" s="19" t="str">
        <f t="shared" si="4"/>
        <v>Kas van Roekel CO2Zero</v>
      </c>
      <c r="B1073" s="19" t="s">
        <v>6352</v>
      </c>
      <c r="C1073" s="29" t="s">
        <v>6353</v>
      </c>
      <c r="D1073" s="29" t="s">
        <v>6354</v>
      </c>
      <c r="E1073" s="31" t="s">
        <v>6355</v>
      </c>
      <c r="F1073" s="113" t="s">
        <v>1017</v>
      </c>
      <c r="G1073" s="32" t="s">
        <v>46</v>
      </c>
      <c r="H1073" s="25" t="s">
        <v>47</v>
      </c>
      <c r="I1073" s="34"/>
      <c r="J1073" s="35" t="s">
        <v>6356</v>
      </c>
      <c r="K1073" s="27" t="s">
        <v>50</v>
      </c>
      <c r="L1073" s="13" t="s">
        <v>6357</v>
      </c>
      <c r="M1073" s="26" t="str">
        <f>VLOOKUP(E1073,'MTS 2026 registrations'!B:B,1,false)</f>
        <v>#N/A</v>
      </c>
      <c r="N1073" s="26" t="str">
        <f>VLOOKUP(B1073,'MTS 2026 registrations'!A:A,1,false)</f>
        <v>#N/A</v>
      </c>
      <c r="O1073" s="38" t="str">
        <f t="shared" si="5"/>
        <v>Marked</v>
      </c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</row>
    <row r="1074" ht="12.75" customHeight="1">
      <c r="A1074" s="19" t="str">
        <f t="shared" si="4"/>
        <v>Kas Hogeboom LYLA (Leading Your Laboratory Advancement)</v>
      </c>
      <c r="B1074" s="19" t="s">
        <v>6358</v>
      </c>
      <c r="C1074" s="29" t="s">
        <v>6353</v>
      </c>
      <c r="D1074" s="29" t="s">
        <v>6359</v>
      </c>
      <c r="E1074" s="128" t="s">
        <v>6360</v>
      </c>
      <c r="F1074" s="113" t="s">
        <v>2364</v>
      </c>
      <c r="G1074" s="32" t="s">
        <v>46</v>
      </c>
      <c r="H1074" s="25" t="s">
        <v>47</v>
      </c>
      <c r="I1074" s="23"/>
      <c r="J1074" s="35" t="s">
        <v>6361</v>
      </c>
      <c r="K1074" s="27" t="s">
        <v>50</v>
      </c>
      <c r="L1074" s="13" t="s">
        <v>6362</v>
      </c>
      <c r="M1074" s="26" t="str">
        <f>VLOOKUP(E1074,'MTS 2026 registrations'!B:B,1,false)</f>
        <v>#N/A</v>
      </c>
      <c r="N1074" s="26" t="str">
        <f>VLOOKUP(B1074,'MTS 2026 registrations'!A:A,1,false)</f>
        <v>#N/A</v>
      </c>
      <c r="O1074" s="38" t="str">
        <f t="shared" si="5"/>
        <v>Marked</v>
      </c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34"/>
      <c r="AE1074" s="34"/>
    </row>
    <row r="1075" ht="12.75" customHeight="1">
      <c r="A1075" s="19" t="str">
        <f t="shared" si="4"/>
        <v>Katinka Ros doen</v>
      </c>
      <c r="B1075" s="19" t="s">
        <v>6363</v>
      </c>
      <c r="C1075" s="20" t="s">
        <v>6364</v>
      </c>
      <c r="D1075" s="20" t="s">
        <v>6365</v>
      </c>
      <c r="E1075" s="21" t="s">
        <v>6366</v>
      </c>
      <c r="F1075" s="23" t="s">
        <v>6367</v>
      </c>
      <c r="G1075" s="24" t="s">
        <v>163</v>
      </c>
      <c r="H1075" s="25" t="s">
        <v>164</v>
      </c>
      <c r="I1075" s="34"/>
      <c r="J1075" s="35" t="s">
        <v>6368</v>
      </c>
      <c r="K1075" s="27" t="s">
        <v>50</v>
      </c>
      <c r="L1075" s="13" t="s">
        <v>6369</v>
      </c>
      <c r="M1075" s="26" t="str">
        <f>VLOOKUP(E1075,'MTS 2026 registrations'!B:B,1,false)</f>
        <v>#N/A</v>
      </c>
      <c r="N1075" s="26" t="str">
        <f>VLOOKUP(B1075,'MTS 2026 registrations'!A:A,1,false)</f>
        <v>#N/A</v>
      </c>
      <c r="O1075" s="38" t="str">
        <f t="shared" si="5"/>
        <v>Marked</v>
      </c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</row>
    <row r="1076" ht="12.75" customHeight="1">
      <c r="A1076" s="19" t="str">
        <f t="shared" si="4"/>
        <v>Kee Koopmans goeie-grutten</v>
      </c>
      <c r="B1076" s="19" t="s">
        <v>6370</v>
      </c>
      <c r="C1076" s="20" t="s">
        <v>6371</v>
      </c>
      <c r="D1076" s="20" t="s">
        <v>6372</v>
      </c>
      <c r="E1076" s="21" t="s">
        <v>6373</v>
      </c>
      <c r="F1076" s="23" t="s">
        <v>6374</v>
      </c>
      <c r="G1076" s="24" t="s">
        <v>163</v>
      </c>
      <c r="H1076" s="25" t="s">
        <v>164</v>
      </c>
      <c r="I1076" s="34"/>
      <c r="J1076" s="35" t="s">
        <v>6375</v>
      </c>
      <c r="K1076" s="27" t="s">
        <v>50</v>
      </c>
      <c r="L1076" s="13" t="s">
        <v>6376</v>
      </c>
      <c r="M1076" s="26" t="str">
        <f>VLOOKUP(E1076,'MTS 2026 registrations'!B:B,1,false)</f>
        <v>#N/A</v>
      </c>
      <c r="N1076" s="26" t="str">
        <f>VLOOKUP(B1076,'MTS 2026 registrations'!A:A,1,false)</f>
        <v>#N/A</v>
      </c>
      <c r="O1076" s="38" t="str">
        <f t="shared" si="5"/>
        <v>Marked</v>
      </c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</row>
    <row r="1077" ht="12.75" customHeight="1">
      <c r="A1077" s="19" t="str">
        <f t="shared" si="4"/>
        <v>Kelbey Wheeler benedictpeax</v>
      </c>
      <c r="B1077" s="19" t="s">
        <v>6377</v>
      </c>
      <c r="C1077" s="60" t="s">
        <v>6378</v>
      </c>
      <c r="D1077" s="60" t="s">
        <v>6379</v>
      </c>
      <c r="E1077" s="62" t="s">
        <v>6380</v>
      </c>
      <c r="F1077" s="64" t="s">
        <v>2195</v>
      </c>
      <c r="G1077" s="24" t="s">
        <v>1447</v>
      </c>
      <c r="H1077" s="25" t="s">
        <v>139</v>
      </c>
      <c r="I1077" s="34"/>
      <c r="J1077" s="35" t="s">
        <v>6381</v>
      </c>
      <c r="K1077" s="27" t="s">
        <v>50</v>
      </c>
      <c r="L1077" s="13" t="s">
        <v>6382</v>
      </c>
      <c r="M1077" s="26" t="str">
        <f>VLOOKUP(E1077,'MTS 2026 registrations'!B:B,1,false)</f>
        <v>#N/A</v>
      </c>
      <c r="N1077" s="26" t="str">
        <f>VLOOKUP(B1077,'MTS 2026 registrations'!A:A,1,false)</f>
        <v>#N/A</v>
      </c>
      <c r="O1077" s="38" t="str">
        <f t="shared" si="5"/>
        <v>Marked</v>
      </c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</row>
    <row r="1078" ht="12.75" customHeight="1">
      <c r="A1078" s="19" t="str">
        <f t="shared" si="4"/>
        <v>Ken Fleming fizyr</v>
      </c>
      <c r="B1078" s="19" t="s">
        <v>6383</v>
      </c>
      <c r="C1078" s="29" t="s">
        <v>2597</v>
      </c>
      <c r="D1078" s="29" t="s">
        <v>6384</v>
      </c>
      <c r="E1078" s="30" t="s">
        <v>6385</v>
      </c>
      <c r="F1078" s="29" t="s">
        <v>2461</v>
      </c>
      <c r="G1078" s="32" t="s">
        <v>46</v>
      </c>
      <c r="H1078" s="13" t="s">
        <v>213</v>
      </c>
      <c r="I1078" s="34"/>
      <c r="J1078" s="35" t="s">
        <v>6386</v>
      </c>
      <c r="K1078" s="27" t="s">
        <v>50</v>
      </c>
      <c r="L1078" s="13" t="s">
        <v>6387</v>
      </c>
      <c r="M1078" s="26" t="str">
        <f>VLOOKUP(E1078,'MTS 2026 registrations'!B:B,1,false)</f>
        <v>#N/A</v>
      </c>
      <c r="N1078" s="26" t="str">
        <f>VLOOKUP(B1078,'MTS 2026 registrations'!A:A,1,false)</f>
        <v>#N/A</v>
      </c>
      <c r="O1078" s="38" t="str">
        <f t="shared" si="5"/>
        <v>Marked</v>
      </c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</row>
    <row r="1079" ht="12.75" customHeight="1">
      <c r="A1079" s="19" t="str">
        <f t="shared" si="4"/>
        <v>Kenneth Heijns tudelft</v>
      </c>
      <c r="B1079" s="19" t="s">
        <v>6388</v>
      </c>
      <c r="C1079" s="60" t="s">
        <v>6389</v>
      </c>
      <c r="D1079" s="60" t="s">
        <v>6390</v>
      </c>
      <c r="E1079" s="62" t="s">
        <v>6391</v>
      </c>
      <c r="F1079" s="64" t="s">
        <v>184</v>
      </c>
      <c r="G1079" s="42" t="s">
        <v>43</v>
      </c>
      <c r="H1079" s="25" t="s">
        <v>139</v>
      </c>
      <c r="I1079" s="34"/>
      <c r="J1079" s="35" t="s">
        <v>6392</v>
      </c>
      <c r="K1079" s="27" t="s">
        <v>50</v>
      </c>
      <c r="L1079" s="13" t="s">
        <v>6393</v>
      </c>
      <c r="M1079" s="26" t="str">
        <f>VLOOKUP(E1079,'MTS 2026 registrations'!B:B,1,false)</f>
        <v>#N/A</v>
      </c>
      <c r="N1079" s="26" t="str">
        <f>VLOOKUP(B1079,'MTS 2026 registrations'!A:A,1,false)</f>
        <v>#N/A</v>
      </c>
      <c r="O1079" s="38" t="str">
        <f t="shared" si="5"/>
        <v>Marked</v>
      </c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23"/>
      <c r="AE1079" s="23"/>
    </row>
    <row r="1080" ht="12.75" customHeight="1">
      <c r="A1080" s="19" t="str">
        <f t="shared" si="4"/>
        <v>Kerim Haccou ans.app</v>
      </c>
      <c r="B1080" s="19" t="s">
        <v>6394</v>
      </c>
      <c r="C1080" s="20" t="s">
        <v>6395</v>
      </c>
      <c r="D1080" s="20" t="s">
        <v>6396</v>
      </c>
      <c r="E1080" s="21" t="s">
        <v>6397</v>
      </c>
      <c r="F1080" s="23" t="s">
        <v>3695</v>
      </c>
      <c r="G1080" s="32" t="s">
        <v>46</v>
      </c>
      <c r="H1080" s="25" t="s">
        <v>47</v>
      </c>
      <c r="I1080" s="26"/>
      <c r="J1080" s="35" t="s">
        <v>6398</v>
      </c>
      <c r="K1080" s="27" t="s">
        <v>50</v>
      </c>
      <c r="L1080" s="13" t="s">
        <v>6399</v>
      </c>
      <c r="M1080" s="26" t="str">
        <f>VLOOKUP(E1080,'MTS 2026 registrations'!B:B,1,false)</f>
        <v>#N/A</v>
      </c>
      <c r="N1080" s="26" t="str">
        <f>VLOOKUP(B1080,'MTS 2026 registrations'!A:A,1,false)</f>
        <v>#N/A</v>
      </c>
      <c r="O1080" s="38" t="str">
        <f t="shared" si="5"/>
        <v>Marked</v>
      </c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23"/>
      <c r="AE1080" s="23"/>
    </row>
    <row r="1081" ht="12.75" customHeight="1">
      <c r="A1081" s="19" t="str">
        <f t="shared" si="4"/>
        <v>Kevin van Hecke pats-drones</v>
      </c>
      <c r="B1081" s="19" t="s">
        <v>6400</v>
      </c>
      <c r="C1081" s="20" t="s">
        <v>6401</v>
      </c>
      <c r="D1081" s="20" t="s">
        <v>6402</v>
      </c>
      <c r="E1081" s="21" t="s">
        <v>6403</v>
      </c>
      <c r="F1081" s="23" t="s">
        <v>6404</v>
      </c>
      <c r="G1081" s="32" t="s">
        <v>46</v>
      </c>
      <c r="H1081" s="25" t="s">
        <v>47</v>
      </c>
      <c r="I1081" s="34"/>
      <c r="J1081" s="35" t="s">
        <v>6405</v>
      </c>
      <c r="K1081" s="27" t="s">
        <v>50</v>
      </c>
      <c r="L1081" s="13" t="s">
        <v>6406</v>
      </c>
      <c r="M1081" s="26" t="str">
        <f>VLOOKUP(E1081,'MTS 2026 registrations'!B:B,1,false)</f>
        <v>#N/A</v>
      </c>
      <c r="N1081" s="26" t="str">
        <f>VLOOKUP(B1081,'MTS 2026 registrations'!A:A,1,false)</f>
        <v>#N/A</v>
      </c>
      <c r="O1081" s="38" t="str">
        <f t="shared" si="5"/>
        <v>Marked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</row>
    <row r="1082" ht="12.75" customHeight="1">
      <c r="A1082" s="19" t="str">
        <f t="shared" si="4"/>
        <v>Khashayar Mansourizadeh starnustech</v>
      </c>
      <c r="B1082" s="19" t="s">
        <v>6407</v>
      </c>
      <c r="C1082" s="20" t="s">
        <v>6408</v>
      </c>
      <c r="D1082" s="20" t="s">
        <v>6409</v>
      </c>
      <c r="E1082" s="21" t="s">
        <v>6410</v>
      </c>
      <c r="F1082" s="23" t="s">
        <v>1319</v>
      </c>
      <c r="G1082" s="32" t="s">
        <v>46</v>
      </c>
      <c r="H1082" s="25" t="s">
        <v>47</v>
      </c>
      <c r="I1082" s="34"/>
      <c r="J1082" s="35" t="s">
        <v>6411</v>
      </c>
      <c r="K1082" s="27" t="s">
        <v>50</v>
      </c>
      <c r="L1082" s="13" t="s">
        <v>6412</v>
      </c>
      <c r="M1082" s="26" t="str">
        <f>VLOOKUP(E1082,'MTS 2026 registrations'!B:B,1,false)</f>
        <v>#N/A</v>
      </c>
      <c r="N1082" s="26" t="str">
        <f>VLOOKUP(B1082,'MTS 2026 registrations'!A:A,1,false)</f>
        <v>#N/A</v>
      </c>
      <c r="O1082" s="38" t="str">
        <f t="shared" si="5"/>
        <v>Marked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</row>
    <row r="1083" ht="12.75" customHeight="1">
      <c r="A1083" s="19" t="str">
        <f t="shared" si="4"/>
        <v>Khuram Hussain Inbox2</v>
      </c>
      <c r="B1083" s="19" t="s">
        <v>6413</v>
      </c>
      <c r="C1083" s="29" t="s">
        <v>6414</v>
      </c>
      <c r="D1083" s="29" t="s">
        <v>6415</v>
      </c>
      <c r="E1083" s="62" t="s">
        <v>6416</v>
      </c>
      <c r="F1083" s="50" t="s">
        <v>6417</v>
      </c>
      <c r="G1083" s="32" t="s">
        <v>46</v>
      </c>
      <c r="H1083" s="25" t="s">
        <v>139</v>
      </c>
      <c r="I1083" s="34"/>
      <c r="J1083" s="35" t="s">
        <v>6418</v>
      </c>
      <c r="K1083" s="27" t="s">
        <v>50</v>
      </c>
      <c r="L1083" s="13" t="s">
        <v>6419</v>
      </c>
      <c r="M1083" s="26" t="str">
        <f>VLOOKUP(E1083,'MTS 2026 registrations'!B:B,1,false)</f>
        <v>#N/A</v>
      </c>
      <c r="N1083" s="26" t="str">
        <f>VLOOKUP(B1083,'MTS 2026 registrations'!A:A,1,false)</f>
        <v>#N/A</v>
      </c>
      <c r="O1083" s="38" t="str">
        <f t="shared" si="5"/>
        <v>Marked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</row>
    <row r="1084" ht="12.75" customHeight="1">
      <c r="A1084" s="19" t="str">
        <f t="shared" si="4"/>
        <v>Kiran van Hall Aleph Cognito</v>
      </c>
      <c r="B1084" s="19" t="s">
        <v>6420</v>
      </c>
      <c r="C1084" s="112" t="s">
        <v>6421</v>
      </c>
      <c r="D1084" s="60" t="s">
        <v>5662</v>
      </c>
      <c r="E1084" s="62" t="s">
        <v>6422</v>
      </c>
      <c r="F1084" s="50" t="s">
        <v>6423</v>
      </c>
      <c r="G1084" s="24" t="s">
        <v>750</v>
      </c>
      <c r="H1084" s="25" t="s">
        <v>31</v>
      </c>
      <c r="I1084" s="23"/>
      <c r="J1084" s="35" t="s">
        <v>6424</v>
      </c>
      <c r="K1084" s="27" t="s">
        <v>50</v>
      </c>
      <c r="L1084" s="13" t="s">
        <v>6425</v>
      </c>
      <c r="M1084" s="26" t="str">
        <f>VLOOKUP(E1084,'MTS 2026 registrations'!B:B,1,false)</f>
        <v>#N/A</v>
      </c>
      <c r="N1084" s="26" t="str">
        <f>VLOOKUP(B1084,'MTS 2026 registrations'!A:A,1,false)</f>
        <v>#N/A</v>
      </c>
      <c r="O1084" s="38" t="str">
        <f t="shared" si="5"/>
        <v>Marked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</row>
    <row r="1085" ht="12.75" customHeight="1">
      <c r="A1085" s="19" t="str">
        <f t="shared" si="4"/>
        <v>Kirsten Steinbusch DAB Bio Delft Advanced Biorenewables</v>
      </c>
      <c r="B1085" s="19" t="s">
        <v>6426</v>
      </c>
      <c r="C1085" s="29" t="s">
        <v>2603</v>
      </c>
      <c r="D1085" s="29" t="s">
        <v>6427</v>
      </c>
      <c r="E1085" s="157" t="s">
        <v>6428</v>
      </c>
      <c r="F1085" s="33" t="s">
        <v>3507</v>
      </c>
      <c r="G1085" s="32" t="s">
        <v>46</v>
      </c>
      <c r="H1085" s="25" t="s">
        <v>47</v>
      </c>
      <c r="I1085" s="34"/>
      <c r="J1085" s="35" t="s">
        <v>6429</v>
      </c>
      <c r="K1085" s="27" t="s">
        <v>50</v>
      </c>
      <c r="L1085" s="13" t="s">
        <v>6430</v>
      </c>
      <c r="M1085" s="26" t="str">
        <f>VLOOKUP(E1085,'MTS 2026 registrations'!B:B,1,false)</f>
        <v>#N/A</v>
      </c>
      <c r="N1085" s="26" t="str">
        <f>VLOOKUP(B1085,'MTS 2026 registrations'!A:A,1,false)</f>
        <v>#N/A</v>
      </c>
      <c r="O1085" s="38" t="str">
        <f t="shared" si="5"/>
        <v>Marked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</row>
    <row r="1086" ht="12.75" customHeight="1">
      <c r="A1086" s="19" t="str">
        <f t="shared" si="4"/>
        <v>Kiziltan Yuceil Niterra</v>
      </c>
      <c r="B1086" s="19" t="s">
        <v>6431</v>
      </c>
      <c r="C1086" s="20" t="s">
        <v>6432</v>
      </c>
      <c r="D1086" s="20" t="s">
        <v>6433</v>
      </c>
      <c r="E1086" s="21" t="s">
        <v>6434</v>
      </c>
      <c r="F1086" s="49" t="s">
        <v>6435</v>
      </c>
      <c r="G1086" s="24" t="s">
        <v>163</v>
      </c>
      <c r="H1086" s="26" t="s">
        <v>164</v>
      </c>
      <c r="I1086" s="13"/>
      <c r="J1086" s="35" t="s">
        <v>6436</v>
      </c>
      <c r="K1086" s="27" t="s">
        <v>50</v>
      </c>
      <c r="L1086" s="25" t="s">
        <v>6437</v>
      </c>
      <c r="M1086" s="26" t="str">
        <f>VLOOKUP(E1086,'MTS 2026 registrations'!B:B,1,false)</f>
        <v>#N/A</v>
      </c>
      <c r="N1086" s="26" t="str">
        <f>VLOOKUP(B1086,'MTS 2026 registrations'!A:A,1,false)</f>
        <v>#N/A</v>
      </c>
      <c r="O1086" s="38" t="str">
        <f t="shared" si="5"/>
        <v>Marked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</row>
    <row r="1087" ht="12.75" customHeight="1">
      <c r="A1087" s="19" t="str">
        <f t="shared" si="4"/>
        <v>Kjell Mortier noval.is</v>
      </c>
      <c r="B1087" s="19" t="s">
        <v>6438</v>
      </c>
      <c r="C1087" s="20" t="s">
        <v>6439</v>
      </c>
      <c r="D1087" s="20" t="s">
        <v>6440</v>
      </c>
      <c r="E1087" s="21" t="s">
        <v>6441</v>
      </c>
      <c r="F1087" s="23" t="s">
        <v>6442</v>
      </c>
      <c r="G1087" s="24" t="s">
        <v>163</v>
      </c>
      <c r="H1087" s="25" t="s">
        <v>164</v>
      </c>
      <c r="I1087" s="34"/>
      <c r="J1087" s="35" t="s">
        <v>6443</v>
      </c>
      <c r="K1087" s="27" t="s">
        <v>50</v>
      </c>
      <c r="L1087" s="13" t="s">
        <v>6444</v>
      </c>
      <c r="M1087" s="26" t="str">
        <f>VLOOKUP(E1087,'MTS 2026 registrations'!B:B,1,false)</f>
        <v>#N/A</v>
      </c>
      <c r="N1087" s="26" t="str">
        <f>VLOOKUP(B1087,'MTS 2026 registrations'!A:A,1,false)</f>
        <v>#N/A</v>
      </c>
      <c r="O1087" s="38" t="str">
        <f t="shared" si="5"/>
        <v>Marked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</row>
    <row r="1088" ht="12.75" customHeight="1">
      <c r="A1088" s="19" t="str">
        <f t="shared" si="4"/>
        <v>Klaas Esselink init-power</v>
      </c>
      <c r="B1088" s="19" t="s">
        <v>6445</v>
      </c>
      <c r="C1088" s="20" t="s">
        <v>6446</v>
      </c>
      <c r="D1088" s="20" t="s">
        <v>6447</v>
      </c>
      <c r="E1088" s="21" t="s">
        <v>6448</v>
      </c>
      <c r="F1088" s="23" t="s">
        <v>6449</v>
      </c>
      <c r="G1088" s="24" t="s">
        <v>163</v>
      </c>
      <c r="H1088" s="25" t="s">
        <v>164</v>
      </c>
      <c r="I1088" s="34"/>
      <c r="J1088" s="35" t="s">
        <v>6450</v>
      </c>
      <c r="K1088" s="27" t="s">
        <v>50</v>
      </c>
      <c r="L1088" s="13" t="s">
        <v>6451</v>
      </c>
      <c r="M1088" s="26" t="str">
        <f>VLOOKUP(E1088,'MTS 2026 registrations'!B:B,1,false)</f>
        <v>#N/A</v>
      </c>
      <c r="N1088" s="26" t="str">
        <f>VLOOKUP(B1088,'MTS 2026 registrations'!A:A,1,false)</f>
        <v>#N/A</v>
      </c>
      <c r="O1088" s="38" t="str">
        <f t="shared" si="5"/>
        <v>Marked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</row>
    <row r="1089" ht="12.75" customHeight="1">
      <c r="A1089" s="19" t="str">
        <f t="shared" si="4"/>
        <v>Klemens Karssen zorgkeuzelab</v>
      </c>
      <c r="B1089" s="19" t="s">
        <v>6452</v>
      </c>
      <c r="C1089" s="20" t="s">
        <v>6453</v>
      </c>
      <c r="D1089" s="20" t="s">
        <v>6454</v>
      </c>
      <c r="E1089" s="21" t="s">
        <v>6455</v>
      </c>
      <c r="F1089" s="23" t="s">
        <v>6456</v>
      </c>
      <c r="G1089" s="32" t="s">
        <v>46</v>
      </c>
      <c r="H1089" s="25" t="s">
        <v>47</v>
      </c>
      <c r="I1089" s="26"/>
      <c r="J1089" s="35" t="s">
        <v>6457</v>
      </c>
      <c r="K1089" s="27" t="s">
        <v>50</v>
      </c>
      <c r="L1089" s="13" t="s">
        <v>6458</v>
      </c>
      <c r="M1089" s="26" t="str">
        <f>VLOOKUP(E1089,'MTS 2026 registrations'!B:B,1,false)</f>
        <v>#N/A</v>
      </c>
      <c r="N1089" s="26" t="str">
        <f>VLOOKUP(B1089,'MTS 2026 registrations'!A:A,1,false)</f>
        <v>#N/A</v>
      </c>
      <c r="O1089" s="38" t="str">
        <f t="shared" si="5"/>
        <v>Marked</v>
      </c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</row>
    <row r="1090" ht="12.75" customHeight="1">
      <c r="A1090" s="19" t="str">
        <f t="shared" si="4"/>
        <v>Koen Vermeer hollandhightech</v>
      </c>
      <c r="B1090" s="19" t="s">
        <v>6459</v>
      </c>
      <c r="C1090" s="29" t="s">
        <v>804</v>
      </c>
      <c r="D1090" s="72" t="s">
        <v>6460</v>
      </c>
      <c r="E1090" s="30" t="s">
        <v>6461</v>
      </c>
      <c r="F1090" s="29" t="s">
        <v>6462</v>
      </c>
      <c r="G1090" s="32" t="s">
        <v>29</v>
      </c>
      <c r="H1090" s="13" t="s">
        <v>45</v>
      </c>
      <c r="I1090" s="34"/>
      <c r="J1090" s="35" t="s">
        <v>6463</v>
      </c>
      <c r="K1090" s="27" t="s">
        <v>50</v>
      </c>
      <c r="L1090" s="13" t="s">
        <v>6464</v>
      </c>
      <c r="M1090" s="26" t="str">
        <f>VLOOKUP(E1090,'MTS 2026 registrations'!B:B,1,false)</f>
        <v>#N/A</v>
      </c>
      <c r="N1090" s="26" t="str">
        <f>VLOOKUP(B1090,'MTS 2026 registrations'!A:A,1,false)</f>
        <v>#N/A</v>
      </c>
      <c r="O1090" s="38" t="str">
        <f t="shared" si="5"/>
        <v>Marked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</row>
    <row r="1091" ht="12.75" customHeight="1">
      <c r="A1091" s="19" t="str">
        <f t="shared" si="4"/>
        <v>Koen Vogel </v>
      </c>
      <c r="B1091" s="19" t="s">
        <v>6465</v>
      </c>
      <c r="C1091" s="124" t="s">
        <v>804</v>
      </c>
      <c r="D1091" s="124" t="s">
        <v>6466</v>
      </c>
      <c r="E1091" s="186" t="s">
        <v>6467</v>
      </c>
      <c r="F1091" s="121"/>
      <c r="G1091" s="144"/>
      <c r="H1091" s="13" t="s">
        <v>45</v>
      </c>
      <c r="I1091" s="34"/>
      <c r="J1091" s="35" t="s">
        <v>6468</v>
      </c>
      <c r="K1091" s="27" t="s">
        <v>50</v>
      </c>
      <c r="L1091" s="13" t="s">
        <v>6469</v>
      </c>
      <c r="M1091" s="26" t="str">
        <f>VLOOKUP(E1091,'MTS 2026 registrations'!B:B,1,false)</f>
        <v>#N/A</v>
      </c>
      <c r="N1091" s="26" t="str">
        <f>VLOOKUP(B1091,'MTS 2026 registrations'!A:A,1,false)</f>
        <v>#N/A</v>
      </c>
      <c r="O1091" s="38" t="str">
        <f t="shared" si="5"/>
        <v>Marked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</row>
    <row r="1092" ht="12.75" customHeight="1">
      <c r="A1092" s="19" t="str">
        <f t="shared" si="4"/>
        <v>Korstiaan Zandvliet uiventures</v>
      </c>
      <c r="B1092" s="19" t="s">
        <v>6470</v>
      </c>
      <c r="C1092" s="53" t="s">
        <v>6471</v>
      </c>
      <c r="D1092" s="53" t="s">
        <v>625</v>
      </c>
      <c r="E1092" s="88" t="s">
        <v>6472</v>
      </c>
      <c r="F1092" s="28" t="s">
        <v>6473</v>
      </c>
      <c r="G1092" s="24" t="s">
        <v>163</v>
      </c>
      <c r="H1092" s="25" t="s">
        <v>164</v>
      </c>
      <c r="I1092" s="26"/>
      <c r="J1092" s="35" t="s">
        <v>6474</v>
      </c>
      <c r="K1092" s="27" t="s">
        <v>50</v>
      </c>
      <c r="L1092" s="13" t="s">
        <v>6475</v>
      </c>
      <c r="M1092" s="26" t="str">
        <f>VLOOKUP(E1092,'MTS 2026 registrations'!B:B,1,false)</f>
        <v>#N/A</v>
      </c>
      <c r="N1092" s="26" t="str">
        <f>VLOOKUP(B1092,'MTS 2026 registrations'!A:A,1,false)</f>
        <v>#N/A</v>
      </c>
      <c r="O1092" s="38" t="str">
        <f t="shared" si="5"/>
        <v>Marked</v>
      </c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</row>
    <row r="1093" ht="12.75" customHeight="1">
      <c r="A1093" s="19" t="str">
        <f t="shared" si="4"/>
        <v>Kyriakos Charalampides Reliq (Osiris) &amp; twelve-lab</v>
      </c>
      <c r="B1093" s="19" t="s">
        <v>6476</v>
      </c>
      <c r="C1093" s="29" t="s">
        <v>6477</v>
      </c>
      <c r="D1093" s="121" t="s">
        <v>6478</v>
      </c>
      <c r="E1093" s="105" t="s">
        <v>6479</v>
      </c>
      <c r="F1093" s="187" t="s">
        <v>6480</v>
      </c>
      <c r="G1093" s="24" t="s">
        <v>46</v>
      </c>
      <c r="H1093" s="25" t="s">
        <v>47</v>
      </c>
      <c r="I1093" s="34"/>
      <c r="J1093" s="35" t="s">
        <v>6481</v>
      </c>
      <c r="K1093" s="27" t="s">
        <v>50</v>
      </c>
      <c r="L1093" s="13" t="s">
        <v>6482</v>
      </c>
      <c r="M1093" s="26" t="str">
        <f>VLOOKUP(E1093,'MTS 2026 registrations'!B:B,1,false)</f>
        <v>#N/A</v>
      </c>
      <c r="N1093" s="26" t="str">
        <f>VLOOKUP(B1093,'MTS 2026 registrations'!A:A,1,false)</f>
        <v>#N/A</v>
      </c>
      <c r="O1093" s="38" t="str">
        <f t="shared" si="5"/>
        <v>Marked</v>
      </c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</row>
    <row r="1094" ht="12.75" customHeight="1">
      <c r="A1094" s="19" t="str">
        <f t="shared" si="4"/>
        <v>Lara Elkhoury berytech</v>
      </c>
      <c r="B1094" s="19" t="s">
        <v>6483</v>
      </c>
      <c r="C1094" s="60" t="s">
        <v>6484</v>
      </c>
      <c r="D1094" s="60" t="s">
        <v>6485</v>
      </c>
      <c r="E1094" s="62" t="s">
        <v>6486</v>
      </c>
      <c r="F1094" s="64" t="s">
        <v>6487</v>
      </c>
      <c r="G1094" s="24" t="s">
        <v>29</v>
      </c>
      <c r="H1094" s="25" t="s">
        <v>139</v>
      </c>
      <c r="I1094" s="34"/>
      <c r="J1094" s="35" t="s">
        <v>6488</v>
      </c>
      <c r="K1094" s="27" t="s">
        <v>50</v>
      </c>
      <c r="L1094" s="13" t="s">
        <v>6489</v>
      </c>
      <c r="M1094" s="26" t="str">
        <f>VLOOKUP(E1094,'MTS 2026 registrations'!B:B,1,false)</f>
        <v>#N/A</v>
      </c>
      <c r="N1094" s="26" t="str">
        <f>VLOOKUP(B1094,'MTS 2026 registrations'!A:A,1,false)</f>
        <v>#N/A</v>
      </c>
      <c r="O1094" s="38" t="str">
        <f t="shared" si="5"/>
        <v>Marked</v>
      </c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</row>
    <row r="1095" ht="12.75" customHeight="1">
      <c r="A1095" s="19" t="str">
        <f t="shared" si="4"/>
        <v>Lars Langhorst TU Delft</v>
      </c>
      <c r="B1095" s="19" t="s">
        <v>6490</v>
      </c>
      <c r="C1095" s="134" t="s">
        <v>6491</v>
      </c>
      <c r="D1095" s="188" t="s">
        <v>3496</v>
      </c>
      <c r="E1095" s="160" t="s">
        <v>6492</v>
      </c>
      <c r="F1095" s="64" t="s">
        <v>2090</v>
      </c>
      <c r="G1095" s="24" t="s">
        <v>3432</v>
      </c>
      <c r="H1095" s="25" t="s">
        <v>139</v>
      </c>
      <c r="I1095" s="34"/>
      <c r="J1095" s="189" t="s">
        <v>6493</v>
      </c>
      <c r="K1095" s="27" t="s">
        <v>50</v>
      </c>
      <c r="L1095" s="13" t="s">
        <v>6494</v>
      </c>
      <c r="M1095" s="26" t="str">
        <f>VLOOKUP(E1095,'MTS 2026 registrations'!B:B,1,false)</f>
        <v>l.m.langhorst@tudelft.nl</v>
      </c>
      <c r="N1095" s="26" t="str">
        <f>VLOOKUP(B1095,'MTS 2026 registrations'!A:A,1,false)</f>
        <v>Lars Langhorst</v>
      </c>
      <c r="O1095" s="38" t="str">
        <f t="shared" si="5"/>
        <v/>
      </c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</row>
    <row r="1096" ht="12.75" customHeight="1">
      <c r="A1096" s="19" t="str">
        <f t="shared" si="4"/>
        <v>Lars Pepermans T-Minus Engineering</v>
      </c>
      <c r="B1096" s="19" t="s">
        <v>6495</v>
      </c>
      <c r="C1096" s="29" t="s">
        <v>6491</v>
      </c>
      <c r="D1096" s="29" t="s">
        <v>6496</v>
      </c>
      <c r="E1096" s="31" t="s">
        <v>6497</v>
      </c>
      <c r="F1096" s="33" t="s">
        <v>6498</v>
      </c>
      <c r="G1096" s="24" t="s">
        <v>6499</v>
      </c>
      <c r="H1096" s="50" t="s">
        <v>47</v>
      </c>
      <c r="I1096" s="34"/>
      <c r="J1096" s="35" t="s">
        <v>6500</v>
      </c>
      <c r="K1096" s="27" t="s">
        <v>50</v>
      </c>
      <c r="L1096" s="13" t="s">
        <v>6501</v>
      </c>
      <c r="M1096" s="26" t="str">
        <f>VLOOKUP(E1096,'MTS 2026 registrations'!B:B,1,false)</f>
        <v>#N/A</v>
      </c>
      <c r="N1096" s="26" t="str">
        <f>VLOOKUP(B1096,'MTS 2026 registrations'!A:A,1,false)</f>
        <v>#N/A</v>
      </c>
      <c r="O1096" s="38" t="str">
        <f t="shared" si="5"/>
        <v>Marked</v>
      </c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</row>
    <row r="1097" ht="12.75" customHeight="1">
      <c r="A1097" s="19" t="str">
        <f t="shared" si="4"/>
        <v>Lars Crama InnovationQuarter</v>
      </c>
      <c r="B1097" s="19" t="s">
        <v>6502</v>
      </c>
      <c r="C1097" s="134" t="s">
        <v>6491</v>
      </c>
      <c r="D1097" s="102" t="s">
        <v>6503</v>
      </c>
      <c r="E1097" s="190" t="s">
        <v>6504</v>
      </c>
      <c r="F1097" s="135" t="s">
        <v>4143</v>
      </c>
      <c r="G1097" s="24" t="s">
        <v>29</v>
      </c>
      <c r="H1097" s="25" t="s">
        <v>139</v>
      </c>
      <c r="I1097" s="34"/>
      <c r="J1097" s="35" t="s">
        <v>6505</v>
      </c>
      <c r="K1097" s="27" t="s">
        <v>50</v>
      </c>
      <c r="L1097" s="13" t="s">
        <v>6506</v>
      </c>
      <c r="M1097" s="26" t="str">
        <f>VLOOKUP(E1097,'MTS 2026 registrations'!B:B,1,false)</f>
        <v>lars.crama@innovationquarter.nl</v>
      </c>
      <c r="N1097" s="26" t="str">
        <f>VLOOKUP(B1097,'MTS 2026 registrations'!A:A,1,false)</f>
        <v>Lars Crama</v>
      </c>
      <c r="O1097" s="38" t="str">
        <f t="shared" si="5"/>
        <v/>
      </c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</row>
    <row r="1098" ht="12.75" customHeight="1">
      <c r="A1098" s="19" t="str">
        <f t="shared" si="4"/>
        <v>Lars Groenveld invest-nl</v>
      </c>
      <c r="B1098" s="19" t="s">
        <v>6507</v>
      </c>
      <c r="C1098" s="60" t="s">
        <v>6491</v>
      </c>
      <c r="D1098" s="60" t="s">
        <v>6508</v>
      </c>
      <c r="E1098" s="62" t="s">
        <v>6509</v>
      </c>
      <c r="F1098" s="64" t="s">
        <v>1648</v>
      </c>
      <c r="G1098" s="42" t="s">
        <v>163</v>
      </c>
      <c r="H1098" s="25" t="s">
        <v>139</v>
      </c>
      <c r="I1098" s="34"/>
      <c r="J1098" s="35" t="s">
        <v>6510</v>
      </c>
      <c r="K1098" s="27" t="s">
        <v>50</v>
      </c>
      <c r="L1098" s="13" t="s">
        <v>6511</v>
      </c>
      <c r="M1098" s="26" t="str">
        <f>VLOOKUP(E1098,'MTS 2026 registrations'!B:B,1,false)</f>
        <v>#N/A</v>
      </c>
      <c r="N1098" s="26" t="str">
        <f>VLOOKUP(B1098,'MTS 2026 registrations'!A:A,1,false)</f>
        <v>#N/A</v>
      </c>
      <c r="O1098" s="38" t="str">
        <f t="shared" si="5"/>
        <v>Marked</v>
      </c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</row>
    <row r="1099" ht="12.75" customHeight="1">
      <c r="A1099" s="19" t="str">
        <f t="shared" si="4"/>
        <v>Laura Achach kurmapartners</v>
      </c>
      <c r="B1099" s="19" t="s">
        <v>6512</v>
      </c>
      <c r="C1099" s="20" t="s">
        <v>6513</v>
      </c>
      <c r="D1099" s="20" t="s">
        <v>6514</v>
      </c>
      <c r="E1099" s="21" t="s">
        <v>6515</v>
      </c>
      <c r="F1099" s="23" t="s">
        <v>6516</v>
      </c>
      <c r="G1099" s="24" t="s">
        <v>163</v>
      </c>
      <c r="H1099" s="25" t="s">
        <v>164</v>
      </c>
      <c r="I1099" s="34"/>
      <c r="J1099" s="35" t="s">
        <v>6517</v>
      </c>
      <c r="K1099" s="27" t="s">
        <v>50</v>
      </c>
      <c r="L1099" s="13" t="s">
        <v>6518</v>
      </c>
      <c r="M1099" s="26" t="str">
        <f>VLOOKUP(E1099,'MTS 2026 registrations'!B:B,1,false)</f>
        <v>#N/A</v>
      </c>
      <c r="N1099" s="26" t="str">
        <f>VLOOKUP(B1099,'MTS 2026 registrations'!A:A,1,false)</f>
        <v>#N/A</v>
      </c>
      <c r="O1099" s="38" t="str">
        <f t="shared" si="5"/>
        <v>Marked</v>
      </c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</row>
    <row r="1100" ht="12.75" customHeight="1">
      <c r="A1100" s="19" t="str">
        <f t="shared" si="4"/>
        <v>Laurens Vanryckeghem pnptc</v>
      </c>
      <c r="B1100" s="19" t="s">
        <v>6519</v>
      </c>
      <c r="C1100" s="20" t="s">
        <v>6520</v>
      </c>
      <c r="D1100" s="20" t="s">
        <v>6521</v>
      </c>
      <c r="E1100" s="21" t="s">
        <v>6522</v>
      </c>
      <c r="F1100" s="23" t="s">
        <v>6523</v>
      </c>
      <c r="G1100" s="24" t="s">
        <v>163</v>
      </c>
      <c r="H1100" s="25" t="s">
        <v>164</v>
      </c>
      <c r="I1100" s="34"/>
      <c r="J1100" s="35" t="s">
        <v>6524</v>
      </c>
      <c r="K1100" s="27" t="s">
        <v>50</v>
      </c>
      <c r="L1100" s="13" t="s">
        <v>6525</v>
      </c>
      <c r="M1100" s="26" t="str">
        <f>VLOOKUP(E1100,'MTS 2026 registrations'!B:B,1,false)</f>
        <v>#N/A</v>
      </c>
      <c r="N1100" s="26" t="str">
        <f>VLOOKUP(B1100,'MTS 2026 registrations'!A:A,1,false)</f>
        <v>#N/A</v>
      </c>
      <c r="O1100" s="38" t="str">
        <f t="shared" si="5"/>
        <v>Marked</v>
      </c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23"/>
      <c r="AE1100" s="23"/>
    </row>
    <row r="1101" ht="12.75" customHeight="1">
      <c r="A1101" s="19" t="str">
        <f t="shared" si="4"/>
        <v>Laurens Mackay DC Opportunities</v>
      </c>
      <c r="B1101" s="19" t="s">
        <v>6526</v>
      </c>
      <c r="C1101" s="29" t="s">
        <v>6520</v>
      </c>
      <c r="D1101" s="29" t="s">
        <v>6527</v>
      </c>
      <c r="E1101" s="62" t="s">
        <v>6528</v>
      </c>
      <c r="F1101" s="50" t="s">
        <v>6529</v>
      </c>
      <c r="G1101" s="32" t="s">
        <v>46</v>
      </c>
      <c r="H1101" s="25" t="s">
        <v>139</v>
      </c>
      <c r="I1101" s="34"/>
      <c r="J1101" s="35" t="s">
        <v>6530</v>
      </c>
      <c r="K1101" s="27" t="s">
        <v>50</v>
      </c>
      <c r="L1101" s="13" t="s">
        <v>6531</v>
      </c>
      <c r="M1101" s="26" t="str">
        <f>VLOOKUP(E1101,'MTS 2026 registrations'!B:B,1,false)</f>
        <v>#N/A</v>
      </c>
      <c r="N1101" s="26" t="str">
        <f>VLOOKUP(B1101,'MTS 2026 registrations'!A:A,1,false)</f>
        <v>#N/A</v>
      </c>
      <c r="O1101" s="38" t="str">
        <f t="shared" si="5"/>
        <v>Marked</v>
      </c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</row>
    <row r="1102" ht="12.75" customHeight="1">
      <c r="A1102" s="19" t="str">
        <f t="shared" si="4"/>
        <v>Laurens Verspeek effect</v>
      </c>
      <c r="B1102" s="19" t="s">
        <v>6532</v>
      </c>
      <c r="C1102" s="20" t="s">
        <v>6520</v>
      </c>
      <c r="D1102" s="20" t="s">
        <v>6533</v>
      </c>
      <c r="E1102" s="21" t="s">
        <v>6534</v>
      </c>
      <c r="F1102" s="23" t="s">
        <v>3945</v>
      </c>
      <c r="G1102" s="32" t="s">
        <v>46</v>
      </c>
      <c r="H1102" s="25" t="s">
        <v>47</v>
      </c>
      <c r="I1102" s="34"/>
      <c r="J1102" s="35" t="s">
        <v>6535</v>
      </c>
      <c r="K1102" s="27" t="s">
        <v>50</v>
      </c>
      <c r="L1102" s="13" t="s">
        <v>6536</v>
      </c>
      <c r="M1102" s="26" t="str">
        <f>VLOOKUP(E1102,'MTS 2026 registrations'!B:B,1,false)</f>
        <v>#N/A</v>
      </c>
      <c r="N1102" s="26" t="str">
        <f>VLOOKUP(B1102,'MTS 2026 registrations'!A:A,1,false)</f>
        <v>#N/A</v>
      </c>
      <c r="O1102" s="38" t="str">
        <f t="shared" si="5"/>
        <v>Marked</v>
      </c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</row>
    <row r="1103" ht="12.75" customHeight="1">
      <c r="A1103" s="19" t="str">
        <f t="shared" si="4"/>
        <v>Lauwerens Metz Innovattic</v>
      </c>
      <c r="B1103" s="19" t="s">
        <v>6537</v>
      </c>
      <c r="C1103" s="29" t="s">
        <v>6538</v>
      </c>
      <c r="D1103" s="29" t="s">
        <v>6539</v>
      </c>
      <c r="E1103" s="191" t="s">
        <v>6540</v>
      </c>
      <c r="F1103" s="50" t="s">
        <v>6541</v>
      </c>
      <c r="G1103" s="32" t="s">
        <v>46</v>
      </c>
      <c r="H1103" s="25" t="s">
        <v>139</v>
      </c>
      <c r="I1103" s="34"/>
      <c r="J1103" s="35" t="s">
        <v>6542</v>
      </c>
      <c r="K1103" s="27" t="s">
        <v>50</v>
      </c>
      <c r="L1103" s="13" t="s">
        <v>6543</v>
      </c>
      <c r="M1103" s="26" t="str">
        <f>VLOOKUP(E1103,'MTS 2026 registrations'!B:B,1,false)</f>
        <v>#N/A</v>
      </c>
      <c r="N1103" s="26" t="str">
        <f>VLOOKUP(B1103,'MTS 2026 registrations'!A:A,1,false)</f>
        <v>#N/A</v>
      </c>
      <c r="O1103" s="38" t="str">
        <f t="shared" si="5"/>
        <v>Marked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</row>
    <row r="1104" ht="12.75" customHeight="1">
      <c r="A1104" s="19" t="str">
        <f t="shared" si="4"/>
        <v>Lauwerens Johannes Metz innovattic</v>
      </c>
      <c r="B1104" s="19" t="s">
        <v>6544</v>
      </c>
      <c r="C1104" s="20" t="s">
        <v>6545</v>
      </c>
      <c r="D1104" s="20" t="s">
        <v>6539</v>
      </c>
      <c r="E1104" s="21" t="s">
        <v>6546</v>
      </c>
      <c r="F1104" s="23" t="s">
        <v>4242</v>
      </c>
      <c r="G1104" s="32" t="s">
        <v>46</v>
      </c>
      <c r="H1104" s="25" t="s">
        <v>47</v>
      </c>
      <c r="I1104" s="34"/>
      <c r="J1104" s="35" t="s">
        <v>6547</v>
      </c>
      <c r="K1104" s="27" t="s">
        <v>50</v>
      </c>
      <c r="L1104" s="13" t="s">
        <v>6548</v>
      </c>
      <c r="M1104" s="26" t="str">
        <f>VLOOKUP(E1104,'MTS 2026 registrations'!B:B,1,false)</f>
        <v>#N/A</v>
      </c>
      <c r="N1104" s="26" t="str">
        <f>VLOOKUP(B1104,'MTS 2026 registrations'!A:A,1,false)</f>
        <v>#N/A</v>
      </c>
      <c r="O1104" s="38" t="str">
        <f t="shared" si="5"/>
        <v>Marked</v>
      </c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</row>
    <row r="1105" ht="12.75" customHeight="1">
      <c r="A1105" s="19" t="str">
        <f t="shared" si="4"/>
        <v>Lech Bakhuizen van den Brink techleap</v>
      </c>
      <c r="B1105" s="19" t="s">
        <v>6549</v>
      </c>
      <c r="C1105" s="60" t="s">
        <v>6550</v>
      </c>
      <c r="D1105" s="60" t="s">
        <v>6551</v>
      </c>
      <c r="E1105" s="62" t="s">
        <v>6552</v>
      </c>
      <c r="F1105" s="64" t="s">
        <v>1952</v>
      </c>
      <c r="G1105" s="24" t="s">
        <v>29</v>
      </c>
      <c r="H1105" s="25" t="s">
        <v>139</v>
      </c>
      <c r="I1105" s="34"/>
      <c r="J1105" s="35" t="s">
        <v>6553</v>
      </c>
      <c r="K1105" s="27" t="s">
        <v>50</v>
      </c>
      <c r="L1105" s="13" t="s">
        <v>6554</v>
      </c>
      <c r="M1105" s="26" t="str">
        <f>VLOOKUP(E1105,'MTS 2026 registrations'!B:B,1,false)</f>
        <v>#N/A</v>
      </c>
      <c r="N1105" s="26" t="str">
        <f>VLOOKUP(B1105,'MTS 2026 registrations'!A:A,1,false)</f>
        <v>#N/A</v>
      </c>
      <c r="O1105" s="38" t="str">
        <f t="shared" si="5"/>
        <v>Marked</v>
      </c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</row>
    <row r="1106" ht="12.75" customHeight="1">
      <c r="A1106" s="19" t="str">
        <f t="shared" si="4"/>
        <v>Leendert Bikker bikker</v>
      </c>
      <c r="B1106" s="19" t="s">
        <v>6555</v>
      </c>
      <c r="C1106" s="60" t="s">
        <v>6556</v>
      </c>
      <c r="D1106" s="60" t="s">
        <v>6557</v>
      </c>
      <c r="E1106" s="62" t="s">
        <v>6558</v>
      </c>
      <c r="F1106" s="64" t="s">
        <v>6559</v>
      </c>
      <c r="G1106" s="42" t="s">
        <v>1306</v>
      </c>
      <c r="H1106" s="25" t="s">
        <v>139</v>
      </c>
      <c r="I1106" s="34"/>
      <c r="J1106" s="35" t="s">
        <v>6560</v>
      </c>
      <c r="K1106" s="27" t="s">
        <v>50</v>
      </c>
      <c r="L1106" s="13" t="s">
        <v>6561</v>
      </c>
      <c r="M1106" s="26" t="str">
        <f>VLOOKUP(E1106,'MTS 2026 registrations'!B:B,1,false)</f>
        <v>#N/A</v>
      </c>
      <c r="N1106" s="26" t="str">
        <f>VLOOKUP(B1106,'MTS 2026 registrations'!A:A,1,false)</f>
        <v>#N/A</v>
      </c>
      <c r="O1106" s="38" t="str">
        <f t="shared" si="5"/>
        <v>Marked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</row>
    <row r="1107" ht="12.75" customHeight="1">
      <c r="A1107" s="19" t="str">
        <f t="shared" si="4"/>
        <v>Lennard Zwart lenhold</v>
      </c>
      <c r="B1107" s="19" t="s">
        <v>6562</v>
      </c>
      <c r="C1107" s="20" t="s">
        <v>6563</v>
      </c>
      <c r="D1107" s="20" t="s">
        <v>6564</v>
      </c>
      <c r="E1107" s="21" t="s">
        <v>6565</v>
      </c>
      <c r="F1107" s="23" t="s">
        <v>6566</v>
      </c>
      <c r="G1107" s="24" t="s">
        <v>163</v>
      </c>
      <c r="H1107" s="25" t="s">
        <v>164</v>
      </c>
      <c r="I1107" s="34"/>
      <c r="J1107" s="35" t="s">
        <v>6567</v>
      </c>
      <c r="K1107" s="27" t="s">
        <v>50</v>
      </c>
      <c r="L1107" s="13" t="s">
        <v>6568</v>
      </c>
      <c r="M1107" s="26" t="str">
        <f>VLOOKUP(E1107,'MTS 2026 registrations'!B:B,1,false)</f>
        <v>#N/A</v>
      </c>
      <c r="N1107" s="26" t="str">
        <f>VLOOKUP(B1107,'MTS 2026 registrations'!A:A,1,false)</f>
        <v>#N/A</v>
      </c>
      <c r="O1107" s="38" t="str">
        <f t="shared" si="5"/>
        <v>Marked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</row>
    <row r="1108" ht="12.75" customHeight="1">
      <c r="A1108" s="19" t="str">
        <f t="shared" si="4"/>
        <v>Lennart Bult emergentswarms</v>
      </c>
      <c r="B1108" s="19" t="s">
        <v>6569</v>
      </c>
      <c r="C1108" s="29" t="s">
        <v>1852</v>
      </c>
      <c r="D1108" s="29" t="s">
        <v>6570</v>
      </c>
      <c r="E1108" s="30" t="s">
        <v>6571</v>
      </c>
      <c r="F1108" s="29" t="s">
        <v>6572</v>
      </c>
      <c r="G1108" s="32" t="s">
        <v>46</v>
      </c>
      <c r="H1108" s="13" t="s">
        <v>213</v>
      </c>
      <c r="I1108" s="34"/>
      <c r="J1108" s="35" t="s">
        <v>6573</v>
      </c>
      <c r="K1108" s="27" t="s">
        <v>50</v>
      </c>
      <c r="L1108" s="13" t="s">
        <v>6574</v>
      </c>
      <c r="M1108" s="26" t="str">
        <f>VLOOKUP(E1108,'MTS 2026 registrations'!B:B,1,false)</f>
        <v>#N/A</v>
      </c>
      <c r="N1108" s="26" t="str">
        <f>VLOOKUP(B1108,'MTS 2026 registrations'!A:A,1,false)</f>
        <v>#N/A</v>
      </c>
      <c r="O1108" s="38" t="str">
        <f t="shared" si="5"/>
        <v>Marked</v>
      </c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</row>
    <row r="1109" ht="12.75" customHeight="1">
      <c r="A1109" s="19" t="str">
        <f t="shared" si="4"/>
        <v>Lennart Kleibergen ing</v>
      </c>
      <c r="B1109" s="19" t="s">
        <v>6575</v>
      </c>
      <c r="C1109" s="20" t="s">
        <v>1852</v>
      </c>
      <c r="D1109" s="20" t="s">
        <v>6576</v>
      </c>
      <c r="E1109" s="88" t="s">
        <v>6577</v>
      </c>
      <c r="F1109" s="23" t="s">
        <v>6578</v>
      </c>
      <c r="G1109" s="24" t="s">
        <v>163</v>
      </c>
      <c r="H1109" s="25" t="s">
        <v>164</v>
      </c>
      <c r="I1109" s="34"/>
      <c r="J1109" s="35" t="s">
        <v>6579</v>
      </c>
      <c r="K1109" s="27" t="s">
        <v>50</v>
      </c>
      <c r="L1109" s="13" t="s">
        <v>6580</v>
      </c>
      <c r="M1109" s="26" t="str">
        <f>VLOOKUP(E1109,'MTS 2026 registrations'!B:B,1,false)</f>
        <v>#N/A</v>
      </c>
      <c r="N1109" s="26" t="str">
        <f>VLOOKUP(B1109,'MTS 2026 registrations'!A:A,1,false)</f>
        <v>#N/A</v>
      </c>
      <c r="O1109" s="38" t="str">
        <f t="shared" si="5"/>
        <v>Marked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</row>
    <row r="1110" ht="12.75" customHeight="1">
      <c r="A1110" s="19" t="str">
        <f t="shared" si="4"/>
        <v>Lennart Velten nif.fund</v>
      </c>
      <c r="B1110" s="19" t="s">
        <v>6581</v>
      </c>
      <c r="C1110" s="20" t="s">
        <v>1852</v>
      </c>
      <c r="D1110" s="20" t="s">
        <v>6582</v>
      </c>
      <c r="E1110" s="21" t="s">
        <v>6583</v>
      </c>
      <c r="F1110" s="23" t="s">
        <v>6584</v>
      </c>
      <c r="G1110" s="24" t="s">
        <v>163</v>
      </c>
      <c r="H1110" s="25" t="s">
        <v>164</v>
      </c>
      <c r="I1110" s="34"/>
      <c r="J1110" s="35" t="s">
        <v>6585</v>
      </c>
      <c r="K1110" s="27" t="s">
        <v>50</v>
      </c>
      <c r="L1110" s="13" t="s">
        <v>6586</v>
      </c>
      <c r="M1110" s="26" t="str">
        <f>VLOOKUP(E1110,'MTS 2026 registrations'!B:B,1,false)</f>
        <v>#N/A</v>
      </c>
      <c r="N1110" s="26" t="str">
        <f>VLOOKUP(B1110,'MTS 2026 registrations'!A:A,1,false)</f>
        <v>#N/A</v>
      </c>
      <c r="O1110" s="38" t="str">
        <f t="shared" si="5"/>
        <v>Marked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</row>
    <row r="1111" ht="12.75" customHeight="1">
      <c r="A1111" s="19" t="str">
        <f t="shared" si="4"/>
        <v>Lennart Budelmann aqysta</v>
      </c>
      <c r="B1111" s="19" t="s">
        <v>6587</v>
      </c>
      <c r="C1111" s="20" t="s">
        <v>1852</v>
      </c>
      <c r="D1111" s="20" t="s">
        <v>6588</v>
      </c>
      <c r="E1111" s="21" t="s">
        <v>6589</v>
      </c>
      <c r="F1111" s="23" t="s">
        <v>6590</v>
      </c>
      <c r="G1111" s="32" t="s">
        <v>46</v>
      </c>
      <c r="H1111" s="25" t="s">
        <v>47</v>
      </c>
      <c r="I1111" s="26"/>
      <c r="J1111" s="35" t="s">
        <v>6591</v>
      </c>
      <c r="K1111" s="27" t="s">
        <v>50</v>
      </c>
      <c r="L1111" s="13" t="s">
        <v>6592</v>
      </c>
      <c r="M1111" s="26" t="str">
        <f>VLOOKUP(E1111,'MTS 2026 registrations'!B:B,1,false)</f>
        <v>#N/A</v>
      </c>
      <c r="N1111" s="26" t="str">
        <f>VLOOKUP(B1111,'MTS 2026 registrations'!A:A,1,false)</f>
        <v>#N/A</v>
      </c>
      <c r="O1111" s="38" t="str">
        <f t="shared" si="5"/>
        <v>Marked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23"/>
      <c r="AE1111" s="23"/>
    </row>
    <row r="1112" ht="12.75" customHeight="1">
      <c r="A1112" s="19" t="str">
        <f t="shared" si="4"/>
        <v>Lenneke de Voogd-Claessen TU Delft</v>
      </c>
      <c r="B1112" s="19" t="s">
        <v>6593</v>
      </c>
      <c r="C1112" s="134" t="s">
        <v>6594</v>
      </c>
      <c r="D1112" s="102" t="s">
        <v>6595</v>
      </c>
      <c r="E1112" s="192" t="s">
        <v>6596</v>
      </c>
      <c r="F1112" s="135" t="s">
        <v>2090</v>
      </c>
      <c r="G1112" s="44" t="s">
        <v>43</v>
      </c>
      <c r="H1112" s="25" t="s">
        <v>139</v>
      </c>
      <c r="I1112" s="34"/>
      <c r="J1112" s="35" t="s">
        <v>6597</v>
      </c>
      <c r="K1112" s="27" t="s">
        <v>50</v>
      </c>
      <c r="L1112" s="13" t="s">
        <v>6598</v>
      </c>
      <c r="M1112" s="26" t="str">
        <f>VLOOKUP(E1112,'MTS 2026 registrations'!B:B,1,false)</f>
        <v>#N/A</v>
      </c>
      <c r="N1112" s="26" t="str">
        <f>VLOOKUP(B1112,'MTS 2026 registrations'!A:A,1,false)</f>
        <v>#N/A</v>
      </c>
      <c r="O1112" s="38" t="str">
        <f t="shared" si="5"/>
        <v>Marked</v>
      </c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34"/>
      <c r="AE1112" s="34"/>
    </row>
    <row r="1113" ht="12.75" customHeight="1">
      <c r="A1113" s="19" t="str">
        <f t="shared" si="4"/>
        <v>Lennert van den Berg flexsolsolutions</v>
      </c>
      <c r="B1113" s="19" t="s">
        <v>6599</v>
      </c>
      <c r="C1113" s="20" t="s">
        <v>6600</v>
      </c>
      <c r="D1113" s="20" t="s">
        <v>4424</v>
      </c>
      <c r="E1113" s="21" t="s">
        <v>6601</v>
      </c>
      <c r="F1113" s="23" t="s">
        <v>6602</v>
      </c>
      <c r="G1113" s="32" t="s">
        <v>46</v>
      </c>
      <c r="H1113" s="25" t="s">
        <v>47</v>
      </c>
      <c r="I1113" s="34"/>
      <c r="J1113" s="35" t="s">
        <v>6603</v>
      </c>
      <c r="K1113" s="27" t="s">
        <v>50</v>
      </c>
      <c r="L1113" s="13" t="s">
        <v>6604</v>
      </c>
      <c r="M1113" s="26" t="str">
        <f>VLOOKUP(E1113,'MTS 2026 registrations'!B:B,1,false)</f>
        <v>#N/A</v>
      </c>
      <c r="N1113" s="26" t="str">
        <f>VLOOKUP(B1113,'MTS 2026 registrations'!A:A,1,false)</f>
        <v>#N/A</v>
      </c>
      <c r="O1113" s="38" t="str">
        <f t="shared" si="5"/>
        <v>Marked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</row>
    <row r="1114" ht="12.75" customHeight="1">
      <c r="A1114" s="19" t="str">
        <f t="shared" si="4"/>
        <v>Leon Hoek lansingerland</v>
      </c>
      <c r="B1114" s="19" t="s">
        <v>6605</v>
      </c>
      <c r="C1114" s="60" t="s">
        <v>6606</v>
      </c>
      <c r="D1114" s="60" t="s">
        <v>6607</v>
      </c>
      <c r="E1114" s="62" t="s">
        <v>6608</v>
      </c>
      <c r="F1114" s="64" t="s">
        <v>6609</v>
      </c>
      <c r="G1114" s="42" t="s">
        <v>56</v>
      </c>
      <c r="H1114" s="25" t="s">
        <v>139</v>
      </c>
      <c r="I1114" s="34"/>
      <c r="J1114" s="35" t="s">
        <v>6610</v>
      </c>
      <c r="K1114" s="27" t="s">
        <v>50</v>
      </c>
      <c r="L1114" s="13" t="s">
        <v>6611</v>
      </c>
      <c r="M1114" s="26" t="str">
        <f>VLOOKUP(E1114,'MTS 2026 registrations'!B:B,1,false)</f>
        <v>#N/A</v>
      </c>
      <c r="N1114" s="26" t="str">
        <f>VLOOKUP(B1114,'MTS 2026 registrations'!A:A,1,false)</f>
        <v>#N/A</v>
      </c>
      <c r="O1114" s="38" t="str">
        <f t="shared" si="5"/>
        <v>Marked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</row>
    <row r="1115" ht="12.75" customHeight="1">
      <c r="A1115" s="19" t="str">
        <f t="shared" si="4"/>
        <v>Leon Horbach civinc.co</v>
      </c>
      <c r="B1115" s="19" t="s">
        <v>6612</v>
      </c>
      <c r="C1115" s="20" t="s">
        <v>6606</v>
      </c>
      <c r="D1115" s="20" t="s">
        <v>6613</v>
      </c>
      <c r="E1115" s="21" t="s">
        <v>6614</v>
      </c>
      <c r="F1115" s="23" t="s">
        <v>1377</v>
      </c>
      <c r="G1115" s="32" t="s">
        <v>46</v>
      </c>
      <c r="H1115" s="25" t="s">
        <v>47</v>
      </c>
      <c r="I1115" s="26"/>
      <c r="J1115" s="35" t="s">
        <v>6615</v>
      </c>
      <c r="K1115" s="27" t="s">
        <v>50</v>
      </c>
      <c r="L1115" s="13" t="s">
        <v>6616</v>
      </c>
      <c r="M1115" s="26" t="str">
        <f>VLOOKUP(E1115,'MTS 2026 registrations'!B:B,1,false)</f>
        <v>#N/A</v>
      </c>
      <c r="N1115" s="26" t="str">
        <f>VLOOKUP(B1115,'MTS 2026 registrations'!A:A,1,false)</f>
        <v>#N/A</v>
      </c>
      <c r="O1115" s="38" t="str">
        <f t="shared" si="5"/>
        <v>Marked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</row>
    <row r="1116" ht="12.75" customHeight="1">
      <c r="A1116" s="19" t="str">
        <f t="shared" si="4"/>
        <v>Leonard Moonen praxasense</v>
      </c>
      <c r="B1116" s="19" t="s">
        <v>6617</v>
      </c>
      <c r="C1116" s="20" t="s">
        <v>6618</v>
      </c>
      <c r="D1116" s="20" t="s">
        <v>6619</v>
      </c>
      <c r="E1116" s="21" t="s">
        <v>6620</v>
      </c>
      <c r="F1116" s="23" t="s">
        <v>6621</v>
      </c>
      <c r="G1116" s="32" t="s">
        <v>46</v>
      </c>
      <c r="H1116" s="25" t="s">
        <v>47</v>
      </c>
      <c r="I1116" s="34"/>
      <c r="J1116" s="35" t="s">
        <v>6622</v>
      </c>
      <c r="K1116" s="27" t="s">
        <v>50</v>
      </c>
      <c r="L1116" s="13" t="s">
        <v>6623</v>
      </c>
      <c r="M1116" s="26" t="str">
        <f>VLOOKUP(E1116,'MTS 2026 registrations'!B:B,1,false)</f>
        <v>#N/A</v>
      </c>
      <c r="N1116" s="26" t="str">
        <f>VLOOKUP(B1116,'MTS 2026 registrations'!A:A,1,false)</f>
        <v>#N/A</v>
      </c>
      <c r="O1116" s="38" t="str">
        <f t="shared" si="5"/>
        <v>Marked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</row>
    <row r="1117" ht="12.75" customHeight="1">
      <c r="A1117" s="19" t="str">
        <f t="shared" si="4"/>
        <v>Leonardo Fuligni ece</v>
      </c>
      <c r="B1117" s="19" t="s">
        <v>6624</v>
      </c>
      <c r="C1117" s="60" t="s">
        <v>6625</v>
      </c>
      <c r="D1117" s="60" t="s">
        <v>6626</v>
      </c>
      <c r="E1117" s="62" t="s">
        <v>6627</v>
      </c>
      <c r="F1117" s="64" t="s">
        <v>1437</v>
      </c>
      <c r="G1117" s="24" t="s">
        <v>29</v>
      </c>
      <c r="H1117" s="25" t="s">
        <v>139</v>
      </c>
      <c r="I1117" s="23"/>
      <c r="J1117" s="35" t="s">
        <v>6628</v>
      </c>
      <c r="K1117" s="27" t="s">
        <v>50</v>
      </c>
      <c r="L1117" s="13" t="s">
        <v>6629</v>
      </c>
      <c r="M1117" s="26" t="str">
        <f>VLOOKUP(E1117,'MTS 2026 registrations'!B:B,1,false)</f>
        <v>#N/A</v>
      </c>
      <c r="N1117" s="26" t="str">
        <f>VLOOKUP(B1117,'MTS 2026 registrations'!A:A,1,false)</f>
        <v>#N/A</v>
      </c>
      <c r="O1117" s="38" t="str">
        <f t="shared" si="5"/>
        <v>Marked</v>
      </c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34"/>
      <c r="AE1117" s="34"/>
    </row>
    <row r="1118" ht="12.75" customHeight="1">
      <c r="A1118" s="19" t="str">
        <f t="shared" si="4"/>
        <v>Leonids Maslovs </v>
      </c>
      <c r="B1118" s="19" t="s">
        <v>6630</v>
      </c>
      <c r="C1118" s="20" t="s">
        <v>6631</v>
      </c>
      <c r="D1118" s="93" t="s">
        <v>6632</v>
      </c>
      <c r="E1118" s="21" t="s">
        <v>6633</v>
      </c>
      <c r="F1118" s="52"/>
      <c r="G1118" s="32" t="s">
        <v>46</v>
      </c>
      <c r="H1118" s="25" t="s">
        <v>47</v>
      </c>
      <c r="I1118" s="26"/>
      <c r="J1118" s="35" t="s">
        <v>6634</v>
      </c>
      <c r="K1118" s="27" t="s">
        <v>50</v>
      </c>
      <c r="L1118" s="13" t="s">
        <v>6635</v>
      </c>
      <c r="M1118" s="26" t="str">
        <f>VLOOKUP(E1118,'MTS 2026 registrations'!B:B,1,false)</f>
        <v>#N/A</v>
      </c>
      <c r="N1118" s="26" t="str">
        <f>VLOOKUP(B1118,'MTS 2026 registrations'!A:A,1,false)</f>
        <v>#N/A</v>
      </c>
      <c r="O1118" s="38" t="str">
        <f t="shared" si="5"/>
        <v>Marked</v>
      </c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34"/>
      <c r="AE1118" s="34"/>
    </row>
    <row r="1119" ht="12.75" customHeight="1">
      <c r="A1119" s="19" t="str">
        <f t="shared" si="4"/>
        <v>Leonie de Keizer isispace</v>
      </c>
      <c r="B1119" s="19" t="s">
        <v>6636</v>
      </c>
      <c r="C1119" s="20" t="s">
        <v>6637</v>
      </c>
      <c r="D1119" s="20" t="s">
        <v>6638</v>
      </c>
      <c r="E1119" s="21" t="s">
        <v>6639</v>
      </c>
      <c r="F1119" s="23" t="s">
        <v>3055</v>
      </c>
      <c r="G1119" s="32" t="s">
        <v>46</v>
      </c>
      <c r="H1119" s="25" t="s">
        <v>47</v>
      </c>
      <c r="I1119" s="34"/>
      <c r="J1119" s="35" t="s">
        <v>6640</v>
      </c>
      <c r="K1119" s="27" t="s">
        <v>50</v>
      </c>
      <c r="L1119" s="13" t="s">
        <v>6641</v>
      </c>
      <c r="M1119" s="26" t="str">
        <f>VLOOKUP(E1119,'MTS 2026 registrations'!B:B,1,false)</f>
        <v>#N/A</v>
      </c>
      <c r="N1119" s="26" t="str">
        <f>VLOOKUP(B1119,'MTS 2026 registrations'!A:A,1,false)</f>
        <v>#N/A</v>
      </c>
      <c r="O1119" s="38" t="str">
        <f t="shared" si="5"/>
        <v>Marked</v>
      </c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</row>
    <row r="1120" ht="12.75" customHeight="1">
      <c r="A1120" s="19" t="str">
        <f t="shared" si="4"/>
        <v>Lesley Fockema Andreae </v>
      </c>
      <c r="B1120" s="19" t="s">
        <v>6642</v>
      </c>
      <c r="C1120" s="29" t="s">
        <v>6643</v>
      </c>
      <c r="D1120" s="29" t="s">
        <v>6644</v>
      </c>
      <c r="E1120" s="62" t="s">
        <v>6645</v>
      </c>
      <c r="F1120" s="50"/>
      <c r="G1120" s="32" t="s">
        <v>46</v>
      </c>
      <c r="H1120" s="25" t="s">
        <v>139</v>
      </c>
      <c r="I1120" s="13" t="s">
        <v>188</v>
      </c>
      <c r="J1120" s="35" t="s">
        <v>6646</v>
      </c>
      <c r="K1120" s="27" t="s">
        <v>50</v>
      </c>
      <c r="L1120" s="13" t="s">
        <v>6647</v>
      </c>
      <c r="M1120" s="26" t="str">
        <f>VLOOKUP(E1120,'MTS 2026 registrations'!B:B,1,false)</f>
        <v>#N/A</v>
      </c>
      <c r="N1120" s="26" t="str">
        <f>VLOOKUP(B1120,'MTS 2026 registrations'!A:A,1,false)</f>
        <v>#N/A</v>
      </c>
      <c r="O1120" s="38" t="str">
        <f t="shared" si="5"/>
        <v>Marked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</row>
    <row r="1121" ht="12.75" customHeight="1">
      <c r="A1121" s="19" t="str">
        <f t="shared" si="4"/>
        <v>Leslie Vijn minezk</v>
      </c>
      <c r="B1121" s="19" t="s">
        <v>6648</v>
      </c>
      <c r="C1121" s="72" t="s">
        <v>6649</v>
      </c>
      <c r="D1121" s="72" t="s">
        <v>6650</v>
      </c>
      <c r="E1121" s="30" t="s">
        <v>6651</v>
      </c>
      <c r="F1121" s="29" t="s">
        <v>5114</v>
      </c>
      <c r="G1121" s="32" t="s">
        <v>323</v>
      </c>
      <c r="H1121" s="13" t="s">
        <v>45</v>
      </c>
      <c r="I1121" s="34"/>
      <c r="J1121" s="35" t="s">
        <v>6652</v>
      </c>
      <c r="K1121" s="27" t="s">
        <v>50</v>
      </c>
      <c r="L1121" s="13" t="s">
        <v>6653</v>
      </c>
      <c r="M1121" s="26" t="str">
        <f>VLOOKUP(E1121,'MTS 2026 registrations'!B:B,1,false)</f>
        <v>#N/A</v>
      </c>
      <c r="N1121" s="26" t="str">
        <f>VLOOKUP(B1121,'MTS 2026 registrations'!A:A,1,false)</f>
        <v>#N/A</v>
      </c>
      <c r="O1121" s="38" t="str">
        <f t="shared" si="5"/>
        <v>Marked</v>
      </c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</row>
    <row r="1122" ht="12.75" customHeight="1">
      <c r="A1122" s="19" t="str">
        <f t="shared" si="4"/>
        <v>Lethabo Motsoaledi Voyc</v>
      </c>
      <c r="B1122" s="19" t="s">
        <v>6654</v>
      </c>
      <c r="C1122" s="29" t="s">
        <v>6655</v>
      </c>
      <c r="D1122" s="29" t="s">
        <v>6656</v>
      </c>
      <c r="E1122" s="31" t="s">
        <v>6657</v>
      </c>
      <c r="F1122" s="33" t="s">
        <v>6658</v>
      </c>
      <c r="G1122" s="24" t="s">
        <v>46</v>
      </c>
      <c r="H1122" s="25" t="s">
        <v>47</v>
      </c>
      <c r="I1122" s="34"/>
      <c r="J1122" s="35" t="s">
        <v>6659</v>
      </c>
      <c r="K1122" s="27" t="s">
        <v>50</v>
      </c>
      <c r="L1122" s="13" t="s">
        <v>6660</v>
      </c>
      <c r="M1122" s="26" t="str">
        <f>VLOOKUP(E1122,'MTS 2026 registrations'!B:B,1,false)</f>
        <v>#N/A</v>
      </c>
      <c r="N1122" s="26" t="str">
        <f>VLOOKUP(B1122,'MTS 2026 registrations'!A:A,1,false)</f>
        <v>#N/A</v>
      </c>
      <c r="O1122" s="38" t="str">
        <f t="shared" si="5"/>
        <v>Marked</v>
      </c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</row>
    <row r="1123" ht="12.75" customHeight="1">
      <c r="A1123" s="19" t="str">
        <f t="shared" si="4"/>
        <v>Lex Westbroek brightlandsventurepartners</v>
      </c>
      <c r="B1123" s="19" t="s">
        <v>6661</v>
      </c>
      <c r="C1123" s="20" t="s">
        <v>6662</v>
      </c>
      <c r="D1123" s="20" t="s">
        <v>6663</v>
      </c>
      <c r="E1123" s="21" t="s">
        <v>6664</v>
      </c>
      <c r="F1123" s="23" t="s">
        <v>6665</v>
      </c>
      <c r="G1123" s="24" t="s">
        <v>163</v>
      </c>
      <c r="H1123" s="25" t="s">
        <v>164</v>
      </c>
      <c r="I1123" s="26"/>
      <c r="J1123" s="35" t="s">
        <v>6666</v>
      </c>
      <c r="K1123" s="27" t="s">
        <v>50</v>
      </c>
      <c r="L1123" s="13" t="s">
        <v>6667</v>
      </c>
      <c r="M1123" s="26" t="str">
        <f>VLOOKUP(E1123,'MTS 2026 registrations'!B:B,1,false)</f>
        <v>#N/A</v>
      </c>
      <c r="N1123" s="26" t="str">
        <f>VLOOKUP(B1123,'MTS 2026 registrations'!A:A,1,false)</f>
        <v>#N/A</v>
      </c>
      <c r="O1123" s="38" t="str">
        <f t="shared" si="5"/>
        <v>Marked</v>
      </c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</row>
    <row r="1124" ht="12.75" customHeight="1">
      <c r="A1124" s="19" t="str">
        <f t="shared" si="4"/>
        <v>Limpens Freek Smoes (YES!Delft) Limpens InnovationQuarter</v>
      </c>
      <c r="B1124" s="19" t="s">
        <v>6668</v>
      </c>
      <c r="C1124" s="60" t="str">
        <f>D1124&amp;" "&amp;H1124</f>
        <v>Limpens Freek Smoes (YES!Delft) </v>
      </c>
      <c r="D1124" s="102" t="s">
        <v>6669</v>
      </c>
      <c r="E1124" s="48" t="s">
        <v>6670</v>
      </c>
      <c r="F1124" s="135" t="s">
        <v>4143</v>
      </c>
      <c r="G1124" s="24" t="s">
        <v>29</v>
      </c>
      <c r="H1124" s="13" t="s">
        <v>213</v>
      </c>
      <c r="I1124" s="23"/>
      <c r="J1124" s="35" t="s">
        <v>6671</v>
      </c>
      <c r="K1124" s="27" t="s">
        <v>50</v>
      </c>
      <c r="L1124" s="13" t="s">
        <v>6672</v>
      </c>
      <c r="M1124" s="26" t="str">
        <f>VLOOKUP(E1124,'MTS 2026 registrations'!B:B,1,false)</f>
        <v>#N/A</v>
      </c>
      <c r="N1124" s="26" t="str">
        <f>VLOOKUP(B1124,'MTS 2026 registrations'!A:A,1,false)</f>
        <v>#N/A</v>
      </c>
      <c r="O1124" s="38" t="str">
        <f t="shared" si="5"/>
        <v>Marked</v>
      </c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34"/>
      <c r="AE1124" s="34"/>
    </row>
    <row r="1125" ht="12.75" customHeight="1">
      <c r="A1125" s="19" t="str">
        <f t="shared" si="4"/>
        <v>Linda Treuman portxl</v>
      </c>
      <c r="B1125" s="19" t="s">
        <v>6673</v>
      </c>
      <c r="C1125" s="29" t="s">
        <v>6674</v>
      </c>
      <c r="D1125" s="29" t="s">
        <v>6675</v>
      </c>
      <c r="E1125" s="30" t="s">
        <v>6676</v>
      </c>
      <c r="F1125" s="29" t="s">
        <v>1587</v>
      </c>
      <c r="G1125" s="32" t="s">
        <v>69</v>
      </c>
      <c r="H1125" s="13" t="s">
        <v>45</v>
      </c>
      <c r="I1125" s="34"/>
      <c r="J1125" s="35" t="s">
        <v>6677</v>
      </c>
      <c r="K1125" s="27" t="s">
        <v>50</v>
      </c>
      <c r="L1125" s="27" t="s">
        <v>6678</v>
      </c>
      <c r="M1125" s="26" t="str">
        <f>VLOOKUP(E1125,'MTS 2026 registrations'!B:B,1,false)</f>
        <v>#N/A</v>
      </c>
      <c r="N1125" s="26" t="str">
        <f>VLOOKUP(B1125,'MTS 2026 registrations'!A:A,1,false)</f>
        <v>#N/A</v>
      </c>
      <c r="O1125" s="38" t="str">
        <f t="shared" si="5"/>
        <v>Marked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</row>
    <row r="1126" ht="12.75" customHeight="1">
      <c r="A1126" s="19" t="str">
        <f t="shared" si="4"/>
        <v>Lisa Ericsson KTH</v>
      </c>
      <c r="B1126" s="19" t="s">
        <v>6679</v>
      </c>
      <c r="C1126" s="134" t="s">
        <v>6680</v>
      </c>
      <c r="D1126" s="102" t="s">
        <v>6681</v>
      </c>
      <c r="E1126" s="48" t="s">
        <v>6682</v>
      </c>
      <c r="F1126" s="135" t="s">
        <v>6683</v>
      </c>
      <c r="G1126" s="42" t="s">
        <v>1306</v>
      </c>
      <c r="H1126" s="25" t="s">
        <v>139</v>
      </c>
      <c r="I1126" s="34"/>
      <c r="J1126" s="35" t="s">
        <v>6684</v>
      </c>
      <c r="K1126" s="27" t="s">
        <v>50</v>
      </c>
      <c r="L1126" s="13" t="s">
        <v>6685</v>
      </c>
      <c r="M1126" s="26" t="str">
        <f>VLOOKUP(E1126,'MTS 2026 registrations'!B:B,1,false)</f>
        <v>#N/A</v>
      </c>
      <c r="N1126" s="26" t="str">
        <f>VLOOKUP(B1126,'MTS 2026 registrations'!A:A,1,false)</f>
        <v>#N/A</v>
      </c>
      <c r="O1126" s="38" t="str">
        <f t="shared" si="5"/>
        <v>Marked</v>
      </c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23"/>
      <c r="AE1126" s="23"/>
    </row>
    <row r="1127" ht="12.75" customHeight="1">
      <c r="A1127" s="19" t="str">
        <f t="shared" si="4"/>
        <v>Lisanne Blauw thujacapital</v>
      </c>
      <c r="B1127" s="19" t="s">
        <v>6686</v>
      </c>
      <c r="C1127" s="20" t="s">
        <v>829</v>
      </c>
      <c r="D1127" s="20" t="s">
        <v>6687</v>
      </c>
      <c r="E1127" s="21" t="s">
        <v>6688</v>
      </c>
      <c r="F1127" s="23" t="s">
        <v>4815</v>
      </c>
      <c r="G1127" s="24" t="s">
        <v>163</v>
      </c>
      <c r="H1127" s="25" t="s">
        <v>164</v>
      </c>
      <c r="I1127" s="34"/>
      <c r="J1127" s="35" t="s">
        <v>6689</v>
      </c>
      <c r="K1127" s="27" t="s">
        <v>50</v>
      </c>
      <c r="L1127" s="13" t="s">
        <v>6690</v>
      </c>
      <c r="M1127" s="26" t="str">
        <f>VLOOKUP(E1127,'MTS 2026 registrations'!B:B,1,false)</f>
        <v>#N/A</v>
      </c>
      <c r="N1127" s="26" t="str">
        <f>VLOOKUP(B1127,'MTS 2026 registrations'!A:A,1,false)</f>
        <v>#N/A</v>
      </c>
      <c r="O1127" s="38" t="str">
        <f t="shared" si="5"/>
        <v>Marked</v>
      </c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</row>
    <row r="1128" ht="12.75" customHeight="1">
      <c r="A1128" s="19" t="str">
        <f t="shared" si="4"/>
        <v>Liselotte de Vries tudelft</v>
      </c>
      <c r="B1128" s="19" t="s">
        <v>6691</v>
      </c>
      <c r="C1128" s="60" t="s">
        <v>6692</v>
      </c>
      <c r="D1128" s="60" t="s">
        <v>105</v>
      </c>
      <c r="E1128" s="62" t="s">
        <v>6693</v>
      </c>
      <c r="F1128" s="64" t="s">
        <v>184</v>
      </c>
      <c r="G1128" s="42" t="s">
        <v>43</v>
      </c>
      <c r="H1128" s="25" t="s">
        <v>139</v>
      </c>
      <c r="I1128" s="34"/>
      <c r="J1128" s="35" t="s">
        <v>6694</v>
      </c>
      <c r="K1128" s="27" t="s">
        <v>50</v>
      </c>
      <c r="L1128" s="13" t="s">
        <v>6695</v>
      </c>
      <c r="M1128" s="26" t="str">
        <f>VLOOKUP(E1128,'MTS 2026 registrations'!B:B,1,false)</f>
        <v>#N/A</v>
      </c>
      <c r="N1128" s="26" t="str">
        <f>VLOOKUP(B1128,'MTS 2026 registrations'!A:A,1,false)</f>
        <v>#N/A</v>
      </c>
      <c r="O1128" s="38" t="str">
        <f t="shared" si="5"/>
        <v>Marked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</row>
    <row r="1129" ht="12.75" customHeight="1">
      <c r="A1129" s="19" t="str">
        <f t="shared" si="4"/>
        <v>Liselotte Stolk Praxa sense</v>
      </c>
      <c r="B1129" s="19" t="s">
        <v>6696</v>
      </c>
      <c r="C1129" s="29" t="s">
        <v>6692</v>
      </c>
      <c r="D1129" s="29" t="s">
        <v>6697</v>
      </c>
      <c r="E1129" s="31" t="s">
        <v>6698</v>
      </c>
      <c r="F1129" s="33" t="s">
        <v>6699</v>
      </c>
      <c r="G1129" s="32" t="s">
        <v>46</v>
      </c>
      <c r="H1129" s="25" t="s">
        <v>47</v>
      </c>
      <c r="I1129" s="34"/>
      <c r="J1129" s="35" t="s">
        <v>6700</v>
      </c>
      <c r="K1129" s="27" t="s">
        <v>50</v>
      </c>
      <c r="L1129" s="13" t="s">
        <v>6701</v>
      </c>
      <c r="M1129" s="26" t="str">
        <f>VLOOKUP(E1129,'MTS 2026 registrations'!B:B,1,false)</f>
        <v>#N/A</v>
      </c>
      <c r="N1129" s="26" t="str">
        <f>VLOOKUP(B1129,'MTS 2026 registrations'!A:A,1,false)</f>
        <v>#N/A</v>
      </c>
      <c r="O1129" s="38" t="str">
        <f t="shared" si="5"/>
        <v>Marked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</row>
    <row r="1130" ht="12.75" customHeight="1">
      <c r="A1130" s="19" t="str">
        <f t="shared" si="4"/>
        <v>Lisette Braakenburg upstreamfestival</v>
      </c>
      <c r="B1130" s="19" t="s">
        <v>6702</v>
      </c>
      <c r="C1130" s="60" t="s">
        <v>6703</v>
      </c>
      <c r="D1130" s="60" t="s">
        <v>6704</v>
      </c>
      <c r="E1130" s="62" t="s">
        <v>6705</v>
      </c>
      <c r="F1130" s="64" t="s">
        <v>6706</v>
      </c>
      <c r="G1130" s="24" t="s">
        <v>29</v>
      </c>
      <c r="H1130" s="25" t="s">
        <v>139</v>
      </c>
      <c r="I1130" s="34"/>
      <c r="J1130" s="35" t="s">
        <v>6707</v>
      </c>
      <c r="K1130" s="27" t="s">
        <v>50</v>
      </c>
      <c r="L1130" s="13" t="s">
        <v>6708</v>
      </c>
      <c r="M1130" s="26" t="str">
        <f>VLOOKUP(E1130,'MTS 2026 registrations'!B:B,1,false)</f>
        <v>#N/A</v>
      </c>
      <c r="N1130" s="26" t="str">
        <f>VLOOKUP(B1130,'MTS 2026 registrations'!A:A,1,false)</f>
        <v>#N/A</v>
      </c>
      <c r="O1130" s="38" t="str">
        <f t="shared" si="5"/>
        <v>Marked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</row>
    <row r="1131" ht="12.75" customHeight="1">
      <c r="A1131" s="19" t="str">
        <f t="shared" si="4"/>
        <v>Lonneke Baas innovationquarter</v>
      </c>
      <c r="B1131" s="19" t="s">
        <v>6709</v>
      </c>
      <c r="C1131" s="138" t="s">
        <v>6710</v>
      </c>
      <c r="D1131" s="138" t="s">
        <v>2754</v>
      </c>
      <c r="E1131" s="139" t="s">
        <v>6711</v>
      </c>
      <c r="F1131" s="23" t="s">
        <v>161</v>
      </c>
      <c r="G1131" s="42" t="s">
        <v>69</v>
      </c>
      <c r="H1131" s="25" t="s">
        <v>139</v>
      </c>
      <c r="I1131" s="34"/>
      <c r="J1131" s="35" t="s">
        <v>6712</v>
      </c>
      <c r="K1131" s="27" t="s">
        <v>50</v>
      </c>
      <c r="L1131" s="13" t="s">
        <v>6713</v>
      </c>
      <c r="M1131" s="26" t="str">
        <f>VLOOKUP(E1131,'MTS 2026 registrations'!B:B,1,false)</f>
        <v>#N/A</v>
      </c>
      <c r="N1131" s="26" t="str">
        <f>VLOOKUP(B1131,'MTS 2026 registrations'!A:A,1,false)</f>
        <v>#N/A</v>
      </c>
      <c r="O1131" s="38" t="str">
        <f t="shared" si="5"/>
        <v>Marked</v>
      </c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</row>
    <row r="1132" ht="12.75" customHeight="1">
      <c r="A1132" s="19" t="str">
        <f t="shared" si="4"/>
        <v>Lonneke Hendrikx-Westhoff </v>
      </c>
      <c r="B1132" s="19" t="s">
        <v>6714</v>
      </c>
      <c r="C1132" s="134" t="s">
        <v>6710</v>
      </c>
      <c r="D1132" s="102" t="s">
        <v>6715</v>
      </c>
      <c r="E1132" s="48" t="s">
        <v>6716</v>
      </c>
      <c r="F1132" s="75"/>
      <c r="G1132" s="32" t="s">
        <v>46</v>
      </c>
      <c r="H1132" s="25" t="s">
        <v>47</v>
      </c>
      <c r="I1132" s="34"/>
      <c r="J1132" s="35" t="s">
        <v>6717</v>
      </c>
      <c r="K1132" s="27" t="s">
        <v>50</v>
      </c>
      <c r="L1132" s="13" t="s">
        <v>6718</v>
      </c>
      <c r="M1132" s="26" t="str">
        <f>VLOOKUP(E1132,'MTS 2026 registrations'!B:B,1,false)</f>
        <v>#N/A</v>
      </c>
      <c r="N1132" s="26" t="str">
        <f>VLOOKUP(B1132,'MTS 2026 registrations'!A:A,1,false)</f>
        <v>#N/A</v>
      </c>
      <c r="O1132" s="38" t="str">
        <f t="shared" si="5"/>
        <v>Marked</v>
      </c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</row>
    <row r="1133" ht="12.75" customHeight="1">
      <c r="A1133" s="19" t="str">
        <f t="shared" si="4"/>
        <v>Lonneke Westerhof loop-biotech</v>
      </c>
      <c r="B1133" s="19" t="s">
        <v>6719</v>
      </c>
      <c r="C1133" s="20" t="s">
        <v>6710</v>
      </c>
      <c r="D1133" s="20" t="s">
        <v>6720</v>
      </c>
      <c r="E1133" s="21" t="s">
        <v>6721</v>
      </c>
      <c r="F1133" s="23" t="s">
        <v>3782</v>
      </c>
      <c r="G1133" s="32" t="s">
        <v>46</v>
      </c>
      <c r="H1133" s="25" t="s">
        <v>47</v>
      </c>
      <c r="I1133" s="34"/>
      <c r="J1133" s="35" t="s">
        <v>6722</v>
      </c>
      <c r="K1133" s="27" t="s">
        <v>50</v>
      </c>
      <c r="L1133" s="13" t="s">
        <v>6723</v>
      </c>
      <c r="M1133" s="26" t="str">
        <f>VLOOKUP(E1133,'MTS 2026 registrations'!B:B,1,false)</f>
        <v>#N/A</v>
      </c>
      <c r="N1133" s="26" t="str">
        <f>VLOOKUP(B1133,'MTS 2026 registrations'!A:A,1,false)</f>
        <v>#N/A</v>
      </c>
      <c r="O1133" s="38" t="str">
        <f t="shared" si="5"/>
        <v>Marked</v>
      </c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</row>
    <row r="1134" ht="12.75" customHeight="1">
      <c r="A1134" s="19" t="str">
        <f t="shared" si="4"/>
        <v>Lotte Leufkens gmail</v>
      </c>
      <c r="B1134" s="19" t="s">
        <v>6724</v>
      </c>
      <c r="C1134" s="60" t="s">
        <v>6725</v>
      </c>
      <c r="D1134" s="193" t="s">
        <v>6726</v>
      </c>
      <c r="E1134" s="62" t="s">
        <v>6727</v>
      </c>
      <c r="F1134" s="64" t="s">
        <v>6728</v>
      </c>
      <c r="G1134" s="24" t="s">
        <v>46</v>
      </c>
      <c r="H1134" s="25" t="s">
        <v>139</v>
      </c>
      <c r="I1134" s="34"/>
      <c r="J1134" s="35" t="s">
        <v>6729</v>
      </c>
      <c r="K1134" s="27" t="s">
        <v>50</v>
      </c>
      <c r="L1134" s="13" t="s">
        <v>6730</v>
      </c>
      <c r="M1134" s="26" t="str">
        <f>VLOOKUP(E1134,'MTS 2026 registrations'!B:B,1,false)</f>
        <v>#N/A</v>
      </c>
      <c r="N1134" s="26" t="str">
        <f>VLOOKUP(B1134,'MTS 2026 registrations'!A:A,1,false)</f>
        <v>#N/A</v>
      </c>
      <c r="O1134" s="38" t="str">
        <f t="shared" si="5"/>
        <v>Marked</v>
      </c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</row>
    <row r="1135" ht="12.75" customHeight="1">
      <c r="A1135" s="19" t="str">
        <f t="shared" si="4"/>
        <v>Luc Schrover Tdvg</v>
      </c>
      <c r="B1135" s="19" t="s">
        <v>6731</v>
      </c>
      <c r="C1135" s="102" t="s">
        <v>2619</v>
      </c>
      <c r="D1135" s="112" t="s">
        <v>6732</v>
      </c>
      <c r="E1135" s="48" t="s">
        <v>6733</v>
      </c>
      <c r="F1135" s="194" t="s">
        <v>6734</v>
      </c>
      <c r="G1135" s="42" t="s">
        <v>1306</v>
      </c>
      <c r="H1135" s="25" t="s">
        <v>139</v>
      </c>
      <c r="I1135" s="34"/>
      <c r="J1135" s="35" t="s">
        <v>6735</v>
      </c>
      <c r="K1135" s="27" t="s">
        <v>50</v>
      </c>
      <c r="L1135" s="13" t="s">
        <v>6736</v>
      </c>
      <c r="M1135" s="26" t="str">
        <f>VLOOKUP(E1135,'MTS 2026 registrations'!B:B,1,false)</f>
        <v>#N/A</v>
      </c>
      <c r="N1135" s="26" t="str">
        <f>VLOOKUP(B1135,'MTS 2026 registrations'!A:A,1,false)</f>
        <v>#N/A</v>
      </c>
      <c r="O1135" s="38" t="str">
        <f t="shared" si="5"/>
        <v>Marked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</row>
    <row r="1136" ht="12.75" customHeight="1">
      <c r="A1136" s="19" t="str">
        <f t="shared" si="4"/>
        <v>Luc Schmitt f.institute</v>
      </c>
      <c r="B1136" s="19" t="s">
        <v>6737</v>
      </c>
      <c r="C1136" s="93" t="s">
        <v>2619</v>
      </c>
      <c r="D1136" s="93" t="s">
        <v>6738</v>
      </c>
      <c r="E1136" s="195" t="s">
        <v>6739</v>
      </c>
      <c r="F1136" s="23" t="s">
        <v>3126</v>
      </c>
      <c r="G1136" s="42" t="s">
        <v>69</v>
      </c>
      <c r="H1136" s="25" t="s">
        <v>47</v>
      </c>
      <c r="I1136" s="34"/>
      <c r="J1136" s="35" t="s">
        <v>6740</v>
      </c>
      <c r="K1136" s="27" t="s">
        <v>50</v>
      </c>
      <c r="L1136" s="13" t="s">
        <v>6741</v>
      </c>
      <c r="M1136" s="26" t="str">
        <f>VLOOKUP(E1136,'MTS 2026 registrations'!B:B,1,false)</f>
        <v>#N/A</v>
      </c>
      <c r="N1136" s="26" t="str">
        <f>VLOOKUP(B1136,'MTS 2026 registrations'!A:A,1,false)</f>
        <v>#N/A</v>
      </c>
      <c r="O1136" s="38" t="str">
        <f t="shared" si="5"/>
        <v>Marked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</row>
    <row r="1137" ht="12.75" customHeight="1">
      <c r="A1137" s="19" t="str">
        <f t="shared" si="4"/>
        <v>Luca Galatro vertigo-tech</v>
      </c>
      <c r="B1137" s="19" t="s">
        <v>6742</v>
      </c>
      <c r="C1137" s="20" t="s">
        <v>6743</v>
      </c>
      <c r="D1137" s="20" t="s">
        <v>6744</v>
      </c>
      <c r="E1137" s="21" t="s">
        <v>6745</v>
      </c>
      <c r="F1137" s="23" t="s">
        <v>6746</v>
      </c>
      <c r="G1137" s="32" t="s">
        <v>46</v>
      </c>
      <c r="H1137" s="25" t="s">
        <v>47</v>
      </c>
      <c r="I1137" s="26"/>
      <c r="J1137" s="35" t="s">
        <v>6747</v>
      </c>
      <c r="K1137" s="27" t="s">
        <v>50</v>
      </c>
      <c r="L1137" s="13" t="s">
        <v>6748</v>
      </c>
      <c r="M1137" s="26" t="str">
        <f>VLOOKUP(E1137,'MTS 2026 registrations'!B:B,1,false)</f>
        <v>#N/A</v>
      </c>
      <c r="N1137" s="26" t="str">
        <f>VLOOKUP(B1137,'MTS 2026 registrations'!A:A,1,false)</f>
        <v>#N/A</v>
      </c>
      <c r="O1137" s="38" t="str">
        <f t="shared" si="5"/>
        <v>Marked</v>
      </c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</row>
    <row r="1138" ht="12.75" customHeight="1">
      <c r="A1138" s="19" t="str">
        <f t="shared" si="4"/>
        <v>Lucas van Vliet tudelft</v>
      </c>
      <c r="B1138" s="19" t="s">
        <v>6749</v>
      </c>
      <c r="C1138" s="43" t="s">
        <v>221</v>
      </c>
      <c r="D1138" s="43" t="s">
        <v>6750</v>
      </c>
      <c r="E1138" s="31" t="s">
        <v>6751</v>
      </c>
      <c r="F1138" s="33" t="s">
        <v>184</v>
      </c>
      <c r="G1138" s="32" t="s">
        <v>43</v>
      </c>
      <c r="H1138" s="25" t="s">
        <v>139</v>
      </c>
      <c r="I1138" s="34"/>
      <c r="J1138" s="35" t="s">
        <v>6752</v>
      </c>
      <c r="K1138" s="27" t="s">
        <v>50</v>
      </c>
      <c r="L1138" s="25" t="s">
        <v>3476</v>
      </c>
      <c r="M1138" s="26" t="str">
        <f>VLOOKUP(E1138,'MTS 2026 registrations'!B:B,1,false)</f>
        <v>#N/A</v>
      </c>
      <c r="N1138" s="26" t="str">
        <f>VLOOKUP(B1138,'MTS 2026 registrations'!A:A,1,false)</f>
        <v>#N/A</v>
      </c>
      <c r="O1138" s="38" t="str">
        <f t="shared" si="5"/>
        <v>Marked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</row>
    <row r="1139" ht="12.75" customHeight="1">
      <c r="A1139" s="19" t="str">
        <f t="shared" si="4"/>
        <v>Lucas van den Akker Protension Composites</v>
      </c>
      <c r="B1139" s="19" t="s">
        <v>6753</v>
      </c>
      <c r="C1139" s="29" t="s">
        <v>221</v>
      </c>
      <c r="D1139" s="29" t="s">
        <v>6754</v>
      </c>
      <c r="E1139" s="31" t="s">
        <v>6755</v>
      </c>
      <c r="F1139" s="33" t="s">
        <v>573</v>
      </c>
      <c r="G1139" s="32" t="s">
        <v>46</v>
      </c>
      <c r="H1139" s="25" t="s">
        <v>47</v>
      </c>
      <c r="I1139" s="34"/>
      <c r="J1139" s="35" t="s">
        <v>6756</v>
      </c>
      <c r="K1139" s="27" t="s">
        <v>50</v>
      </c>
      <c r="L1139" s="13" t="s">
        <v>6757</v>
      </c>
      <c r="M1139" s="26" t="str">
        <f>VLOOKUP(E1139,'MTS 2026 registrations'!B:B,1,false)</f>
        <v>#N/A</v>
      </c>
      <c r="N1139" s="26" t="str">
        <f>VLOOKUP(B1139,'MTS 2026 registrations'!A:A,1,false)</f>
        <v>#N/A</v>
      </c>
      <c r="O1139" s="38" t="str">
        <f t="shared" si="5"/>
        <v>Marked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</row>
    <row r="1140" ht="12.75" customHeight="1">
      <c r="A1140" s="19" t="str">
        <f t="shared" si="4"/>
        <v>Lucas Klamer addoptics</v>
      </c>
      <c r="B1140" s="19" t="s">
        <v>6758</v>
      </c>
      <c r="C1140" s="20" t="s">
        <v>221</v>
      </c>
      <c r="D1140" s="20" t="s">
        <v>6759</v>
      </c>
      <c r="E1140" s="21" t="s">
        <v>6760</v>
      </c>
      <c r="F1140" s="23" t="s">
        <v>6142</v>
      </c>
      <c r="G1140" s="32" t="s">
        <v>46</v>
      </c>
      <c r="H1140" s="25" t="s">
        <v>47</v>
      </c>
      <c r="I1140" s="26"/>
      <c r="J1140" s="35" t="s">
        <v>6761</v>
      </c>
      <c r="K1140" s="27" t="s">
        <v>50</v>
      </c>
      <c r="L1140" s="13" t="s">
        <v>6762</v>
      </c>
      <c r="M1140" s="26" t="str">
        <f>VLOOKUP(E1140,'MTS 2026 registrations'!B:B,1,false)</f>
        <v>#N/A</v>
      </c>
      <c r="N1140" s="26" t="str">
        <f>VLOOKUP(B1140,'MTS 2026 registrations'!A:A,1,false)</f>
        <v>#N/A</v>
      </c>
      <c r="O1140" s="38" t="str">
        <f t="shared" si="5"/>
        <v>Marked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</row>
    <row r="1141" ht="12.75" customHeight="1">
      <c r="A1141" s="19" t="str">
        <f t="shared" si="4"/>
        <v>Lucas Peelen dennendonck</v>
      </c>
      <c r="B1141" s="19" t="s">
        <v>6763</v>
      </c>
      <c r="C1141" s="20" t="s">
        <v>221</v>
      </c>
      <c r="D1141" s="20" t="s">
        <v>6764</v>
      </c>
      <c r="E1141" s="21" t="s">
        <v>6765</v>
      </c>
      <c r="F1141" s="23" t="s">
        <v>6766</v>
      </c>
      <c r="G1141" s="24" t="s">
        <v>163</v>
      </c>
      <c r="H1141" s="25" t="s">
        <v>164</v>
      </c>
      <c r="I1141" s="34"/>
      <c r="J1141" s="35" t="s">
        <v>6767</v>
      </c>
      <c r="K1141" s="27" t="s">
        <v>50</v>
      </c>
      <c r="L1141" s="13" t="s">
        <v>6768</v>
      </c>
      <c r="M1141" s="26" t="str">
        <f>VLOOKUP(E1141,'MTS 2026 registrations'!B:B,1,false)</f>
        <v>#N/A</v>
      </c>
      <c r="N1141" s="26" t="str">
        <f>VLOOKUP(B1141,'MTS 2026 registrations'!A:A,1,false)</f>
        <v>#N/A</v>
      </c>
      <c r="O1141" s="38" t="str">
        <f t="shared" si="5"/>
        <v>Marked</v>
      </c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</row>
    <row r="1142" ht="12.75" customHeight="1">
      <c r="A1142" s="19" t="str">
        <f t="shared" si="4"/>
        <v>Lucien Vijverberg minezk</v>
      </c>
      <c r="B1142" s="19" t="s">
        <v>6769</v>
      </c>
      <c r="C1142" s="60" t="s">
        <v>6770</v>
      </c>
      <c r="D1142" s="60" t="s">
        <v>6771</v>
      </c>
      <c r="E1142" s="62" t="s">
        <v>6772</v>
      </c>
      <c r="F1142" s="64" t="s">
        <v>5114</v>
      </c>
      <c r="G1142" s="42" t="s">
        <v>323</v>
      </c>
      <c r="H1142" s="25" t="s">
        <v>139</v>
      </c>
      <c r="I1142" s="34"/>
      <c r="J1142" s="35" t="s">
        <v>6773</v>
      </c>
      <c r="K1142" s="27" t="s">
        <v>50</v>
      </c>
      <c r="L1142" s="13" t="s">
        <v>6774</v>
      </c>
      <c r="M1142" s="26" t="str">
        <f>VLOOKUP(E1142,'MTS 2026 registrations'!B:B,1,false)</f>
        <v>#N/A</v>
      </c>
      <c r="N1142" s="26" t="str">
        <f>VLOOKUP(B1142,'MTS 2026 registrations'!A:A,1,false)</f>
        <v>#N/A</v>
      </c>
      <c r="O1142" s="38" t="str">
        <f t="shared" si="5"/>
        <v>Marked</v>
      </c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</row>
    <row r="1143" ht="12.75" customHeight="1">
      <c r="A1143" s="19" t="str">
        <f t="shared" si="4"/>
        <v>Lucien Fesselet AgriData Innovations</v>
      </c>
      <c r="B1143" s="19" t="s">
        <v>6775</v>
      </c>
      <c r="C1143" s="29" t="s">
        <v>6770</v>
      </c>
      <c r="D1143" s="29" t="s">
        <v>6776</v>
      </c>
      <c r="E1143" s="62" t="s">
        <v>6777</v>
      </c>
      <c r="F1143" s="50" t="s">
        <v>6778</v>
      </c>
      <c r="G1143" s="32" t="s">
        <v>46</v>
      </c>
      <c r="H1143" s="25" t="s">
        <v>139</v>
      </c>
      <c r="I1143" s="13" t="s">
        <v>188</v>
      </c>
      <c r="J1143" s="35" t="s">
        <v>6779</v>
      </c>
      <c r="K1143" s="27" t="s">
        <v>50</v>
      </c>
      <c r="L1143" s="13" t="s">
        <v>6780</v>
      </c>
      <c r="M1143" s="26" t="str">
        <f>VLOOKUP(E1143,'MTS 2026 registrations'!B:B,1,false)</f>
        <v>#N/A</v>
      </c>
      <c r="N1143" s="26" t="str">
        <f>VLOOKUP(B1143,'MTS 2026 registrations'!A:A,1,false)</f>
        <v>#N/A</v>
      </c>
      <c r="O1143" s="38" t="str">
        <f t="shared" si="5"/>
        <v>Marked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</row>
    <row r="1144" ht="12.75" customHeight="1">
      <c r="A1144" s="19" t="str">
        <f t="shared" si="4"/>
        <v>Lucien Burm dutchstartupassociation</v>
      </c>
      <c r="B1144" s="19" t="s">
        <v>6781</v>
      </c>
      <c r="C1144" s="20" t="s">
        <v>6770</v>
      </c>
      <c r="D1144" s="20" t="s">
        <v>6782</v>
      </c>
      <c r="E1144" s="21" t="s">
        <v>6783</v>
      </c>
      <c r="F1144" s="23" t="s">
        <v>6784</v>
      </c>
      <c r="G1144" s="24" t="s">
        <v>29</v>
      </c>
      <c r="H1144" s="13" t="s">
        <v>213</v>
      </c>
      <c r="I1144" s="34"/>
      <c r="J1144" s="35" t="s">
        <v>6785</v>
      </c>
      <c r="K1144" s="27" t="s">
        <v>50</v>
      </c>
      <c r="L1144" s="13" t="s">
        <v>6786</v>
      </c>
      <c r="M1144" s="26" t="str">
        <f>VLOOKUP(E1144,'MTS 2026 registrations'!B:B,1,false)</f>
        <v>#N/A</v>
      </c>
      <c r="N1144" s="26" t="str">
        <f>VLOOKUP(B1144,'MTS 2026 registrations'!A:A,1,false)</f>
        <v>#N/A</v>
      </c>
      <c r="O1144" s="38" t="str">
        <f t="shared" si="5"/>
        <v>Marked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</row>
    <row r="1145" ht="12.75" customHeight="1">
      <c r="A1145" s="19" t="str">
        <f t="shared" si="4"/>
        <v>Ludolf Stavenga visitreturn</v>
      </c>
      <c r="B1145" s="19" t="s">
        <v>6787</v>
      </c>
      <c r="C1145" s="20" t="s">
        <v>6788</v>
      </c>
      <c r="D1145" s="20" t="s">
        <v>6789</v>
      </c>
      <c r="E1145" s="21" t="s">
        <v>6790</v>
      </c>
      <c r="F1145" s="23" t="s">
        <v>6791</v>
      </c>
      <c r="G1145" s="24" t="s">
        <v>163</v>
      </c>
      <c r="H1145" s="13" t="s">
        <v>213</v>
      </c>
      <c r="I1145" s="26"/>
      <c r="J1145" s="35" t="s">
        <v>6792</v>
      </c>
      <c r="K1145" s="27" t="s">
        <v>50</v>
      </c>
      <c r="L1145" s="13" t="s">
        <v>6793</v>
      </c>
      <c r="M1145" s="26" t="str">
        <f>VLOOKUP(E1145,'MTS 2026 registrations'!B:B,1,false)</f>
        <v>#N/A</v>
      </c>
      <c r="N1145" s="26" t="str">
        <f>VLOOKUP(B1145,'MTS 2026 registrations'!A:A,1,false)</f>
        <v>#N/A</v>
      </c>
      <c r="O1145" s="38" t="str">
        <f t="shared" si="5"/>
        <v>Marked</v>
      </c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</row>
    <row r="1146" ht="12.75" customHeight="1">
      <c r="A1146" s="19" t="str">
        <f t="shared" si="4"/>
        <v>Luuk microlab</v>
      </c>
      <c r="B1146" s="19" t="s">
        <v>2624</v>
      </c>
      <c r="C1146" s="72" t="s">
        <v>2624</v>
      </c>
      <c r="D1146" s="145"/>
      <c r="E1146" s="30" t="s">
        <v>6794</v>
      </c>
      <c r="F1146" s="29" t="s">
        <v>1971</v>
      </c>
      <c r="G1146" s="32" t="s">
        <v>69</v>
      </c>
      <c r="H1146" s="13" t="s">
        <v>45</v>
      </c>
      <c r="I1146" s="34"/>
      <c r="J1146" s="35" t="s">
        <v>6795</v>
      </c>
      <c r="K1146" s="27" t="s">
        <v>50</v>
      </c>
      <c r="L1146" s="13" t="s">
        <v>6796</v>
      </c>
      <c r="M1146" s="26" t="str">
        <f>VLOOKUP(E1146,'MTS 2026 registrations'!B:B,1,false)</f>
        <v>#N/A</v>
      </c>
      <c r="N1146" s="26" t="str">
        <f>VLOOKUP(B1146,'MTS 2026 registrations'!A:A,1,false)</f>
        <v>#N/A</v>
      </c>
      <c r="O1146" s="38" t="str">
        <f t="shared" si="5"/>
        <v>Marked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</row>
    <row r="1147" ht="12.75" customHeight="1">
      <c r="A1147" s="19" t="str">
        <f t="shared" si="4"/>
        <v>Luuk van Langen viazym</v>
      </c>
      <c r="B1147" s="19" t="s">
        <v>6797</v>
      </c>
      <c r="C1147" s="20" t="s">
        <v>2624</v>
      </c>
      <c r="D1147" s="20" t="s">
        <v>6798</v>
      </c>
      <c r="E1147" s="21" t="s">
        <v>6799</v>
      </c>
      <c r="F1147" s="23" t="s">
        <v>6800</v>
      </c>
      <c r="G1147" s="32" t="s">
        <v>46</v>
      </c>
      <c r="H1147" s="25" t="s">
        <v>47</v>
      </c>
      <c r="I1147" s="26"/>
      <c r="J1147" s="35" t="s">
        <v>6801</v>
      </c>
      <c r="K1147" s="27" t="s">
        <v>50</v>
      </c>
      <c r="L1147" s="13" t="s">
        <v>6802</v>
      </c>
      <c r="M1147" s="26" t="str">
        <f>VLOOKUP(E1147,'MTS 2026 registrations'!B:B,1,false)</f>
        <v>#N/A</v>
      </c>
      <c r="N1147" s="26" t="str">
        <f>VLOOKUP(B1147,'MTS 2026 registrations'!A:A,1,false)</f>
        <v>#N/A</v>
      </c>
      <c r="O1147" s="38" t="str">
        <f t="shared" si="5"/>
        <v>Marked</v>
      </c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</row>
    <row r="1148" ht="12.75" customHeight="1">
      <c r="A1148" s="19" t="str">
        <f t="shared" si="4"/>
        <v>Maaike Zwart Gemeente Delft</v>
      </c>
      <c r="B1148" s="19" t="s">
        <v>6803</v>
      </c>
      <c r="C1148" s="20" t="s">
        <v>6804</v>
      </c>
      <c r="D1148" s="20" t="s">
        <v>6564</v>
      </c>
      <c r="E1148" s="21" t="s">
        <v>6805</v>
      </c>
      <c r="F1148" s="52" t="s">
        <v>124</v>
      </c>
      <c r="G1148" s="24" t="s">
        <v>323</v>
      </c>
      <c r="H1148" s="25" t="s">
        <v>139</v>
      </c>
      <c r="I1148" s="34"/>
      <c r="J1148" s="35" t="s">
        <v>6806</v>
      </c>
      <c r="K1148" s="27" t="s">
        <v>50</v>
      </c>
      <c r="L1148" s="13" t="s">
        <v>6807</v>
      </c>
      <c r="M1148" s="26" t="str">
        <f>VLOOKUP(E1148,'MTS 2026 registrations'!B:B,1,false)</f>
        <v>#N/A</v>
      </c>
      <c r="N1148" s="26" t="str">
        <f>VLOOKUP(B1148,'MTS 2026 registrations'!A:A,1,false)</f>
        <v>#N/A</v>
      </c>
      <c r="O1148" s="38" t="str">
        <f t="shared" si="5"/>
        <v>Marked</v>
      </c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</row>
    <row r="1149" ht="12.75" customHeight="1">
      <c r="A1149" s="19" t="str">
        <f t="shared" si="4"/>
        <v>Maarten Kamphuis mblades</v>
      </c>
      <c r="B1149" s="19" t="s">
        <v>6808</v>
      </c>
      <c r="C1149" s="20" t="s">
        <v>261</v>
      </c>
      <c r="D1149" s="20" t="s">
        <v>6809</v>
      </c>
      <c r="E1149" s="21" t="s">
        <v>6810</v>
      </c>
      <c r="F1149" s="23" t="s">
        <v>6811</v>
      </c>
      <c r="G1149" s="32" t="s">
        <v>46</v>
      </c>
      <c r="H1149" s="25" t="s">
        <v>47</v>
      </c>
      <c r="I1149" s="23"/>
      <c r="J1149" s="35" t="s">
        <v>6812</v>
      </c>
      <c r="K1149" s="27" t="s">
        <v>50</v>
      </c>
      <c r="L1149" s="13" t="s">
        <v>6813</v>
      </c>
      <c r="M1149" s="26" t="str">
        <f>VLOOKUP(E1149,'MTS 2026 registrations'!B:B,1,false)</f>
        <v>#N/A</v>
      </c>
      <c r="N1149" s="26" t="str">
        <f>VLOOKUP(B1149,'MTS 2026 registrations'!A:A,1,false)</f>
        <v>#N/A</v>
      </c>
      <c r="O1149" s="38" t="str">
        <f t="shared" si="5"/>
        <v>Marked</v>
      </c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34"/>
      <c r="AE1149" s="34"/>
    </row>
    <row r="1150" ht="12.75" customHeight="1">
      <c r="A1150" s="19" t="str">
        <f t="shared" si="4"/>
        <v>Maarten Korz ZF </v>
      </c>
      <c r="B1150" s="19" t="s">
        <v>6814</v>
      </c>
      <c r="C1150" s="20" t="s">
        <v>261</v>
      </c>
      <c r="D1150" s="20" t="s">
        <v>6815</v>
      </c>
      <c r="E1150" s="21" t="s">
        <v>6816</v>
      </c>
      <c r="F1150" s="23" t="s">
        <v>6817</v>
      </c>
      <c r="G1150" s="24" t="s">
        <v>56</v>
      </c>
      <c r="H1150" s="13" t="s">
        <v>213</v>
      </c>
      <c r="I1150" s="26"/>
      <c r="J1150" s="35" t="s">
        <v>6818</v>
      </c>
      <c r="K1150" s="27" t="s">
        <v>50</v>
      </c>
      <c r="L1150" s="13" t="s">
        <v>6819</v>
      </c>
      <c r="M1150" s="26" t="str">
        <f>VLOOKUP(E1150,'MTS 2026 registrations'!B:B,1,false)</f>
        <v>#N/A</v>
      </c>
      <c r="N1150" s="26" t="str">
        <f>VLOOKUP(B1150,'MTS 2026 registrations'!A:A,1,false)</f>
        <v>#N/A</v>
      </c>
      <c r="O1150" s="38" t="str">
        <f t="shared" si="5"/>
        <v>Marked</v>
      </c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</row>
    <row r="1151" ht="12.75" customHeight="1">
      <c r="A1151" s="19" t="str">
        <f t="shared" si="4"/>
        <v>Maarten van der Seijs vibestechnology</v>
      </c>
      <c r="B1151" s="19" t="s">
        <v>6820</v>
      </c>
      <c r="C1151" s="20" t="s">
        <v>261</v>
      </c>
      <c r="D1151" s="20" t="s">
        <v>6821</v>
      </c>
      <c r="E1151" s="21" t="s">
        <v>6822</v>
      </c>
      <c r="F1151" s="23" t="s">
        <v>583</v>
      </c>
      <c r="G1151" s="32" t="s">
        <v>46</v>
      </c>
      <c r="H1151" s="25" t="s">
        <v>47</v>
      </c>
      <c r="I1151" s="26"/>
      <c r="J1151" s="35" t="s">
        <v>6823</v>
      </c>
      <c r="K1151" s="27" t="s">
        <v>50</v>
      </c>
      <c r="L1151" s="13" t="s">
        <v>6824</v>
      </c>
      <c r="M1151" s="26" t="str">
        <f>VLOOKUP(E1151,'MTS 2026 registrations'!B:B,1,false)</f>
        <v>#N/A</v>
      </c>
      <c r="N1151" s="26" t="str">
        <f>VLOOKUP(B1151,'MTS 2026 registrations'!A:A,1,false)</f>
        <v>#N/A</v>
      </c>
      <c r="O1151" s="38" t="str">
        <f t="shared" si="5"/>
        <v>Marked</v>
      </c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</row>
    <row r="1152" ht="12.75" customHeight="1">
      <c r="A1152" s="19" t="str">
        <f t="shared" si="4"/>
        <v>Maarten Burggraaf dordrecht</v>
      </c>
      <c r="B1152" s="19" t="s">
        <v>6825</v>
      </c>
      <c r="C1152" s="134" t="s">
        <v>261</v>
      </c>
      <c r="D1152" s="193" t="s">
        <v>6826</v>
      </c>
      <c r="E1152" s="62" t="s">
        <v>6827</v>
      </c>
      <c r="F1152" s="64" t="s">
        <v>4618</v>
      </c>
      <c r="G1152" s="24" t="s">
        <v>323</v>
      </c>
      <c r="H1152" s="25" t="s">
        <v>139</v>
      </c>
      <c r="I1152" s="34"/>
      <c r="J1152" s="35" t="s">
        <v>6828</v>
      </c>
      <c r="K1152" s="27" t="s">
        <v>50</v>
      </c>
      <c r="L1152" s="13" t="s">
        <v>6829</v>
      </c>
      <c r="M1152" s="26" t="str">
        <f>VLOOKUP(E1152,'MTS 2026 registrations'!B:B,1,false)</f>
        <v>#N/A</v>
      </c>
      <c r="N1152" s="26" t="str">
        <f>VLOOKUP(B1152,'MTS 2026 registrations'!A:A,1,false)</f>
        <v>#N/A</v>
      </c>
      <c r="O1152" s="38" t="str">
        <f t="shared" si="5"/>
        <v>Marked</v>
      </c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</row>
    <row r="1153" ht="12.75" customHeight="1">
      <c r="A1153" s="19" t="str">
        <f t="shared" si="4"/>
        <v>Maarten Kaptein Gemeente Delft</v>
      </c>
      <c r="B1153" s="19" t="s">
        <v>6830</v>
      </c>
      <c r="C1153" s="20" t="s">
        <v>261</v>
      </c>
      <c r="D1153" s="120" t="s">
        <v>6831</v>
      </c>
      <c r="E1153" s="21" t="s">
        <v>6832</v>
      </c>
      <c r="F1153" s="52" t="s">
        <v>124</v>
      </c>
      <c r="G1153" s="24" t="s">
        <v>323</v>
      </c>
      <c r="H1153" s="25" t="s">
        <v>139</v>
      </c>
      <c r="I1153" s="34"/>
      <c r="J1153" s="35" t="s">
        <v>6833</v>
      </c>
      <c r="K1153" s="27" t="s">
        <v>50</v>
      </c>
      <c r="L1153" s="13" t="s">
        <v>6834</v>
      </c>
      <c r="M1153" s="26" t="str">
        <f>VLOOKUP(E1153,'MTS 2026 registrations'!B:B,1,false)</f>
        <v>#N/A</v>
      </c>
      <c r="N1153" s="26" t="str">
        <f>VLOOKUP(B1153,'MTS 2026 registrations'!A:A,1,false)</f>
        <v>#N/A</v>
      </c>
      <c r="O1153" s="38" t="str">
        <f t="shared" si="5"/>
        <v>Marked</v>
      </c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23"/>
      <c r="AE1153" s="23"/>
    </row>
    <row r="1154" ht="12.75" customHeight="1">
      <c r="A1154" s="19" t="str">
        <f t="shared" si="4"/>
        <v>Maarten Herrebrugh independent</v>
      </c>
      <c r="B1154" s="19" t="s">
        <v>6835</v>
      </c>
      <c r="C1154" s="72" t="s">
        <v>2634</v>
      </c>
      <c r="D1154" s="72" t="s">
        <v>6836</v>
      </c>
      <c r="E1154" s="30" t="s">
        <v>6837</v>
      </c>
      <c r="F1154" s="72" t="s">
        <v>6838</v>
      </c>
      <c r="G1154" s="32" t="s">
        <v>1430</v>
      </c>
      <c r="H1154" s="13" t="s">
        <v>164</v>
      </c>
      <c r="I1154" s="34"/>
      <c r="J1154" s="133" t="s">
        <v>6839</v>
      </c>
      <c r="K1154" s="27" t="s">
        <v>50</v>
      </c>
      <c r="L1154" s="27" t="s">
        <v>6840</v>
      </c>
      <c r="M1154" s="26" t="str">
        <f>VLOOKUP(E1154,'MTS 2026 registrations'!B:B,1,false)</f>
        <v>mherrebrugh@yahoo.com</v>
      </c>
      <c r="N1154" s="26"/>
      <c r="O1154" s="38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</row>
    <row r="1155" ht="12.75" customHeight="1">
      <c r="A1155" s="19" t="str">
        <f t="shared" si="4"/>
        <v>Maarten van der Voort benvalor</v>
      </c>
      <c r="B1155" s="19" t="s">
        <v>6841</v>
      </c>
      <c r="C1155" s="20" t="s">
        <v>2634</v>
      </c>
      <c r="D1155" s="20" t="s">
        <v>1512</v>
      </c>
      <c r="E1155" s="21" t="s">
        <v>6842</v>
      </c>
      <c r="F1155" s="23" t="s">
        <v>2938</v>
      </c>
      <c r="G1155" s="42" t="s">
        <v>69</v>
      </c>
      <c r="H1155" s="25" t="s">
        <v>47</v>
      </c>
      <c r="I1155" s="26"/>
      <c r="J1155" s="35" t="s">
        <v>6843</v>
      </c>
      <c r="K1155" s="27" t="s">
        <v>50</v>
      </c>
      <c r="L1155" s="13" t="s">
        <v>6844</v>
      </c>
      <c r="M1155" s="26" t="str">
        <f>VLOOKUP(E1155,'MTS 2026 registrations'!B:B,1,false)</f>
        <v>#N/A</v>
      </c>
      <c r="N1155" s="26" t="str">
        <f>VLOOKUP(B1155,'MTS 2026 registrations'!A:A,1,false)</f>
        <v>#N/A</v>
      </c>
      <c r="O1155" s="38" t="str">
        <f t="shared" ref="O1155:O1320" si="6">IF(AND(ISNA(M1155), ISNA(N1155)), "Marked", "")</f>
        <v>Marked</v>
      </c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23"/>
      <c r="AE1155" s="23"/>
    </row>
    <row r="1156" ht="12.75" customHeight="1">
      <c r="A1156" s="19" t="str">
        <f t="shared" si="4"/>
        <v>Machtelt Groothuis rubio</v>
      </c>
      <c r="B1156" s="19" t="s">
        <v>6845</v>
      </c>
      <c r="C1156" s="60" t="s">
        <v>6846</v>
      </c>
      <c r="D1156" s="60" t="s">
        <v>5046</v>
      </c>
      <c r="E1156" s="62" t="s">
        <v>6847</v>
      </c>
      <c r="F1156" s="64" t="s">
        <v>4470</v>
      </c>
      <c r="G1156" s="42" t="s">
        <v>163</v>
      </c>
      <c r="H1156" s="25" t="s">
        <v>139</v>
      </c>
      <c r="I1156" s="34"/>
      <c r="J1156" s="35" t="s">
        <v>6848</v>
      </c>
      <c r="K1156" s="27" t="s">
        <v>50</v>
      </c>
      <c r="L1156" s="13" t="s">
        <v>6849</v>
      </c>
      <c r="M1156" s="26" t="str">
        <f>VLOOKUP(E1156,'MTS 2026 registrations'!B:B,1,false)</f>
        <v>#N/A</v>
      </c>
      <c r="N1156" s="26" t="str">
        <f>VLOOKUP(B1156,'MTS 2026 registrations'!A:A,1,false)</f>
        <v>#N/A</v>
      </c>
      <c r="O1156" s="38" t="str">
        <f t="shared" si="6"/>
        <v>Marked</v>
      </c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</row>
    <row r="1157" ht="12.75" customHeight="1">
      <c r="A1157" s="19" t="str">
        <f t="shared" si="4"/>
        <v>Maha Benachir mindef</v>
      </c>
      <c r="B1157" s="19" t="s">
        <v>6850</v>
      </c>
      <c r="C1157" s="72" t="s">
        <v>6851</v>
      </c>
      <c r="D1157" s="72" t="s">
        <v>6852</v>
      </c>
      <c r="E1157" s="30" t="s">
        <v>6853</v>
      </c>
      <c r="F1157" s="29" t="s">
        <v>1527</v>
      </c>
      <c r="G1157" s="32" t="s">
        <v>323</v>
      </c>
      <c r="H1157" s="13" t="s">
        <v>213</v>
      </c>
      <c r="I1157" s="34"/>
      <c r="J1157" s="35" t="s">
        <v>6854</v>
      </c>
      <c r="K1157" s="27" t="s">
        <v>50</v>
      </c>
      <c r="L1157" s="13" t="s">
        <v>6855</v>
      </c>
      <c r="M1157" s="26" t="str">
        <f>VLOOKUP(E1157,'MTS 2026 registrations'!B:B,1,false)</f>
        <v>#N/A</v>
      </c>
      <c r="N1157" s="26" t="str">
        <f>VLOOKUP(B1157,'MTS 2026 registrations'!A:A,1,false)</f>
        <v>#N/A</v>
      </c>
      <c r="O1157" s="38" t="str">
        <f t="shared" si="6"/>
        <v>Marked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</row>
    <row r="1158" ht="12.75" customHeight="1">
      <c r="A1158" s="19" t="str">
        <f t="shared" si="4"/>
        <v>Maja Bos dronesforwork</v>
      </c>
      <c r="B1158" s="19" t="s">
        <v>6856</v>
      </c>
      <c r="C1158" s="20" t="s">
        <v>6857</v>
      </c>
      <c r="D1158" s="20" t="s">
        <v>2737</v>
      </c>
      <c r="E1158" s="21" t="s">
        <v>6858</v>
      </c>
      <c r="F1158" s="23" t="s">
        <v>6859</v>
      </c>
      <c r="G1158" s="32" t="s">
        <v>46</v>
      </c>
      <c r="H1158" s="25" t="s">
        <v>47</v>
      </c>
      <c r="I1158" s="34"/>
      <c r="J1158" s="35" t="s">
        <v>6860</v>
      </c>
      <c r="K1158" s="27" t="s">
        <v>50</v>
      </c>
      <c r="L1158" s="13" t="s">
        <v>6861</v>
      </c>
      <c r="M1158" s="26" t="str">
        <f>VLOOKUP(E1158,'MTS 2026 registrations'!B:B,1,false)</f>
        <v>#N/A</v>
      </c>
      <c r="N1158" s="26" t="str">
        <f>VLOOKUP(B1158,'MTS 2026 registrations'!A:A,1,false)</f>
        <v>#N/A</v>
      </c>
      <c r="O1158" s="38" t="str">
        <f t="shared" si="6"/>
        <v>Marked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</row>
    <row r="1159" ht="12.75" customHeight="1">
      <c r="A1159" s="19" t="str">
        <f t="shared" si="4"/>
        <v>Maja van Dijk joinflux</v>
      </c>
      <c r="B1159" s="19" t="s">
        <v>6862</v>
      </c>
      <c r="C1159" s="20" t="s">
        <v>6857</v>
      </c>
      <c r="D1159" s="20" t="s">
        <v>830</v>
      </c>
      <c r="E1159" s="21" t="s">
        <v>6863</v>
      </c>
      <c r="F1159" s="23" t="s">
        <v>5657</v>
      </c>
      <c r="G1159" s="32" t="s">
        <v>46</v>
      </c>
      <c r="H1159" s="25" t="s">
        <v>47</v>
      </c>
      <c r="I1159" s="34"/>
      <c r="J1159" s="35" t="s">
        <v>6864</v>
      </c>
      <c r="K1159" s="27" t="s">
        <v>50</v>
      </c>
      <c r="L1159" s="13" t="s">
        <v>6865</v>
      </c>
      <c r="M1159" s="26" t="str">
        <f>VLOOKUP(E1159,'MTS 2026 registrations'!B:B,1,false)</f>
        <v>#N/A</v>
      </c>
      <c r="N1159" s="26" t="str">
        <f>VLOOKUP(B1159,'MTS 2026 registrations'!A:A,1,false)</f>
        <v>#N/A</v>
      </c>
      <c r="O1159" s="38" t="str">
        <f t="shared" si="6"/>
        <v>Marked</v>
      </c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</row>
    <row r="1160" ht="12.75" customHeight="1">
      <c r="A1160" s="19" t="str">
        <f t="shared" si="4"/>
        <v>Manon van Duijn pzh</v>
      </c>
      <c r="B1160" s="19" t="s">
        <v>6866</v>
      </c>
      <c r="C1160" s="60" t="s">
        <v>1870</v>
      </c>
      <c r="D1160" s="60" t="s">
        <v>6867</v>
      </c>
      <c r="E1160" s="62" t="s">
        <v>6868</v>
      </c>
      <c r="F1160" s="64" t="s">
        <v>1532</v>
      </c>
      <c r="G1160" s="42" t="s">
        <v>323</v>
      </c>
      <c r="H1160" s="25" t="s">
        <v>139</v>
      </c>
      <c r="I1160" s="34"/>
      <c r="J1160" s="35" t="s">
        <v>6869</v>
      </c>
      <c r="K1160" s="27" t="s">
        <v>50</v>
      </c>
      <c r="L1160" s="13" t="s">
        <v>6870</v>
      </c>
      <c r="M1160" s="26" t="str">
        <f>VLOOKUP(E1160,'MTS 2026 registrations'!B:B,1,false)</f>
        <v>#N/A</v>
      </c>
      <c r="N1160" s="26" t="str">
        <f>VLOOKUP(B1160,'MTS 2026 registrations'!A:A,1,false)</f>
        <v>#N/A</v>
      </c>
      <c r="O1160" s="38" t="str">
        <f t="shared" si="6"/>
        <v>Marked</v>
      </c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</row>
    <row r="1161" ht="12.75" customHeight="1">
      <c r="A1161" s="19" t="str">
        <f t="shared" si="4"/>
        <v>Manuel Rejen iOpener</v>
      </c>
      <c r="B1161" s="19" t="s">
        <v>6871</v>
      </c>
      <c r="C1161" s="161" t="s">
        <v>6872</v>
      </c>
      <c r="D1161" s="161" t="s">
        <v>6873</v>
      </c>
      <c r="E1161" s="123" t="s">
        <v>6874</v>
      </c>
      <c r="F1161" s="33" t="s">
        <v>2967</v>
      </c>
      <c r="G1161" s="24" t="s">
        <v>46</v>
      </c>
      <c r="H1161" s="25" t="s">
        <v>47</v>
      </c>
      <c r="I1161" s="34"/>
      <c r="J1161" s="35" t="s">
        <v>5664</v>
      </c>
      <c r="K1161" s="27" t="s">
        <v>50</v>
      </c>
      <c r="L1161" s="13" t="s">
        <v>6875</v>
      </c>
      <c r="M1161" s="26" t="str">
        <f>VLOOKUP(E1161,'MTS 2026 registrations'!B:B,1,false)</f>
        <v>#N/A</v>
      </c>
      <c r="N1161" s="26" t="str">
        <f>VLOOKUP(B1161,'MTS 2026 registrations'!A:A,1,false)</f>
        <v>#N/A</v>
      </c>
      <c r="O1161" s="38" t="str">
        <f t="shared" si="6"/>
        <v>Marked</v>
      </c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</row>
    <row r="1162" ht="12.75" customHeight="1">
      <c r="A1162" s="19" t="str">
        <f t="shared" si="4"/>
        <v>Manuel Villena Flywheel Impact</v>
      </c>
      <c r="B1162" s="19" t="s">
        <v>6876</v>
      </c>
      <c r="C1162" s="20" t="s">
        <v>6872</v>
      </c>
      <c r="D1162" s="20" t="s">
        <v>6877</v>
      </c>
      <c r="E1162" s="21" t="s">
        <v>6878</v>
      </c>
      <c r="F1162" s="49" t="s">
        <v>6035</v>
      </c>
      <c r="G1162" s="24" t="s">
        <v>163</v>
      </c>
      <c r="H1162" s="26" t="s">
        <v>164</v>
      </c>
      <c r="I1162" s="13"/>
      <c r="J1162" s="35" t="s">
        <v>6879</v>
      </c>
      <c r="K1162" s="27" t="s">
        <v>50</v>
      </c>
      <c r="L1162" s="25" t="s">
        <v>6880</v>
      </c>
      <c r="M1162" s="26" t="str">
        <f>VLOOKUP(E1162,'MTS 2026 registrations'!B:B,1,false)</f>
        <v>#N/A</v>
      </c>
      <c r="N1162" s="26" t="str">
        <f>VLOOKUP(B1162,'MTS 2026 registrations'!A:A,1,false)</f>
        <v>#N/A</v>
      </c>
      <c r="O1162" s="38" t="str">
        <f t="shared" si="6"/>
        <v>Marked</v>
      </c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</row>
    <row r="1163" ht="12.75" customHeight="1">
      <c r="A1163" s="19" t="str">
        <f t="shared" si="4"/>
        <v>Marc Rosier mrdh</v>
      </c>
      <c r="B1163" s="19" t="s">
        <v>6881</v>
      </c>
      <c r="C1163" s="43" t="s">
        <v>1879</v>
      </c>
      <c r="D1163" s="43" t="s">
        <v>3628</v>
      </c>
      <c r="E1163" s="31" t="s">
        <v>6882</v>
      </c>
      <c r="F1163" s="33" t="s">
        <v>3843</v>
      </c>
      <c r="G1163" s="24" t="s">
        <v>29</v>
      </c>
      <c r="H1163" s="25" t="s">
        <v>139</v>
      </c>
      <c r="I1163" s="34"/>
      <c r="J1163" s="35" t="s">
        <v>6883</v>
      </c>
      <c r="K1163" s="27" t="s">
        <v>50</v>
      </c>
      <c r="L1163" s="25" t="s">
        <v>6884</v>
      </c>
      <c r="M1163" s="26" t="str">
        <f>VLOOKUP(E1163,'MTS 2026 registrations'!B:B,1,false)</f>
        <v>#N/A</v>
      </c>
      <c r="N1163" s="26" t="str">
        <f>VLOOKUP(B1163,'MTS 2026 registrations'!A:A,1,false)</f>
        <v>#N/A</v>
      </c>
      <c r="O1163" s="38" t="str">
        <f t="shared" si="6"/>
        <v>Marked</v>
      </c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</row>
    <row r="1164" ht="12.75" customHeight="1">
      <c r="A1164" s="19" t="str">
        <f t="shared" si="4"/>
        <v>Marc van Zuylen aquablu.org</v>
      </c>
      <c r="B1164" s="19" t="s">
        <v>6885</v>
      </c>
      <c r="C1164" s="20" t="s">
        <v>1879</v>
      </c>
      <c r="D1164" s="20" t="s">
        <v>6886</v>
      </c>
      <c r="E1164" s="21" t="s">
        <v>6887</v>
      </c>
      <c r="F1164" s="23" t="s">
        <v>6888</v>
      </c>
      <c r="G1164" s="32" t="s">
        <v>46</v>
      </c>
      <c r="H1164" s="25" t="s">
        <v>47</v>
      </c>
      <c r="I1164" s="26"/>
      <c r="J1164" s="35" t="s">
        <v>6889</v>
      </c>
      <c r="K1164" s="27" t="s">
        <v>50</v>
      </c>
      <c r="L1164" s="13" t="s">
        <v>6890</v>
      </c>
      <c r="M1164" s="26" t="str">
        <f>VLOOKUP(E1164,'MTS 2026 registrations'!B:B,1,false)</f>
        <v>#N/A</v>
      </c>
      <c r="N1164" s="26" t="str">
        <f>VLOOKUP(B1164,'MTS 2026 registrations'!A:A,1,false)</f>
        <v>#N/A</v>
      </c>
      <c r="O1164" s="38" t="str">
        <f t="shared" si="6"/>
        <v>Marked</v>
      </c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23"/>
      <c r="AE1164" s="23"/>
    </row>
    <row r="1165" ht="12.75" customHeight="1">
      <c r="A1165" s="19" t="str">
        <f t="shared" si="4"/>
        <v>Marc de Vries swapfiets</v>
      </c>
      <c r="B1165" s="19" t="s">
        <v>6891</v>
      </c>
      <c r="C1165" s="29" t="s">
        <v>1879</v>
      </c>
      <c r="D1165" s="29" t="s">
        <v>105</v>
      </c>
      <c r="E1165" s="30" t="s">
        <v>6892</v>
      </c>
      <c r="F1165" s="29" t="s">
        <v>1763</v>
      </c>
      <c r="G1165" s="32" t="s">
        <v>46</v>
      </c>
      <c r="H1165" s="13" t="s">
        <v>213</v>
      </c>
      <c r="I1165" s="34"/>
      <c r="J1165" s="35" t="s">
        <v>6893</v>
      </c>
      <c r="K1165" s="27" t="s">
        <v>50</v>
      </c>
      <c r="L1165" s="13" t="s">
        <v>6894</v>
      </c>
      <c r="M1165" s="26" t="str">
        <f>VLOOKUP(E1165,'MTS 2026 registrations'!B:B,1,false)</f>
        <v>#N/A</v>
      </c>
      <c r="N1165" s="26" t="str">
        <f>VLOOKUP(B1165,'MTS 2026 registrations'!A:A,1,false)</f>
        <v>#N/A</v>
      </c>
      <c r="O1165" s="38" t="str">
        <f t="shared" si="6"/>
        <v>Marked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23"/>
      <c r="AE1165" s="23"/>
    </row>
    <row r="1166" ht="12.75" customHeight="1">
      <c r="A1166" s="19" t="str">
        <f t="shared" si="4"/>
        <v>Marc Luebke zf</v>
      </c>
      <c r="B1166" s="19" t="s">
        <v>6895</v>
      </c>
      <c r="C1166" s="72" t="s">
        <v>1879</v>
      </c>
      <c r="D1166" s="72" t="s">
        <v>6896</v>
      </c>
      <c r="E1166" s="30" t="s">
        <v>6897</v>
      </c>
      <c r="F1166" s="29" t="s">
        <v>6898</v>
      </c>
      <c r="G1166" s="32" t="s">
        <v>1306</v>
      </c>
      <c r="H1166" s="13" t="s">
        <v>213</v>
      </c>
      <c r="I1166" s="34"/>
      <c r="J1166" s="35" t="s">
        <v>6899</v>
      </c>
      <c r="K1166" s="27" t="s">
        <v>50</v>
      </c>
      <c r="L1166" s="13" t="s">
        <v>6900</v>
      </c>
      <c r="M1166" s="26" t="str">
        <f>VLOOKUP(E1166,'MTS 2026 registrations'!B:B,1,false)</f>
        <v>#N/A</v>
      </c>
      <c r="N1166" s="26" t="str">
        <f>VLOOKUP(B1166,'MTS 2026 registrations'!A:A,1,false)</f>
        <v>#N/A</v>
      </c>
      <c r="O1166" s="38" t="str">
        <f t="shared" si="6"/>
        <v>Marked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</row>
    <row r="1167" ht="12.75" customHeight="1">
      <c r="A1167" s="19" t="str">
        <f t="shared" si="4"/>
        <v>Marc Postel fairm</v>
      </c>
      <c r="B1167" s="19" t="s">
        <v>6901</v>
      </c>
      <c r="C1167" s="20" t="s">
        <v>1879</v>
      </c>
      <c r="D1167" s="20" t="s">
        <v>6902</v>
      </c>
      <c r="E1167" s="21" t="s">
        <v>6903</v>
      </c>
      <c r="F1167" s="23" t="s">
        <v>6078</v>
      </c>
      <c r="G1167" s="32" t="s">
        <v>46</v>
      </c>
      <c r="H1167" s="25" t="s">
        <v>47</v>
      </c>
      <c r="I1167" s="34"/>
      <c r="J1167" s="35" t="s">
        <v>6904</v>
      </c>
      <c r="K1167" s="27" t="s">
        <v>50</v>
      </c>
      <c r="L1167" s="13" t="s">
        <v>6905</v>
      </c>
      <c r="M1167" s="26" t="str">
        <f>VLOOKUP(E1167,'MTS 2026 registrations'!B:B,1,false)</f>
        <v>#N/A</v>
      </c>
      <c r="N1167" s="26" t="str">
        <f>VLOOKUP(B1167,'MTS 2026 registrations'!A:A,1,false)</f>
        <v>#N/A</v>
      </c>
      <c r="O1167" s="38" t="str">
        <f t="shared" si="6"/>
        <v>Marked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</row>
    <row r="1168" ht="12.75" customHeight="1">
      <c r="A1168" s="19" t="str">
        <f t="shared" si="4"/>
        <v>Marc Goedkoop MgAubel</v>
      </c>
      <c r="B1168" s="19" t="s">
        <v>6906</v>
      </c>
      <c r="C1168" s="29" t="s">
        <v>1879</v>
      </c>
      <c r="D1168" s="29" t="s">
        <v>6907</v>
      </c>
      <c r="E1168" s="31" t="s">
        <v>6908</v>
      </c>
      <c r="F1168" s="33" t="s">
        <v>6909</v>
      </c>
      <c r="G1168" s="32" t="s">
        <v>46</v>
      </c>
      <c r="H1168" s="25" t="s">
        <v>47</v>
      </c>
      <c r="I1168" s="34"/>
      <c r="J1168" s="35" t="s">
        <v>6910</v>
      </c>
      <c r="K1168" s="27" t="s">
        <v>50</v>
      </c>
      <c r="L1168" s="27" t="s">
        <v>6911</v>
      </c>
      <c r="M1168" s="26" t="str">
        <f>VLOOKUP(E1168,'MTS 2026 registrations'!B:B,1,false)</f>
        <v>#N/A</v>
      </c>
      <c r="N1168" s="26" t="str">
        <f>VLOOKUP(B1168,'MTS 2026 registrations'!A:A,1,false)</f>
        <v>#N/A</v>
      </c>
      <c r="O1168" s="38" t="str">
        <f t="shared" si="6"/>
        <v>Marked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</row>
    <row r="1169" ht="12.75" customHeight="1">
      <c r="A1169" s="19" t="str">
        <f t="shared" si="4"/>
        <v>Marc Moest'l tenzingalpha</v>
      </c>
      <c r="B1169" s="19" t="s">
        <v>6912</v>
      </c>
      <c r="C1169" s="20" t="s">
        <v>1879</v>
      </c>
      <c r="D1169" s="20" t="s">
        <v>6913</v>
      </c>
      <c r="E1169" s="112" t="s">
        <v>6914</v>
      </c>
      <c r="F1169" s="49" t="s">
        <v>5028</v>
      </c>
      <c r="G1169" s="24" t="s">
        <v>163</v>
      </c>
      <c r="H1169" s="25" t="s">
        <v>164</v>
      </c>
      <c r="I1169" s="34"/>
      <c r="J1169" s="35" t="s">
        <v>6915</v>
      </c>
      <c r="K1169" s="27" t="s">
        <v>50</v>
      </c>
      <c r="L1169" s="13" t="s">
        <v>6916</v>
      </c>
      <c r="M1169" s="26" t="str">
        <f>VLOOKUP(E1169,'MTS 2026 registrations'!B:B,1,false)</f>
        <v>#N/A</v>
      </c>
      <c r="N1169" s="26" t="str">
        <f>VLOOKUP(B1169,'MTS 2026 registrations'!A:A,1,false)</f>
        <v>#N/A</v>
      </c>
      <c r="O1169" s="38" t="str">
        <f t="shared" si="6"/>
        <v>Marked</v>
      </c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</row>
    <row r="1170" ht="12.75" customHeight="1">
      <c r="A1170" s="19" t="str">
        <f t="shared" si="4"/>
        <v>Marcel Droppert Maxairea</v>
      </c>
      <c r="B1170" s="19" t="s">
        <v>6917</v>
      </c>
      <c r="C1170" s="13" t="s">
        <v>857</v>
      </c>
      <c r="D1170" s="13" t="s">
        <v>6918</v>
      </c>
      <c r="E1170" s="60" t="s">
        <v>6919</v>
      </c>
      <c r="F1170" s="60" t="s">
        <v>2811</v>
      </c>
      <c r="G1170" s="32" t="s">
        <v>46</v>
      </c>
      <c r="H1170" s="25" t="s">
        <v>47</v>
      </c>
      <c r="I1170" s="34"/>
      <c r="J1170" s="35" t="s">
        <v>6920</v>
      </c>
      <c r="K1170" s="27" t="s">
        <v>50</v>
      </c>
      <c r="L1170" s="13" t="s">
        <v>6921</v>
      </c>
      <c r="M1170" s="26" t="str">
        <f>VLOOKUP(E1170,'MTS 2026 registrations'!B:B,1,false)</f>
        <v>#N/A</v>
      </c>
      <c r="N1170" s="26" t="str">
        <f>VLOOKUP(B1170,'MTS 2026 registrations'!A:A,1,false)</f>
        <v>#N/A</v>
      </c>
      <c r="O1170" s="38" t="str">
        <f t="shared" si="6"/>
        <v>Marked</v>
      </c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</row>
    <row r="1171" ht="12.75" customHeight="1">
      <c r="A1171" s="19" t="str">
        <f t="shared" si="4"/>
        <v>marcel EXO-L</v>
      </c>
      <c r="B1171" s="19" t="s">
        <v>6922</v>
      </c>
      <c r="C1171" s="29" t="s">
        <v>6922</v>
      </c>
      <c r="D1171" s="109"/>
      <c r="E1171" s="31" t="s">
        <v>6923</v>
      </c>
      <c r="F1171" s="33" t="s">
        <v>4881</v>
      </c>
      <c r="G1171" s="24" t="s">
        <v>46</v>
      </c>
      <c r="H1171" s="25" t="s">
        <v>47</v>
      </c>
      <c r="I1171" s="34"/>
      <c r="J1171" s="35" t="s">
        <v>6924</v>
      </c>
      <c r="K1171" s="27" t="s">
        <v>50</v>
      </c>
      <c r="L1171" s="13" t="s">
        <v>6925</v>
      </c>
      <c r="M1171" s="26" t="str">
        <f>VLOOKUP(E1171,'MTS 2026 registrations'!B:B,1,false)</f>
        <v>#N/A</v>
      </c>
      <c r="N1171" s="26" t="str">
        <f>VLOOKUP(B1171,'MTS 2026 registrations'!A:A,1,false)</f>
        <v>#N/A</v>
      </c>
      <c r="O1171" s="38" t="str">
        <f t="shared" si="6"/>
        <v>Marked</v>
      </c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</row>
    <row r="1172" ht="12.75" customHeight="1">
      <c r="A1172" s="19" t="str">
        <f t="shared" si="4"/>
        <v>Marcel Jutte Independent</v>
      </c>
      <c r="B1172" s="19" t="s">
        <v>6926</v>
      </c>
      <c r="C1172" s="116" t="s">
        <v>857</v>
      </c>
      <c r="D1172" s="116" t="s">
        <v>6927</v>
      </c>
      <c r="E1172" s="112" t="s">
        <v>6928</v>
      </c>
      <c r="F1172" s="66" t="s">
        <v>1209</v>
      </c>
      <c r="G1172" s="24" t="s">
        <v>225</v>
      </c>
      <c r="H1172" s="25" t="s">
        <v>47</v>
      </c>
      <c r="I1172" s="34"/>
      <c r="J1172" s="35" t="s">
        <v>6929</v>
      </c>
      <c r="K1172" s="27" t="s">
        <v>50</v>
      </c>
      <c r="L1172" s="13" t="s">
        <v>6930</v>
      </c>
      <c r="M1172" s="26" t="str">
        <f>VLOOKUP(E1172,'MTS 2026 registrations'!B:B,1,false)</f>
        <v>marcel@fomaco.nl</v>
      </c>
      <c r="N1172" s="26" t="str">
        <f>VLOOKUP(B1172,'MTS 2026 registrations'!A:A,1,false)</f>
        <v>Marcel Jutte</v>
      </c>
      <c r="O1172" s="38" t="str">
        <f t="shared" si="6"/>
        <v/>
      </c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</row>
    <row r="1173" ht="12.75" customHeight="1">
      <c r="A1173" s="19" t="str">
        <f t="shared" si="4"/>
        <v>Marcel Matthijs tradecloud</v>
      </c>
      <c r="B1173" s="19" t="s">
        <v>6931</v>
      </c>
      <c r="C1173" s="20" t="s">
        <v>857</v>
      </c>
      <c r="D1173" s="20" t="s">
        <v>1924</v>
      </c>
      <c r="E1173" s="21" t="s">
        <v>6932</v>
      </c>
      <c r="F1173" s="23" t="s">
        <v>6933</v>
      </c>
      <c r="G1173" s="32" t="s">
        <v>46</v>
      </c>
      <c r="H1173" s="25" t="s">
        <v>47</v>
      </c>
      <c r="I1173" s="26"/>
      <c r="J1173" s="35" t="s">
        <v>6934</v>
      </c>
      <c r="K1173" s="27" t="s">
        <v>50</v>
      </c>
      <c r="L1173" s="13" t="s">
        <v>6935</v>
      </c>
      <c r="M1173" s="26" t="str">
        <f>VLOOKUP(E1173,'MTS 2026 registrations'!B:B,1,false)</f>
        <v>#N/A</v>
      </c>
      <c r="N1173" s="26" t="str">
        <f>VLOOKUP(B1173,'MTS 2026 registrations'!A:A,1,false)</f>
        <v>#N/A</v>
      </c>
      <c r="O1173" s="38" t="str">
        <f t="shared" si="6"/>
        <v>Marked</v>
      </c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</row>
    <row r="1174" ht="12.75" customHeight="1">
      <c r="A1174" s="19" t="str">
        <f t="shared" si="4"/>
        <v>Marcel Van De Vorst Angel</v>
      </c>
      <c r="B1174" s="19" t="s">
        <v>6936</v>
      </c>
      <c r="C1174" s="20" t="s">
        <v>857</v>
      </c>
      <c r="D1174" s="20" t="s">
        <v>6937</v>
      </c>
      <c r="E1174" s="21" t="s">
        <v>6938</v>
      </c>
      <c r="F1174" s="49" t="s">
        <v>1430</v>
      </c>
      <c r="G1174" s="24" t="s">
        <v>163</v>
      </c>
      <c r="H1174" s="26" t="s">
        <v>164</v>
      </c>
      <c r="I1174" s="13"/>
      <c r="J1174" s="35" t="s">
        <v>6939</v>
      </c>
      <c r="K1174" s="27" t="s">
        <v>50</v>
      </c>
      <c r="L1174" s="25" t="s">
        <v>6940</v>
      </c>
      <c r="M1174" s="26" t="str">
        <f>VLOOKUP(E1174,'MTS 2026 registrations'!B:B,1,false)</f>
        <v>#N/A</v>
      </c>
      <c r="N1174" s="26" t="str">
        <f>VLOOKUP(B1174,'MTS 2026 registrations'!A:A,1,false)</f>
        <v>#N/A</v>
      </c>
      <c r="O1174" s="38" t="str">
        <f t="shared" si="6"/>
        <v>Marked</v>
      </c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</row>
    <row r="1175" ht="12.75" customHeight="1">
      <c r="A1175" s="19" t="str">
        <f t="shared" si="4"/>
        <v>Marceline duprie mac</v>
      </c>
      <c r="B1175" s="19" t="s">
        <v>6941</v>
      </c>
      <c r="C1175" s="72" t="s">
        <v>6942</v>
      </c>
      <c r="D1175" s="29" t="s">
        <v>6943</v>
      </c>
      <c r="E1175" s="30" t="s">
        <v>6944</v>
      </c>
      <c r="F1175" s="29" t="s">
        <v>6945</v>
      </c>
      <c r="G1175" s="32" t="s">
        <v>1306</v>
      </c>
      <c r="H1175" s="13" t="s">
        <v>213</v>
      </c>
      <c r="I1175" s="34"/>
      <c r="J1175" s="35" t="s">
        <v>6946</v>
      </c>
      <c r="K1175" s="27" t="s">
        <v>50</v>
      </c>
      <c r="L1175" s="13" t="s">
        <v>6947</v>
      </c>
      <c r="M1175" s="26" t="str">
        <f>VLOOKUP(E1175,'MTS 2026 registrations'!B:B,1,false)</f>
        <v>#N/A</v>
      </c>
      <c r="N1175" s="26" t="str">
        <f>VLOOKUP(B1175,'MTS 2026 registrations'!A:A,1,false)</f>
        <v>#N/A</v>
      </c>
      <c r="O1175" s="38" t="str">
        <f t="shared" si="6"/>
        <v>Marked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</row>
    <row r="1176" ht="12.75" customHeight="1">
      <c r="A1176" s="19" t="str">
        <f t="shared" si="4"/>
        <v>Marco Waas nobian</v>
      </c>
      <c r="B1176" s="19" t="s">
        <v>6948</v>
      </c>
      <c r="C1176" s="60" t="s">
        <v>6949</v>
      </c>
      <c r="D1176" s="60" t="s">
        <v>6950</v>
      </c>
      <c r="E1176" s="62" t="s">
        <v>6951</v>
      </c>
      <c r="F1176" s="64" t="s">
        <v>6952</v>
      </c>
      <c r="G1176" s="24" t="s">
        <v>56</v>
      </c>
      <c r="H1176" s="25" t="s">
        <v>139</v>
      </c>
      <c r="I1176" s="34"/>
      <c r="J1176" s="35" t="s">
        <v>6953</v>
      </c>
      <c r="K1176" s="27" t="s">
        <v>50</v>
      </c>
      <c r="L1176" s="13" t="s">
        <v>6954</v>
      </c>
      <c r="M1176" s="26" t="str">
        <f>VLOOKUP(E1176,'MTS 2026 registrations'!B:B,1,false)</f>
        <v>#N/A</v>
      </c>
      <c r="N1176" s="26" t="str">
        <f>VLOOKUP(B1176,'MTS 2026 registrations'!A:A,1,false)</f>
        <v>#N/A</v>
      </c>
      <c r="O1176" s="38" t="str">
        <f t="shared" si="6"/>
        <v>Marked</v>
      </c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</row>
    <row r="1177" ht="12.75" customHeight="1">
      <c r="A1177" s="19" t="str">
        <f t="shared" si="4"/>
        <v>Marco van der Woude Breeze</v>
      </c>
      <c r="B1177" s="19" t="s">
        <v>6955</v>
      </c>
      <c r="C1177" s="29" t="s">
        <v>6949</v>
      </c>
      <c r="D1177" s="29" t="s">
        <v>6956</v>
      </c>
      <c r="E1177" s="62" t="s">
        <v>6957</v>
      </c>
      <c r="F1177" s="50" t="s">
        <v>6153</v>
      </c>
      <c r="G1177" s="32" t="s">
        <v>46</v>
      </c>
      <c r="H1177" s="25" t="s">
        <v>139</v>
      </c>
      <c r="I1177" s="13" t="s">
        <v>188</v>
      </c>
      <c r="J1177" s="35" t="s">
        <v>6958</v>
      </c>
      <c r="K1177" s="27" t="s">
        <v>50</v>
      </c>
      <c r="L1177" s="13" t="s">
        <v>6959</v>
      </c>
      <c r="M1177" s="26" t="str">
        <f>VLOOKUP(E1177,'MTS 2026 registrations'!B:B,1,false)</f>
        <v>#N/A</v>
      </c>
      <c r="N1177" s="26" t="str">
        <f>VLOOKUP(B1177,'MTS 2026 registrations'!A:A,1,false)</f>
        <v>#N/A</v>
      </c>
      <c r="O1177" s="38" t="str">
        <f t="shared" si="6"/>
        <v>Marked</v>
      </c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</row>
    <row r="1178" ht="12.75" customHeight="1">
      <c r="A1178" s="19" t="str">
        <f t="shared" si="4"/>
        <v>Marco Zijlstra Nurtio</v>
      </c>
      <c r="B1178" s="19" t="s">
        <v>6960</v>
      </c>
      <c r="C1178" s="29" t="s">
        <v>6949</v>
      </c>
      <c r="D1178" s="29" t="s">
        <v>5554</v>
      </c>
      <c r="E1178" s="31" t="s">
        <v>6961</v>
      </c>
      <c r="F1178" s="33" t="s">
        <v>6962</v>
      </c>
      <c r="G1178" s="24" t="s">
        <v>46</v>
      </c>
      <c r="H1178" s="25" t="s">
        <v>47</v>
      </c>
      <c r="I1178" s="34"/>
      <c r="J1178" s="35" t="s">
        <v>6963</v>
      </c>
      <c r="K1178" s="27" t="s">
        <v>50</v>
      </c>
      <c r="L1178" s="13" t="s">
        <v>6964</v>
      </c>
      <c r="M1178" s="26" t="str">
        <f>VLOOKUP(E1178,'MTS 2026 registrations'!B:B,1,false)</f>
        <v>#N/A</v>
      </c>
      <c r="N1178" s="26" t="str">
        <f>VLOOKUP(B1178,'MTS 2026 registrations'!A:A,1,false)</f>
        <v>#N/A</v>
      </c>
      <c r="O1178" s="38" t="str">
        <f t="shared" si="6"/>
        <v>Marked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23"/>
      <c r="AE1178" s="23"/>
    </row>
    <row r="1179" ht="12.75" customHeight="1">
      <c r="A1179" s="19" t="str">
        <f t="shared" si="4"/>
        <v>Marcus Kremers airborne</v>
      </c>
      <c r="B1179" s="19" t="s">
        <v>6965</v>
      </c>
      <c r="C1179" s="20" t="s">
        <v>6966</v>
      </c>
      <c r="D1179" s="20" t="s">
        <v>6967</v>
      </c>
      <c r="E1179" s="112" t="s">
        <v>6968</v>
      </c>
      <c r="F1179" s="23" t="s">
        <v>6969</v>
      </c>
      <c r="G1179" s="24" t="s">
        <v>225</v>
      </c>
      <c r="H1179" s="25" t="s">
        <v>47</v>
      </c>
      <c r="I1179" s="26"/>
      <c r="J1179" s="35" t="s">
        <v>6970</v>
      </c>
      <c r="K1179" s="27" t="s">
        <v>50</v>
      </c>
      <c r="L1179" s="13" t="s">
        <v>6971</v>
      </c>
      <c r="M1179" s="26" t="str">
        <f>VLOOKUP(E1179,'MTS 2026 registrations'!B:B,1,false)</f>
        <v>#N/A</v>
      </c>
      <c r="N1179" s="26" t="str">
        <f>VLOOKUP(B1179,'MTS 2026 registrations'!A:A,1,false)</f>
        <v>#N/A</v>
      </c>
      <c r="O1179" s="38" t="str">
        <f t="shared" si="6"/>
        <v>Marked</v>
      </c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</row>
    <row r="1180" ht="12.75" customHeight="1">
      <c r="A1180" s="19" t="str">
        <f t="shared" si="4"/>
        <v>Marcus shell</v>
      </c>
      <c r="B1180" s="19" t="s">
        <v>6966</v>
      </c>
      <c r="C1180" s="72" t="s">
        <v>6966</v>
      </c>
      <c r="D1180" s="145"/>
      <c r="E1180" s="30" t="s">
        <v>6972</v>
      </c>
      <c r="F1180" s="29" t="s">
        <v>55</v>
      </c>
      <c r="G1180" s="32" t="s">
        <v>56</v>
      </c>
      <c r="H1180" s="13" t="s">
        <v>45</v>
      </c>
      <c r="I1180" s="34"/>
      <c r="J1180" s="35" t="s">
        <v>6973</v>
      </c>
      <c r="K1180" s="27" t="s">
        <v>50</v>
      </c>
      <c r="L1180" s="13" t="s">
        <v>6974</v>
      </c>
      <c r="M1180" s="26" t="str">
        <f>VLOOKUP(E1180,'MTS 2026 registrations'!B:B,1,false)</f>
        <v>#N/A</v>
      </c>
      <c r="N1180" s="26" t="str">
        <f>VLOOKUP(B1180,'MTS 2026 registrations'!A:A,1,false)</f>
        <v>#N/A</v>
      </c>
      <c r="O1180" s="38" t="str">
        <f t="shared" si="6"/>
        <v>Marked</v>
      </c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</row>
    <row r="1181" ht="12.75" customHeight="1">
      <c r="A1181" s="19" t="str">
        <f t="shared" si="4"/>
        <v>Mare Straetmans platformzero</v>
      </c>
      <c r="B1181" s="19" t="s">
        <v>6975</v>
      </c>
      <c r="C1181" s="60" t="s">
        <v>6976</v>
      </c>
      <c r="D1181" s="60" t="s">
        <v>6977</v>
      </c>
      <c r="E1181" s="128" t="s">
        <v>6978</v>
      </c>
      <c r="F1181" s="64" t="s">
        <v>3589</v>
      </c>
      <c r="G1181" s="24" t="s">
        <v>69</v>
      </c>
      <c r="H1181" s="25" t="s">
        <v>45</v>
      </c>
      <c r="I1181" s="34"/>
      <c r="J1181" s="35" t="s">
        <v>6979</v>
      </c>
      <c r="K1181" s="27" t="s">
        <v>50</v>
      </c>
      <c r="L1181" s="13" t="s">
        <v>6980</v>
      </c>
      <c r="M1181" s="26" t="str">
        <f>VLOOKUP(E1181,'MTS 2026 registrations'!B:B,1,false)</f>
        <v>#N/A</v>
      </c>
      <c r="N1181" s="26" t="str">
        <f>VLOOKUP(B1181,'MTS 2026 registrations'!A:A,1,false)</f>
        <v>#N/A</v>
      </c>
      <c r="O1181" s="38" t="str">
        <f t="shared" si="6"/>
        <v>Marked</v>
      </c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</row>
    <row r="1182" ht="12.75" customHeight="1">
      <c r="A1182" s="19" t="str">
        <f t="shared" si="4"/>
        <v>Mareen Tack wago</v>
      </c>
      <c r="B1182" s="19" t="s">
        <v>6981</v>
      </c>
      <c r="C1182" s="72" t="s">
        <v>6982</v>
      </c>
      <c r="D1182" s="29" t="s">
        <v>6983</v>
      </c>
      <c r="E1182" s="30" t="s">
        <v>6984</v>
      </c>
      <c r="F1182" s="29" t="s">
        <v>6985</v>
      </c>
      <c r="G1182" s="24" t="s">
        <v>46</v>
      </c>
      <c r="H1182" s="13" t="s">
        <v>45</v>
      </c>
      <c r="I1182" s="34"/>
      <c r="J1182" s="35" t="s">
        <v>6986</v>
      </c>
      <c r="K1182" s="27" t="s">
        <v>50</v>
      </c>
      <c r="L1182" s="13" t="s">
        <v>6987</v>
      </c>
      <c r="M1182" s="26" t="str">
        <f>VLOOKUP(E1182,'MTS 2026 registrations'!B:B,1,false)</f>
        <v>#N/A</v>
      </c>
      <c r="N1182" s="26" t="str">
        <f>VLOOKUP(B1182,'MTS 2026 registrations'!A:A,1,false)</f>
        <v>#N/A</v>
      </c>
      <c r="O1182" s="38" t="str">
        <f t="shared" si="6"/>
        <v>Marked</v>
      </c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</row>
    <row r="1183" ht="12.75" customHeight="1">
      <c r="A1183" s="19" t="str">
        <f t="shared" si="4"/>
        <v>Mareno de Kort CO2Zero</v>
      </c>
      <c r="B1183" s="19" t="s">
        <v>6988</v>
      </c>
      <c r="C1183" s="29" t="s">
        <v>6989</v>
      </c>
      <c r="D1183" s="29" t="s">
        <v>6990</v>
      </c>
      <c r="E1183" s="31" t="s">
        <v>6991</v>
      </c>
      <c r="F1183" s="113" t="s">
        <v>1017</v>
      </c>
      <c r="G1183" s="32" t="s">
        <v>46</v>
      </c>
      <c r="H1183" s="25" t="s">
        <v>47</v>
      </c>
      <c r="I1183" s="34"/>
      <c r="J1183" s="35" t="s">
        <v>6992</v>
      </c>
      <c r="K1183" s="27" t="s">
        <v>50</v>
      </c>
      <c r="L1183" s="13" t="s">
        <v>6993</v>
      </c>
      <c r="M1183" s="26" t="str">
        <f>VLOOKUP(E1183,'MTS 2026 registrations'!B:B,1,false)</f>
        <v>#N/A</v>
      </c>
      <c r="N1183" s="26" t="str">
        <f>VLOOKUP(B1183,'MTS 2026 registrations'!A:A,1,false)</f>
        <v>#N/A</v>
      </c>
      <c r="O1183" s="38" t="str">
        <f t="shared" si="6"/>
        <v>Marked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</row>
    <row r="1184" ht="12.75" customHeight="1">
      <c r="A1184" s="19" t="str">
        <f t="shared" si="4"/>
        <v>Marianne Vlak deltares</v>
      </c>
      <c r="B1184" s="19" t="s">
        <v>6994</v>
      </c>
      <c r="C1184" s="29" t="s">
        <v>6995</v>
      </c>
      <c r="D1184" s="29" t="s">
        <v>6996</v>
      </c>
      <c r="E1184" s="30" t="s">
        <v>6997</v>
      </c>
      <c r="F1184" s="29" t="s">
        <v>3431</v>
      </c>
      <c r="G1184" s="32" t="s">
        <v>43</v>
      </c>
      <c r="H1184" s="13" t="s">
        <v>213</v>
      </c>
      <c r="I1184" s="34"/>
      <c r="J1184" s="35" t="s">
        <v>6998</v>
      </c>
      <c r="K1184" s="27" t="s">
        <v>50</v>
      </c>
      <c r="L1184" s="13" t="s">
        <v>6999</v>
      </c>
      <c r="M1184" s="26" t="str">
        <f>VLOOKUP(E1184,'MTS 2026 registrations'!B:B,1,false)</f>
        <v>#N/A</v>
      </c>
      <c r="N1184" s="26" t="str">
        <f>VLOOKUP(B1184,'MTS 2026 registrations'!A:A,1,false)</f>
        <v>#N/A</v>
      </c>
      <c r="O1184" s="38" t="str">
        <f t="shared" si="6"/>
        <v>Marked</v>
      </c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</row>
    <row r="1185" ht="12.75" customHeight="1">
      <c r="A1185" s="19" t="str">
        <f t="shared" si="4"/>
        <v>Marie wago</v>
      </c>
      <c r="B1185" s="19" t="s">
        <v>7000</v>
      </c>
      <c r="C1185" s="196" t="s">
        <v>7000</v>
      </c>
      <c r="D1185" s="197"/>
      <c r="E1185" s="30" t="s">
        <v>7001</v>
      </c>
      <c r="F1185" s="29" t="s">
        <v>6985</v>
      </c>
      <c r="G1185" s="24" t="s">
        <v>46</v>
      </c>
      <c r="H1185" s="13" t="s">
        <v>45</v>
      </c>
      <c r="I1185" s="34"/>
      <c r="J1185" s="35" t="s">
        <v>7002</v>
      </c>
      <c r="K1185" s="27" t="s">
        <v>50</v>
      </c>
      <c r="L1185" s="13" t="s">
        <v>7003</v>
      </c>
      <c r="M1185" s="26" t="str">
        <f>VLOOKUP(E1185,'MTS 2026 registrations'!B:B,1,false)</f>
        <v>#N/A</v>
      </c>
      <c r="N1185" s="26" t="str">
        <f>VLOOKUP(B1185,'MTS 2026 registrations'!A:A,1,false)</f>
        <v>#N/A</v>
      </c>
      <c r="O1185" s="38" t="str">
        <f t="shared" si="6"/>
        <v>Marked</v>
      </c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</row>
    <row r="1186" ht="12.75" customHeight="1">
      <c r="A1186" s="19" t="str">
        <f t="shared" si="4"/>
        <v>Marie-Claire rocmondriaan</v>
      </c>
      <c r="B1186" s="19" t="s">
        <v>7004</v>
      </c>
      <c r="C1186" s="198" t="s">
        <v>7004</v>
      </c>
      <c r="D1186" s="145"/>
      <c r="E1186" s="30" t="s">
        <v>7005</v>
      </c>
      <c r="F1186" s="29" t="s">
        <v>7006</v>
      </c>
      <c r="G1186" s="32" t="s">
        <v>43</v>
      </c>
      <c r="H1186" s="13" t="s">
        <v>45</v>
      </c>
      <c r="I1186" s="34"/>
      <c r="J1186" s="35" t="s">
        <v>7007</v>
      </c>
      <c r="K1186" s="27" t="s">
        <v>50</v>
      </c>
      <c r="L1186" s="13" t="s">
        <v>7008</v>
      </c>
      <c r="M1186" s="26" t="str">
        <f>VLOOKUP(E1186,'MTS 2026 registrations'!B:B,1,false)</f>
        <v>#N/A</v>
      </c>
      <c r="N1186" s="26" t="str">
        <f>VLOOKUP(B1186,'MTS 2026 registrations'!A:A,1,false)</f>
        <v>#N/A</v>
      </c>
      <c r="O1186" s="38" t="str">
        <f t="shared" si="6"/>
        <v>Marked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</row>
    <row r="1187" ht="12.75" customHeight="1">
      <c r="A1187" s="19" t="str">
        <f t="shared" si="4"/>
        <v>Marieke Prosman GeoSignum</v>
      </c>
      <c r="B1187" s="19" t="s">
        <v>7009</v>
      </c>
      <c r="C1187" s="29" t="s">
        <v>1901</v>
      </c>
      <c r="D1187" s="29" t="s">
        <v>7010</v>
      </c>
      <c r="E1187" s="31" t="s">
        <v>7011</v>
      </c>
      <c r="F1187" s="33" t="s">
        <v>7012</v>
      </c>
      <c r="G1187" s="24" t="s">
        <v>46</v>
      </c>
      <c r="H1187" s="25" t="s">
        <v>47</v>
      </c>
      <c r="I1187" s="34"/>
      <c r="J1187" s="35" t="s">
        <v>7013</v>
      </c>
      <c r="K1187" s="27" t="s">
        <v>50</v>
      </c>
      <c r="L1187" s="13" t="s">
        <v>7014</v>
      </c>
      <c r="M1187" s="26" t="str">
        <f>VLOOKUP(E1187,'MTS 2026 registrations'!B:B,1,false)</f>
        <v>#N/A</v>
      </c>
      <c r="N1187" s="26" t="str">
        <f>VLOOKUP(B1187,'MTS 2026 registrations'!A:A,1,false)</f>
        <v>#N/A</v>
      </c>
      <c r="O1187" s="38" t="str">
        <f t="shared" si="6"/>
        <v>Marked</v>
      </c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</row>
    <row r="1188" ht="12.75" customHeight="1">
      <c r="A1188" s="19" t="str">
        <f t="shared" si="4"/>
        <v>Marije Stijkel bluecity</v>
      </c>
      <c r="B1188" s="19" t="s">
        <v>7015</v>
      </c>
      <c r="C1188" s="72" t="s">
        <v>864</v>
      </c>
      <c r="D1188" s="72" t="s">
        <v>7016</v>
      </c>
      <c r="E1188" s="123" t="s">
        <v>7017</v>
      </c>
      <c r="F1188" s="29" t="s">
        <v>1733</v>
      </c>
      <c r="G1188" s="24" t="s">
        <v>29</v>
      </c>
      <c r="H1188" s="13" t="s">
        <v>45</v>
      </c>
      <c r="I1188" s="34"/>
      <c r="J1188" s="133" t="s">
        <v>7018</v>
      </c>
      <c r="K1188" s="27" t="s">
        <v>50</v>
      </c>
      <c r="L1188" s="13" t="s">
        <v>7019</v>
      </c>
      <c r="M1188" s="26" t="str">
        <f>VLOOKUP(E1188,'MTS 2026 registrations'!B:B,1,false)</f>
        <v>m.stijkel@bluecity.nl</v>
      </c>
      <c r="N1188" s="26" t="str">
        <f>VLOOKUP(B1188,'MTS 2026 registrations'!A:A,1,false)</f>
        <v>Marije Stijkel</v>
      </c>
      <c r="O1188" s="38" t="str">
        <f t="shared" si="6"/>
        <v/>
      </c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</row>
    <row r="1189" ht="12.75" customHeight="1">
      <c r="A1189" s="19" t="str">
        <f t="shared" si="4"/>
        <v>Marije techleap</v>
      </c>
      <c r="B1189" s="19" t="s">
        <v>864</v>
      </c>
      <c r="C1189" s="43" t="s">
        <v>864</v>
      </c>
      <c r="D1189" s="43"/>
      <c r="E1189" s="31" t="s">
        <v>7020</v>
      </c>
      <c r="F1189" s="33" t="s">
        <v>1952</v>
      </c>
      <c r="G1189" s="24" t="s">
        <v>29</v>
      </c>
      <c r="H1189" s="25" t="s">
        <v>139</v>
      </c>
      <c r="I1189" s="34"/>
      <c r="J1189" s="35" t="s">
        <v>7021</v>
      </c>
      <c r="K1189" s="27" t="s">
        <v>50</v>
      </c>
      <c r="L1189" s="25" t="s">
        <v>7022</v>
      </c>
      <c r="M1189" s="26" t="str">
        <f>VLOOKUP(E1189,'MTS 2026 registrations'!B:B,1,false)</f>
        <v>#N/A</v>
      </c>
      <c r="N1189" s="26" t="str">
        <f>VLOOKUP(B1189,'MTS 2026 registrations'!A:A,1,false)</f>
        <v>#N/A</v>
      </c>
      <c r="O1189" s="38" t="str">
        <f t="shared" si="6"/>
        <v>Marked</v>
      </c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</row>
    <row r="1190" ht="12.75" customHeight="1">
      <c r="A1190" s="19" t="str">
        <f t="shared" si="4"/>
        <v>Marijke Nas ASR</v>
      </c>
      <c r="B1190" s="19" t="s">
        <v>7023</v>
      </c>
      <c r="C1190" s="60" t="s">
        <v>7024</v>
      </c>
      <c r="D1190" s="134" t="s">
        <v>7025</v>
      </c>
      <c r="E1190" s="128" t="s">
        <v>7026</v>
      </c>
      <c r="F1190" s="64" t="s">
        <v>7027</v>
      </c>
      <c r="G1190" s="24" t="s">
        <v>56</v>
      </c>
      <c r="H1190" s="25" t="s">
        <v>139</v>
      </c>
      <c r="I1190" s="34"/>
      <c r="J1190" s="35" t="s">
        <v>7028</v>
      </c>
      <c r="K1190" s="27" t="s">
        <v>50</v>
      </c>
      <c r="L1190" s="13" t="s">
        <v>7029</v>
      </c>
      <c r="M1190" s="26" t="str">
        <f>VLOOKUP(E1190,'MTS 2026 registrations'!B:B,1,false)</f>
        <v>#N/A</v>
      </c>
      <c r="N1190" s="26" t="str">
        <f>VLOOKUP(B1190,'MTS 2026 registrations'!A:A,1,false)</f>
        <v>#N/A</v>
      </c>
      <c r="O1190" s="38" t="str">
        <f t="shared" si="6"/>
        <v>Marked</v>
      </c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</row>
    <row r="1191" ht="12.75" customHeight="1">
      <c r="A1191" s="19" t="str">
        <f t="shared" si="4"/>
        <v>Marijn Fraanje Den Haag</v>
      </c>
      <c r="B1191" s="19" t="s">
        <v>7030</v>
      </c>
      <c r="C1191" s="134" t="s">
        <v>870</v>
      </c>
      <c r="D1191" s="102" t="s">
        <v>7031</v>
      </c>
      <c r="E1191" s="48" t="s">
        <v>7032</v>
      </c>
      <c r="F1191" s="135" t="s">
        <v>1582</v>
      </c>
      <c r="G1191" s="24" t="s">
        <v>323</v>
      </c>
      <c r="H1191" s="25" t="s">
        <v>139</v>
      </c>
      <c r="I1191" s="34"/>
      <c r="J1191" s="35" t="s">
        <v>7033</v>
      </c>
      <c r="K1191" s="27" t="s">
        <v>50</v>
      </c>
      <c r="L1191" s="13" t="s">
        <v>7034</v>
      </c>
      <c r="M1191" s="26" t="str">
        <f>VLOOKUP(E1191,'MTS 2026 registrations'!B:B,1,false)</f>
        <v>#N/A</v>
      </c>
      <c r="N1191" s="26" t="str">
        <f>VLOOKUP(B1191,'MTS 2026 registrations'!A:A,1,false)</f>
        <v>#N/A</v>
      </c>
      <c r="O1191" s="38" t="str">
        <f t="shared" si="6"/>
        <v>Marked</v>
      </c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</row>
    <row r="1192" ht="12.75" customHeight="1">
      <c r="A1192" s="19" t="str">
        <f t="shared" si="4"/>
        <v>Marjan Kreijns The Green Village</v>
      </c>
      <c r="B1192" s="19" t="s">
        <v>7035</v>
      </c>
      <c r="C1192" s="116" t="s">
        <v>7036</v>
      </c>
      <c r="D1192" s="116" t="s">
        <v>7037</v>
      </c>
      <c r="E1192" s="30" t="s">
        <v>7038</v>
      </c>
      <c r="F1192" s="49" t="s">
        <v>7039</v>
      </c>
      <c r="G1192" s="24" t="s">
        <v>29</v>
      </c>
      <c r="H1192" s="25" t="s">
        <v>139</v>
      </c>
      <c r="I1192" s="49" t="s">
        <v>2406</v>
      </c>
      <c r="J1192" s="35" t="s">
        <v>7040</v>
      </c>
      <c r="K1192" s="27" t="s">
        <v>50</v>
      </c>
      <c r="L1192" s="25" t="s">
        <v>7041</v>
      </c>
      <c r="M1192" s="26" t="str">
        <f>VLOOKUP(E1192,'MTS 2026 registrations'!B:B,1,false)</f>
        <v>#N/A</v>
      </c>
      <c r="N1192" s="26" t="str">
        <f>VLOOKUP(B1192,'MTS 2026 registrations'!A:A,1,false)</f>
        <v>#N/A</v>
      </c>
      <c r="O1192" s="38" t="str">
        <f t="shared" si="6"/>
        <v>Marked</v>
      </c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34"/>
      <c r="AE1192" s="34"/>
    </row>
    <row r="1193" ht="12.75" customHeight="1">
      <c r="A1193" s="19" t="str">
        <f t="shared" si="4"/>
        <v>Marjolein Boer maritimesisters</v>
      </c>
      <c r="B1193" s="19" t="s">
        <v>7042</v>
      </c>
      <c r="C1193" s="29" t="s">
        <v>7043</v>
      </c>
      <c r="D1193" s="29" t="s">
        <v>7044</v>
      </c>
      <c r="E1193" s="30" t="s">
        <v>7045</v>
      </c>
      <c r="F1193" s="29" t="s">
        <v>7046</v>
      </c>
      <c r="G1193" s="32" t="s">
        <v>69</v>
      </c>
      <c r="H1193" s="13" t="s">
        <v>45</v>
      </c>
      <c r="I1193" s="34"/>
      <c r="J1193" s="35" t="s">
        <v>7047</v>
      </c>
      <c r="K1193" s="27" t="s">
        <v>50</v>
      </c>
      <c r="L1193" s="13" t="s">
        <v>7048</v>
      </c>
      <c r="M1193" s="26" t="str">
        <f>VLOOKUP(E1193,'MTS 2026 registrations'!B:B,1,false)</f>
        <v>#N/A</v>
      </c>
      <c r="N1193" s="26" t="str">
        <f>VLOOKUP(B1193,'MTS 2026 registrations'!A:A,1,false)</f>
        <v>#N/A</v>
      </c>
      <c r="O1193" s="38" t="str">
        <f t="shared" si="6"/>
        <v>Marked</v>
      </c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23"/>
      <c r="AE1193" s="23"/>
    </row>
    <row r="1194" ht="12.75" customHeight="1">
      <c r="A1194" s="19" t="str">
        <f t="shared" si="4"/>
        <v>Marjolijn Schouw tudelft</v>
      </c>
      <c r="B1194" s="19" t="s">
        <v>7049</v>
      </c>
      <c r="C1194" s="60" t="s">
        <v>7050</v>
      </c>
      <c r="D1194" s="60" t="s">
        <v>7051</v>
      </c>
      <c r="E1194" s="62" t="s">
        <v>7052</v>
      </c>
      <c r="F1194" s="64" t="s">
        <v>184</v>
      </c>
      <c r="G1194" s="42" t="s">
        <v>43</v>
      </c>
      <c r="H1194" s="25" t="s">
        <v>139</v>
      </c>
      <c r="I1194" s="34"/>
      <c r="J1194" s="35" t="s">
        <v>7053</v>
      </c>
      <c r="K1194" s="27" t="s">
        <v>50</v>
      </c>
      <c r="L1194" s="13" t="s">
        <v>7054</v>
      </c>
      <c r="M1194" s="26" t="str">
        <f>VLOOKUP(E1194,'MTS 2026 registrations'!B:B,1,false)</f>
        <v>#N/A</v>
      </c>
      <c r="N1194" s="26" t="str">
        <f>VLOOKUP(B1194,'MTS 2026 registrations'!A:A,1,false)</f>
        <v>#N/A</v>
      </c>
      <c r="O1194" s="38" t="str">
        <f t="shared" si="6"/>
        <v>Marked</v>
      </c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</row>
    <row r="1195" ht="12.75" customHeight="1">
      <c r="A1195" s="19" t="str">
        <f t="shared" si="4"/>
        <v>Mark Uitendaal t-minus</v>
      </c>
      <c r="B1195" s="19" t="s">
        <v>7055</v>
      </c>
      <c r="C1195" s="20" t="s">
        <v>876</v>
      </c>
      <c r="D1195" s="20" t="s">
        <v>7056</v>
      </c>
      <c r="E1195" s="21" t="s">
        <v>7057</v>
      </c>
      <c r="F1195" s="23" t="s">
        <v>4552</v>
      </c>
      <c r="G1195" s="32" t="s">
        <v>46</v>
      </c>
      <c r="H1195" s="25" t="s">
        <v>47</v>
      </c>
      <c r="I1195" s="34"/>
      <c r="J1195" s="35" t="s">
        <v>7058</v>
      </c>
      <c r="K1195" s="27" t="s">
        <v>50</v>
      </c>
      <c r="L1195" s="13" t="s">
        <v>7059</v>
      </c>
      <c r="M1195" s="26" t="str">
        <f>VLOOKUP(E1195,'MTS 2026 registrations'!B:B,1,false)</f>
        <v>#N/A</v>
      </c>
      <c r="N1195" s="26" t="str">
        <f>VLOOKUP(B1195,'MTS 2026 registrations'!A:A,1,false)</f>
        <v>#N/A</v>
      </c>
      <c r="O1195" s="38" t="str">
        <f t="shared" si="6"/>
        <v>Marked</v>
      </c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</row>
    <row r="1196" ht="12.75" customHeight="1">
      <c r="A1196" s="19" t="str">
        <f t="shared" si="4"/>
        <v>Mark Evenblij duckduckgoose</v>
      </c>
      <c r="B1196" s="19" t="s">
        <v>7060</v>
      </c>
      <c r="C1196" s="20" t="s">
        <v>876</v>
      </c>
      <c r="D1196" s="20" t="s">
        <v>7061</v>
      </c>
      <c r="E1196" s="21" t="s">
        <v>7062</v>
      </c>
      <c r="F1196" s="23" t="s">
        <v>1825</v>
      </c>
      <c r="G1196" s="32" t="s">
        <v>46</v>
      </c>
      <c r="H1196" s="25" t="s">
        <v>47</v>
      </c>
      <c r="I1196" s="34"/>
      <c r="J1196" s="35" t="s">
        <v>7063</v>
      </c>
      <c r="K1196" s="27" t="s">
        <v>50</v>
      </c>
      <c r="L1196" s="13" t="s">
        <v>7064</v>
      </c>
      <c r="M1196" s="26" t="str">
        <f>VLOOKUP(E1196,'MTS 2026 registrations'!B:B,1,false)</f>
        <v>#N/A</v>
      </c>
      <c r="N1196" s="26" t="str">
        <f>VLOOKUP(B1196,'MTS 2026 registrations'!A:A,1,false)</f>
        <v>#N/A</v>
      </c>
      <c r="O1196" s="38" t="str">
        <f t="shared" si="6"/>
        <v>Marked</v>
      </c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</row>
    <row r="1197" ht="12.75" customHeight="1">
      <c r="A1197" s="19" t="str">
        <f t="shared" si="4"/>
        <v>Mark Oudenhoven videowindow</v>
      </c>
      <c r="B1197" s="19" t="s">
        <v>7065</v>
      </c>
      <c r="C1197" s="20" t="s">
        <v>876</v>
      </c>
      <c r="D1197" s="20" t="s">
        <v>7066</v>
      </c>
      <c r="E1197" s="21" t="s">
        <v>7067</v>
      </c>
      <c r="F1197" s="23" t="s">
        <v>7068</v>
      </c>
      <c r="G1197" s="32" t="s">
        <v>46</v>
      </c>
      <c r="H1197" s="25" t="s">
        <v>47</v>
      </c>
      <c r="I1197" s="26"/>
      <c r="J1197" s="35" t="s">
        <v>7069</v>
      </c>
      <c r="K1197" s="27" t="s">
        <v>50</v>
      </c>
      <c r="L1197" s="13" t="s">
        <v>7070</v>
      </c>
      <c r="M1197" s="26" t="str">
        <f>VLOOKUP(E1197,'MTS 2026 registrations'!B:B,1,false)</f>
        <v>#N/A</v>
      </c>
      <c r="N1197" s="26" t="str">
        <f>VLOOKUP(B1197,'MTS 2026 registrations'!A:A,1,false)</f>
        <v>#N/A</v>
      </c>
      <c r="O1197" s="38" t="str">
        <f t="shared" si="6"/>
        <v>Marked</v>
      </c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</row>
    <row r="1198" ht="12.75" customHeight="1">
      <c r="A1198" s="19" t="str">
        <f t="shared" si="4"/>
        <v>Mark-Jan Pieterse Green Whale</v>
      </c>
      <c r="B1198" s="19" t="s">
        <v>7071</v>
      </c>
      <c r="C1198" s="20" t="s">
        <v>7072</v>
      </c>
      <c r="D1198" s="20" t="s">
        <v>7073</v>
      </c>
      <c r="E1198" s="21" t="s">
        <v>7074</v>
      </c>
      <c r="F1198" s="49" t="s">
        <v>7075</v>
      </c>
      <c r="G1198" s="24" t="s">
        <v>163</v>
      </c>
      <c r="H1198" s="26" t="s">
        <v>164</v>
      </c>
      <c r="I1198" s="13"/>
      <c r="J1198" s="35" t="s">
        <v>7076</v>
      </c>
      <c r="K1198" s="27" t="s">
        <v>50</v>
      </c>
      <c r="L1198" s="25" t="s">
        <v>7077</v>
      </c>
      <c r="M1198" s="26" t="str">
        <f>VLOOKUP(E1198,'MTS 2026 registrations'!B:B,1,false)</f>
        <v>#N/A</v>
      </c>
      <c r="N1198" s="26" t="str">
        <f>VLOOKUP(B1198,'MTS 2026 registrations'!A:A,1,false)</f>
        <v>#N/A</v>
      </c>
      <c r="O1198" s="38" t="str">
        <f t="shared" si="6"/>
        <v>Marked</v>
      </c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</row>
    <row r="1199" ht="12.75" customHeight="1">
      <c r="A1199" s="19" t="str">
        <f t="shared" si="4"/>
        <v>Marloes Joukema ploum</v>
      </c>
      <c r="B1199" s="19" t="s">
        <v>7078</v>
      </c>
      <c r="C1199" s="29" t="s">
        <v>7079</v>
      </c>
      <c r="D1199" s="29" t="s">
        <v>7080</v>
      </c>
      <c r="E1199" s="30" t="s">
        <v>7081</v>
      </c>
      <c r="F1199" s="29" t="s">
        <v>4886</v>
      </c>
      <c r="G1199" s="32" t="s">
        <v>56</v>
      </c>
      <c r="H1199" s="13" t="s">
        <v>213</v>
      </c>
      <c r="I1199" s="34"/>
      <c r="J1199" s="35" t="s">
        <v>7082</v>
      </c>
      <c r="K1199" s="27" t="s">
        <v>50</v>
      </c>
      <c r="L1199" s="13" t="s">
        <v>7083</v>
      </c>
      <c r="M1199" s="26" t="str">
        <f>VLOOKUP(E1199,'MTS 2026 registrations'!B:B,1,false)</f>
        <v>#N/A</v>
      </c>
      <c r="N1199" s="26" t="str">
        <f>VLOOKUP(B1199,'MTS 2026 registrations'!A:A,1,false)</f>
        <v>#N/A</v>
      </c>
      <c r="O1199" s="38" t="str">
        <f t="shared" si="6"/>
        <v>Marked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</row>
    <row r="1200" ht="12.75" customHeight="1">
      <c r="A1200" s="19" t="str">
        <f t="shared" si="4"/>
        <v>Marlowe Cameron Northzone</v>
      </c>
      <c r="B1200" s="19" t="s">
        <v>7084</v>
      </c>
      <c r="C1200" s="20" t="s">
        <v>7085</v>
      </c>
      <c r="D1200" s="20" t="s">
        <v>7086</v>
      </c>
      <c r="E1200" s="88" t="s">
        <v>7087</v>
      </c>
      <c r="F1200" s="49" t="s">
        <v>7088</v>
      </c>
      <c r="G1200" s="24" t="s">
        <v>163</v>
      </c>
      <c r="H1200" s="26" t="s">
        <v>164</v>
      </c>
      <c r="I1200" s="13"/>
      <c r="J1200" s="35" t="s">
        <v>7089</v>
      </c>
      <c r="K1200" s="27" t="s">
        <v>50</v>
      </c>
      <c r="L1200" s="25" t="s">
        <v>7090</v>
      </c>
      <c r="M1200" s="26" t="str">
        <f>VLOOKUP(E1200,'MTS 2026 registrations'!B:B,1,false)</f>
        <v>#N/A</v>
      </c>
      <c r="N1200" s="26" t="str">
        <f>VLOOKUP(B1200,'MTS 2026 registrations'!A:A,1,false)</f>
        <v>#N/A</v>
      </c>
      <c r="O1200" s="38" t="str">
        <f t="shared" si="6"/>
        <v>Marked</v>
      </c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</row>
    <row r="1201" ht="12.75" customHeight="1">
      <c r="A1201" s="19" t="str">
        <f t="shared" si="4"/>
        <v>Marly Tuijl Visible Investments</v>
      </c>
      <c r="B1201" s="19" t="s">
        <v>7091</v>
      </c>
      <c r="C1201" s="156" t="s">
        <v>7092</v>
      </c>
      <c r="D1201" s="156" t="s">
        <v>7093</v>
      </c>
      <c r="E1201" s="50" t="s">
        <v>7094</v>
      </c>
      <c r="F1201" s="50" t="s">
        <v>2157</v>
      </c>
      <c r="G1201" s="32" t="s">
        <v>163</v>
      </c>
      <c r="H1201" s="25" t="s">
        <v>47</v>
      </c>
      <c r="I1201" s="34"/>
      <c r="J1201" s="35" t="s">
        <v>7095</v>
      </c>
      <c r="K1201" s="27" t="s">
        <v>50</v>
      </c>
      <c r="L1201" s="13" t="s">
        <v>7096</v>
      </c>
      <c r="M1201" s="26" t="str">
        <f>VLOOKUP(E1201,'MTS 2026 registrations'!B:B,1,false)</f>
        <v>#N/A</v>
      </c>
      <c r="N1201" s="26" t="str">
        <f>VLOOKUP(B1201,'MTS 2026 registrations'!A:A,1,false)</f>
        <v>#N/A</v>
      </c>
      <c r="O1201" s="38" t="str">
        <f t="shared" si="6"/>
        <v>Marked</v>
      </c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</row>
    <row r="1202" ht="12.75" customHeight="1">
      <c r="A1202" s="19" t="str">
        <f t="shared" si="4"/>
        <v>Marnix Stokvis aquablu.org</v>
      </c>
      <c r="B1202" s="19" t="s">
        <v>7097</v>
      </c>
      <c r="C1202" s="20" t="s">
        <v>7098</v>
      </c>
      <c r="D1202" s="20" t="s">
        <v>7099</v>
      </c>
      <c r="E1202" s="21" t="s">
        <v>7100</v>
      </c>
      <c r="F1202" s="23" t="s">
        <v>6888</v>
      </c>
      <c r="G1202" s="32" t="s">
        <v>46</v>
      </c>
      <c r="H1202" s="25" t="s">
        <v>47</v>
      </c>
      <c r="I1202" s="26"/>
      <c r="J1202" s="35" t="s">
        <v>7101</v>
      </c>
      <c r="K1202" s="27" t="s">
        <v>50</v>
      </c>
      <c r="L1202" s="13" t="s">
        <v>7102</v>
      </c>
      <c r="M1202" s="26" t="str">
        <f>VLOOKUP(E1202,'MTS 2026 registrations'!B:B,1,false)</f>
        <v>#N/A</v>
      </c>
      <c r="N1202" s="26" t="str">
        <f>VLOOKUP(B1202,'MTS 2026 registrations'!A:A,1,false)</f>
        <v>#N/A</v>
      </c>
      <c r="O1202" s="38" t="str">
        <f t="shared" si="6"/>
        <v>Marked</v>
      </c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</row>
    <row r="1203" ht="12.75" customHeight="1">
      <c r="A1203" s="19" t="str">
        <f t="shared" si="4"/>
        <v>Marnix Paanakker pythia-energy</v>
      </c>
      <c r="B1203" s="19" t="s">
        <v>7103</v>
      </c>
      <c r="C1203" s="20" t="s">
        <v>7098</v>
      </c>
      <c r="D1203" s="53" t="s">
        <v>7104</v>
      </c>
      <c r="E1203" s="94" t="s">
        <v>7105</v>
      </c>
      <c r="F1203" s="23" t="s">
        <v>6090</v>
      </c>
      <c r="G1203" s="32" t="s">
        <v>46</v>
      </c>
      <c r="H1203" s="25" t="s">
        <v>47</v>
      </c>
      <c r="I1203" s="34"/>
      <c r="J1203" s="35" t="s">
        <v>7106</v>
      </c>
      <c r="K1203" s="27" t="s">
        <v>50</v>
      </c>
      <c r="L1203" s="13" t="s">
        <v>7107</v>
      </c>
      <c r="M1203" s="26" t="str">
        <f>VLOOKUP(E1203,'MTS 2026 registrations'!B:B,1,false)</f>
        <v>marnix@pythia-energy.nl</v>
      </c>
      <c r="N1203" s="26" t="str">
        <f>VLOOKUP(B1203,'MTS 2026 registrations'!A:A,1,false)</f>
        <v>Marnix Paanakker</v>
      </c>
      <c r="O1203" s="38" t="str">
        <f t="shared" si="6"/>
        <v/>
      </c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23"/>
      <c r="AE1203" s="23"/>
    </row>
    <row r="1204" ht="12.75" customHeight="1">
      <c r="A1204" s="19" t="str">
        <f t="shared" si="4"/>
        <v>Marsha Goei breeze.social</v>
      </c>
      <c r="B1204" s="19" t="s">
        <v>7108</v>
      </c>
      <c r="C1204" s="20" t="s">
        <v>7109</v>
      </c>
      <c r="D1204" s="20" t="s">
        <v>7110</v>
      </c>
      <c r="E1204" s="21" t="s">
        <v>7111</v>
      </c>
      <c r="F1204" s="23" t="s">
        <v>7112</v>
      </c>
      <c r="G1204" s="32" t="s">
        <v>46</v>
      </c>
      <c r="H1204" s="25" t="s">
        <v>47</v>
      </c>
      <c r="I1204" s="26"/>
      <c r="J1204" s="35" t="s">
        <v>7113</v>
      </c>
      <c r="K1204" s="27" t="s">
        <v>50</v>
      </c>
      <c r="L1204" s="13" t="s">
        <v>7114</v>
      </c>
      <c r="M1204" s="26" t="str">
        <f>VLOOKUP(E1204,'MTS 2026 registrations'!B:B,1,false)</f>
        <v>#N/A</v>
      </c>
      <c r="N1204" s="26" t="str">
        <f>VLOOKUP(B1204,'MTS 2026 registrations'!A:A,1,false)</f>
        <v>#N/A</v>
      </c>
      <c r="O1204" s="38" t="str">
        <f t="shared" si="6"/>
        <v>Marked</v>
      </c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</row>
    <row r="1205" ht="12.75" customHeight="1">
      <c r="A1205" s="19" t="str">
        <f t="shared" si="4"/>
        <v>Mart Jongeneel moore-drv</v>
      </c>
      <c r="B1205" s="19" t="s">
        <v>7115</v>
      </c>
      <c r="C1205" s="29" t="s">
        <v>7116</v>
      </c>
      <c r="D1205" s="29" t="s">
        <v>1397</v>
      </c>
      <c r="E1205" s="30" t="s">
        <v>7117</v>
      </c>
      <c r="F1205" s="29" t="s">
        <v>5042</v>
      </c>
      <c r="G1205" s="32" t="s">
        <v>163</v>
      </c>
      <c r="H1205" s="13" t="s">
        <v>213</v>
      </c>
      <c r="I1205" s="34"/>
      <c r="J1205" s="35" t="s">
        <v>7118</v>
      </c>
      <c r="K1205" s="27" t="s">
        <v>50</v>
      </c>
      <c r="L1205" s="13" t="s">
        <v>7119</v>
      </c>
      <c r="M1205" s="26" t="str">
        <f>VLOOKUP(E1205,'MTS 2026 registrations'!B:B,1,false)</f>
        <v>#N/A</v>
      </c>
      <c r="N1205" s="26" t="str">
        <f>VLOOKUP(B1205,'MTS 2026 registrations'!A:A,1,false)</f>
        <v>#N/A</v>
      </c>
      <c r="O1205" s="38" t="str">
        <f t="shared" si="6"/>
        <v>Marked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</row>
    <row r="1206" ht="12.75" customHeight="1">
      <c r="A1206" s="19" t="str">
        <f t="shared" si="4"/>
        <v>Martijn Kesler tenzingalpha</v>
      </c>
      <c r="B1206" s="19" t="s">
        <v>7120</v>
      </c>
      <c r="C1206" s="20" t="s">
        <v>882</v>
      </c>
      <c r="D1206" s="20" t="s">
        <v>7121</v>
      </c>
      <c r="E1206" s="21" t="s">
        <v>7122</v>
      </c>
      <c r="F1206" s="23" t="s">
        <v>5028</v>
      </c>
      <c r="G1206" s="24" t="s">
        <v>163</v>
      </c>
      <c r="H1206" s="25" t="s">
        <v>164</v>
      </c>
      <c r="I1206" s="34"/>
      <c r="J1206" s="35" t="s">
        <v>7123</v>
      </c>
      <c r="K1206" s="27" t="s">
        <v>50</v>
      </c>
      <c r="L1206" s="13" t="s">
        <v>7124</v>
      </c>
      <c r="M1206" s="26" t="str">
        <f>VLOOKUP(E1206,'MTS 2026 registrations'!B:B,1,false)</f>
        <v>#N/A</v>
      </c>
      <c r="N1206" s="26" t="str">
        <f>VLOOKUP(B1206,'MTS 2026 registrations'!A:A,1,false)</f>
        <v>#N/A</v>
      </c>
      <c r="O1206" s="38" t="str">
        <f t="shared" si="6"/>
        <v>Marked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</row>
    <row r="1207" ht="12.75" customHeight="1">
      <c r="A1207" s="19" t="str">
        <f t="shared" si="4"/>
        <v>Martijn Lopes Cardozo </v>
      </c>
      <c r="B1207" s="19" t="s">
        <v>7125</v>
      </c>
      <c r="C1207" s="20" t="s">
        <v>882</v>
      </c>
      <c r="D1207" s="20" t="s">
        <v>7126</v>
      </c>
      <c r="E1207" s="21" t="s">
        <v>7127</v>
      </c>
      <c r="F1207" s="23"/>
      <c r="G1207" s="24" t="s">
        <v>29</v>
      </c>
      <c r="H1207" s="25" t="s">
        <v>47</v>
      </c>
      <c r="I1207" s="26"/>
      <c r="J1207" s="35" t="s">
        <v>7128</v>
      </c>
      <c r="K1207" s="27" t="s">
        <v>50</v>
      </c>
      <c r="L1207" s="13" t="s">
        <v>7129</v>
      </c>
      <c r="M1207" s="26" t="str">
        <f>VLOOKUP(E1207,'MTS 2026 registrations'!B:B,1,false)</f>
        <v>#N/A</v>
      </c>
      <c r="N1207" s="26" t="str">
        <f>VLOOKUP(B1207,'MTS 2026 registrations'!A:A,1,false)</f>
        <v>#N/A</v>
      </c>
      <c r="O1207" s="38" t="str">
        <f t="shared" si="6"/>
        <v>Marked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</row>
    <row r="1208" ht="12.75" customHeight="1">
      <c r="A1208" s="19" t="str">
        <f t="shared" si="4"/>
        <v>Martin Weissmann topsectorenergie</v>
      </c>
      <c r="B1208" s="19" t="s">
        <v>7130</v>
      </c>
      <c r="C1208" s="29" t="s">
        <v>888</v>
      </c>
      <c r="D1208" s="29" t="s">
        <v>7131</v>
      </c>
      <c r="E1208" s="30" t="s">
        <v>7132</v>
      </c>
      <c r="F1208" s="29" t="s">
        <v>3076</v>
      </c>
      <c r="G1208" s="32" t="s">
        <v>323</v>
      </c>
      <c r="H1208" s="13" t="s">
        <v>213</v>
      </c>
      <c r="I1208" s="91" t="s">
        <v>1307</v>
      </c>
      <c r="J1208" s="35" t="s">
        <v>7133</v>
      </c>
      <c r="K1208" s="27" t="s">
        <v>50</v>
      </c>
      <c r="L1208" s="13" t="s">
        <v>7134</v>
      </c>
      <c r="M1208" s="26" t="str">
        <f>VLOOKUP(E1208,'MTS 2026 registrations'!B:B,1,false)</f>
        <v>#N/A</v>
      </c>
      <c r="N1208" s="26" t="str">
        <f>VLOOKUP(B1208,'MTS 2026 registrations'!A:A,1,false)</f>
        <v>#N/A</v>
      </c>
      <c r="O1208" s="38" t="str">
        <f t="shared" si="6"/>
        <v>Marked</v>
      </c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34"/>
      <c r="AE1208" s="34"/>
    </row>
    <row r="1209" ht="12.75" customHeight="1">
      <c r="A1209" s="19" t="str">
        <f t="shared" si="4"/>
        <v>Martin Kampinga tudelft</v>
      </c>
      <c r="B1209" s="19" t="s">
        <v>7135</v>
      </c>
      <c r="C1209" s="29" t="s">
        <v>888</v>
      </c>
      <c r="D1209" s="29" t="s">
        <v>7136</v>
      </c>
      <c r="E1209" s="30" t="s">
        <v>7137</v>
      </c>
      <c r="F1209" s="29" t="s">
        <v>184</v>
      </c>
      <c r="G1209" s="32" t="s">
        <v>43</v>
      </c>
      <c r="H1209" s="13" t="s">
        <v>213</v>
      </c>
      <c r="I1209" s="34"/>
      <c r="J1209" s="35" t="s">
        <v>7138</v>
      </c>
      <c r="K1209" s="27" t="s">
        <v>50</v>
      </c>
      <c r="L1209" s="13" t="s">
        <v>7139</v>
      </c>
      <c r="M1209" s="26" t="str">
        <f>VLOOKUP(E1209,'MTS 2026 registrations'!B:B,1,false)</f>
        <v>#N/A</v>
      </c>
      <c r="N1209" s="26" t="str">
        <f>VLOOKUP(B1209,'MTS 2026 registrations'!A:A,1,false)</f>
        <v>#N/A</v>
      </c>
      <c r="O1209" s="38" t="str">
        <f t="shared" si="6"/>
        <v>Marked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</row>
    <row r="1210" ht="12.75" customHeight="1">
      <c r="A1210" s="19" t="str">
        <f t="shared" si="4"/>
        <v>Martin van Gogh </v>
      </c>
      <c r="B1210" s="19" t="s">
        <v>7140</v>
      </c>
      <c r="C1210" s="60" t="s">
        <v>888</v>
      </c>
      <c r="D1210" s="60" t="s">
        <v>7141</v>
      </c>
      <c r="E1210" s="62" t="s">
        <v>7142</v>
      </c>
      <c r="F1210" s="64"/>
      <c r="G1210" s="42" t="s">
        <v>1306</v>
      </c>
      <c r="H1210" s="25" t="s">
        <v>139</v>
      </c>
      <c r="I1210" s="34"/>
      <c r="J1210" s="35" t="s">
        <v>7143</v>
      </c>
      <c r="K1210" s="27" t="s">
        <v>50</v>
      </c>
      <c r="L1210" s="13" t="s">
        <v>7144</v>
      </c>
      <c r="M1210" s="26" t="str">
        <f>VLOOKUP(E1210,'MTS 2026 registrations'!B:B,1,false)</f>
        <v>#N/A</v>
      </c>
      <c r="N1210" s="26" t="str">
        <f>VLOOKUP(B1210,'MTS 2026 registrations'!A:A,1,false)</f>
        <v>#N/A</v>
      </c>
      <c r="O1210" s="38" t="str">
        <f t="shared" si="6"/>
        <v>Marked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</row>
    <row r="1211" ht="12.75" customHeight="1">
      <c r="A1211" s="19" t="str">
        <f t="shared" si="4"/>
        <v>Martin Luxemburg Unknown</v>
      </c>
      <c r="B1211" s="19" t="s">
        <v>7145</v>
      </c>
      <c r="C1211" s="134" t="s">
        <v>888</v>
      </c>
      <c r="D1211" s="102" t="s">
        <v>7146</v>
      </c>
      <c r="E1211" s="199" t="s">
        <v>7147</v>
      </c>
      <c r="F1211" s="135" t="s">
        <v>7148</v>
      </c>
      <c r="G1211" s="24" t="s">
        <v>29</v>
      </c>
      <c r="H1211" s="25" t="s">
        <v>139</v>
      </c>
      <c r="I1211" s="34"/>
      <c r="J1211" s="35" t="s">
        <v>7149</v>
      </c>
      <c r="K1211" s="27" t="s">
        <v>50</v>
      </c>
      <c r="L1211" s="13" t="s">
        <v>7150</v>
      </c>
      <c r="M1211" s="26" t="str">
        <f>VLOOKUP(E1211,'MTS 2026 registrations'!B:B,1,false)</f>
        <v>#N/A</v>
      </c>
      <c r="N1211" s="26" t="str">
        <f>VLOOKUP(B1211,'MTS 2026 registrations'!A:A,1,false)</f>
        <v>#N/A</v>
      </c>
      <c r="O1211" s="38" t="str">
        <f t="shared" si="6"/>
        <v>Marked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</row>
    <row r="1212" ht="12.75" customHeight="1">
      <c r="A1212" s="19" t="str">
        <f t="shared" si="4"/>
        <v>Martin van rijn Innophysio</v>
      </c>
      <c r="B1212" s="19" t="s">
        <v>7151</v>
      </c>
      <c r="C1212" s="29" t="s">
        <v>888</v>
      </c>
      <c r="D1212" s="121" t="s">
        <v>7152</v>
      </c>
      <c r="E1212" s="80" t="s">
        <v>7153</v>
      </c>
      <c r="F1212" s="200" t="s">
        <v>7154</v>
      </c>
      <c r="G1212" s="32" t="s">
        <v>46</v>
      </c>
      <c r="H1212" s="25" t="s">
        <v>47</v>
      </c>
      <c r="I1212" s="34"/>
      <c r="J1212" s="35" t="s">
        <v>7155</v>
      </c>
      <c r="K1212" s="27" t="s">
        <v>50</v>
      </c>
      <c r="L1212" s="27" t="s">
        <v>7156</v>
      </c>
      <c r="M1212" s="26" t="str">
        <f>VLOOKUP(E1212,'MTS 2026 registrations'!B:B,1,false)</f>
        <v>#N/A</v>
      </c>
      <c r="N1212" s="26" t="str">
        <f>VLOOKUP(B1212,'MTS 2026 registrations'!A:A,1,false)</f>
        <v>#N/A</v>
      </c>
      <c r="O1212" s="38" t="str">
        <f t="shared" si="6"/>
        <v>Marked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170"/>
      <c r="AE1212" s="170"/>
    </row>
    <row r="1213" ht="12.75" customHeight="1">
      <c r="A1213" s="19" t="str">
        <f t="shared" si="4"/>
        <v>Martin van den Heuvel </v>
      </c>
      <c r="B1213" s="19" t="s">
        <v>7157</v>
      </c>
      <c r="C1213" s="201" t="s">
        <v>888</v>
      </c>
      <c r="D1213" s="158" t="s">
        <v>7158</v>
      </c>
      <c r="E1213" s="139" t="s">
        <v>7159</v>
      </c>
      <c r="F1213" s="52"/>
      <c r="G1213" s="24" t="s">
        <v>225</v>
      </c>
      <c r="H1213" s="25" t="s">
        <v>47</v>
      </c>
      <c r="I1213" s="26"/>
      <c r="J1213" s="35" t="s">
        <v>7160</v>
      </c>
      <c r="K1213" s="27" t="s">
        <v>50</v>
      </c>
      <c r="L1213" s="13" t="s">
        <v>7161</v>
      </c>
      <c r="M1213" s="26" t="str">
        <f>VLOOKUP(E1213,'MTS 2026 registrations'!B:B,1,false)</f>
        <v>#N/A</v>
      </c>
      <c r="N1213" s="26" t="str">
        <f>VLOOKUP(B1213,'MTS 2026 registrations'!A:A,1,false)</f>
        <v>#N/A</v>
      </c>
      <c r="O1213" s="38" t="str">
        <f t="shared" si="6"/>
        <v>Marked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</row>
    <row r="1214" ht="12.75" customHeight="1">
      <c r="A1214" s="19" t="str">
        <f t="shared" si="4"/>
        <v>Martine Nieuwenhuizen tudelft</v>
      </c>
      <c r="B1214" s="19" t="s">
        <v>7162</v>
      </c>
      <c r="C1214" s="60" t="s">
        <v>1912</v>
      </c>
      <c r="D1214" s="60" t="s">
        <v>7163</v>
      </c>
      <c r="E1214" s="62" t="s">
        <v>7164</v>
      </c>
      <c r="F1214" s="64" t="s">
        <v>184</v>
      </c>
      <c r="G1214" s="42" t="s">
        <v>43</v>
      </c>
      <c r="H1214" s="25" t="s">
        <v>139</v>
      </c>
      <c r="I1214" s="34"/>
      <c r="J1214" s="35" t="s">
        <v>7165</v>
      </c>
      <c r="K1214" s="27" t="s">
        <v>50</v>
      </c>
      <c r="L1214" s="13" t="s">
        <v>7166</v>
      </c>
      <c r="M1214" s="26" t="str">
        <f>VLOOKUP(E1214,'MTS 2026 registrations'!B:B,1,false)</f>
        <v>#N/A</v>
      </c>
      <c r="N1214" s="26" t="str">
        <f>VLOOKUP(B1214,'MTS 2026 registrations'!A:A,1,false)</f>
        <v>#N/A</v>
      </c>
      <c r="O1214" s="38" t="str">
        <f t="shared" si="6"/>
        <v>Marked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</row>
    <row r="1215" ht="12.75" customHeight="1">
      <c r="A1215" s="19" t="str">
        <f t="shared" si="4"/>
        <v>Mason Sinclair IQ Capital</v>
      </c>
      <c r="B1215" s="19" t="s">
        <v>7167</v>
      </c>
      <c r="C1215" s="161" t="s">
        <v>7168</v>
      </c>
      <c r="D1215" s="161" t="s">
        <v>7169</v>
      </c>
      <c r="E1215" s="128" t="s">
        <v>7170</v>
      </c>
      <c r="F1215" s="66" t="s">
        <v>2570</v>
      </c>
      <c r="G1215" s="42" t="s">
        <v>163</v>
      </c>
      <c r="H1215" s="25" t="s">
        <v>164</v>
      </c>
      <c r="I1215" s="34"/>
      <c r="J1215" s="35" t="s">
        <v>7171</v>
      </c>
      <c r="K1215" s="27" t="s">
        <v>50</v>
      </c>
      <c r="L1215" s="13" t="s">
        <v>7172</v>
      </c>
      <c r="M1215" s="26" t="str">
        <f>VLOOKUP(E1215,'MTS 2026 registrations'!B:B,1,false)</f>
        <v>#N/A</v>
      </c>
      <c r="N1215" s="26" t="str">
        <f>VLOOKUP(B1215,'MTS 2026 registrations'!A:A,1,false)</f>
        <v>#N/A</v>
      </c>
      <c r="O1215" s="38" t="str">
        <f t="shared" si="6"/>
        <v>Marked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</row>
    <row r="1216" ht="12.75" customHeight="1">
      <c r="A1216" s="19" t="str">
        <f t="shared" si="4"/>
        <v>Mateo Mol PerfectXL (infotron)</v>
      </c>
      <c r="B1216" s="19" t="s">
        <v>7173</v>
      </c>
      <c r="C1216" s="29" t="s">
        <v>7174</v>
      </c>
      <c r="D1216" s="29" t="s">
        <v>2936</v>
      </c>
      <c r="E1216" s="31" t="s">
        <v>7175</v>
      </c>
      <c r="F1216" s="33" t="s">
        <v>7176</v>
      </c>
      <c r="G1216" s="32" t="s">
        <v>46</v>
      </c>
      <c r="H1216" s="25" t="s">
        <v>47</v>
      </c>
      <c r="I1216" s="34"/>
      <c r="J1216" s="35" t="s">
        <v>7177</v>
      </c>
      <c r="K1216" s="27" t="s">
        <v>50</v>
      </c>
      <c r="L1216" s="27" t="s">
        <v>7178</v>
      </c>
      <c r="M1216" s="26" t="str">
        <f>VLOOKUP(E1216,'MTS 2026 registrations'!B:B,1,false)</f>
        <v>#N/A</v>
      </c>
      <c r="N1216" s="26" t="str">
        <f>VLOOKUP(B1216,'MTS 2026 registrations'!A:A,1,false)</f>
        <v>#N/A</v>
      </c>
      <c r="O1216" s="38" t="str">
        <f t="shared" si="6"/>
        <v>Marked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</row>
    <row r="1217" ht="12.75" customHeight="1">
      <c r="A1217" s="19" t="str">
        <f t="shared" si="4"/>
        <v>Mathijs Crone Fusion Engineering</v>
      </c>
      <c r="B1217" s="19" t="s">
        <v>7179</v>
      </c>
      <c r="C1217" s="29" t="s">
        <v>2668</v>
      </c>
      <c r="D1217" s="29" t="s">
        <v>7180</v>
      </c>
      <c r="E1217" s="31" t="s">
        <v>7181</v>
      </c>
      <c r="F1217" s="33" t="s">
        <v>7182</v>
      </c>
      <c r="G1217" s="32" t="s">
        <v>46</v>
      </c>
      <c r="H1217" s="25" t="s">
        <v>47</v>
      </c>
      <c r="I1217" s="34"/>
      <c r="J1217" s="35" t="s">
        <v>7183</v>
      </c>
      <c r="K1217" s="27" t="s">
        <v>50</v>
      </c>
      <c r="L1217" s="13" t="s">
        <v>7184</v>
      </c>
      <c r="M1217" s="26" t="str">
        <f>VLOOKUP(E1217,'MTS 2026 registrations'!B:B,1,false)</f>
        <v>#N/A</v>
      </c>
      <c r="N1217" s="26" t="str">
        <f>VLOOKUP(B1217,'MTS 2026 registrations'!A:A,1,false)</f>
        <v>#N/A</v>
      </c>
      <c r="O1217" s="38" t="str">
        <f t="shared" si="6"/>
        <v>Marked</v>
      </c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</row>
    <row r="1218" ht="12.75" customHeight="1">
      <c r="A1218" s="19" t="str">
        <f t="shared" si="4"/>
        <v>Mats van der Gulik Hyer Power</v>
      </c>
      <c r="B1218" s="19" t="s">
        <v>7185</v>
      </c>
      <c r="C1218" s="13" t="s">
        <v>7186</v>
      </c>
      <c r="D1218" s="13" t="s">
        <v>7187</v>
      </c>
      <c r="E1218" s="60" t="s">
        <v>7188</v>
      </c>
      <c r="F1218" s="60" t="s">
        <v>2711</v>
      </c>
      <c r="G1218" s="32" t="s">
        <v>46</v>
      </c>
      <c r="H1218" s="25" t="s">
        <v>47</v>
      </c>
      <c r="I1218" s="34"/>
      <c r="J1218" s="35" t="s">
        <v>7189</v>
      </c>
      <c r="K1218" s="27" t="s">
        <v>50</v>
      </c>
      <c r="L1218" s="13" t="s">
        <v>7190</v>
      </c>
      <c r="M1218" s="26" t="str">
        <f>VLOOKUP(E1218,'MTS 2026 registrations'!B:B,1,false)</f>
        <v>#N/A</v>
      </c>
      <c r="N1218" s="26" t="str">
        <f>VLOOKUP(B1218,'MTS 2026 registrations'!A:A,1,false)</f>
        <v>#N/A</v>
      </c>
      <c r="O1218" s="38" t="str">
        <f t="shared" si="6"/>
        <v>Marked</v>
      </c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</row>
    <row r="1219" ht="12.75" customHeight="1">
      <c r="A1219" s="19" t="str">
        <f t="shared" si="4"/>
        <v>Matthew Corvers imsystems</v>
      </c>
      <c r="B1219" s="19" t="s">
        <v>7191</v>
      </c>
      <c r="C1219" s="20" t="s">
        <v>1916</v>
      </c>
      <c r="D1219" s="20" t="s">
        <v>7192</v>
      </c>
      <c r="E1219" s="21" t="s">
        <v>7193</v>
      </c>
      <c r="F1219" s="23" t="s">
        <v>7194</v>
      </c>
      <c r="G1219" s="32" t="s">
        <v>46</v>
      </c>
      <c r="H1219" s="25" t="s">
        <v>47</v>
      </c>
      <c r="I1219" s="34"/>
      <c r="J1219" s="35" t="s">
        <v>7195</v>
      </c>
      <c r="K1219" s="27" t="s">
        <v>50</v>
      </c>
      <c r="L1219" s="13" t="s">
        <v>7196</v>
      </c>
      <c r="M1219" s="26" t="str">
        <f>VLOOKUP(E1219,'MTS 2026 registrations'!B:B,1,false)</f>
        <v>#N/A</v>
      </c>
      <c r="N1219" s="26" t="str">
        <f>VLOOKUP(B1219,'MTS 2026 registrations'!A:A,1,false)</f>
        <v>#N/A</v>
      </c>
      <c r="O1219" s="38" t="str">
        <f t="shared" si="6"/>
        <v>Marked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</row>
    <row r="1220" ht="12.75" customHeight="1">
      <c r="A1220" s="19" t="str">
        <f t="shared" si="4"/>
        <v>Matthew Westaway Voyc AI</v>
      </c>
      <c r="B1220" s="19" t="s">
        <v>7197</v>
      </c>
      <c r="C1220" s="29" t="s">
        <v>1916</v>
      </c>
      <c r="D1220" s="29" t="s">
        <v>7198</v>
      </c>
      <c r="E1220" s="62" t="s">
        <v>7199</v>
      </c>
      <c r="F1220" s="50" t="s">
        <v>7200</v>
      </c>
      <c r="G1220" s="32" t="s">
        <v>46</v>
      </c>
      <c r="H1220" s="25" t="s">
        <v>139</v>
      </c>
      <c r="I1220" s="13" t="s">
        <v>188</v>
      </c>
      <c r="J1220" s="35" t="s">
        <v>7201</v>
      </c>
      <c r="K1220" s="27" t="s">
        <v>50</v>
      </c>
      <c r="L1220" s="13" t="s">
        <v>7202</v>
      </c>
      <c r="M1220" s="26" t="str">
        <f>VLOOKUP(E1220,'MTS 2026 registrations'!B:B,1,false)</f>
        <v>#N/A</v>
      </c>
      <c r="N1220" s="26" t="str">
        <f>VLOOKUP(B1220,'MTS 2026 registrations'!A:A,1,false)</f>
        <v>#N/A</v>
      </c>
      <c r="O1220" s="38" t="str">
        <f t="shared" si="6"/>
        <v>Marked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</row>
    <row r="1221" ht="12.75" customHeight="1">
      <c r="A1221" s="19" t="str">
        <f t="shared" si="4"/>
        <v>Matthijs Ingen-Housz ingenhousz</v>
      </c>
      <c r="B1221" s="19" t="s">
        <v>7203</v>
      </c>
      <c r="C1221" s="29" t="s">
        <v>1924</v>
      </c>
      <c r="D1221" s="29" t="s">
        <v>7204</v>
      </c>
      <c r="E1221" s="30" t="s">
        <v>7205</v>
      </c>
      <c r="F1221" s="29" t="s">
        <v>7206</v>
      </c>
      <c r="G1221" s="32" t="s">
        <v>163</v>
      </c>
      <c r="H1221" s="13" t="s">
        <v>213</v>
      </c>
      <c r="I1221" s="34"/>
      <c r="J1221" s="35" t="s">
        <v>7207</v>
      </c>
      <c r="K1221" s="27" t="s">
        <v>50</v>
      </c>
      <c r="L1221" s="13" t="s">
        <v>7208</v>
      </c>
      <c r="M1221" s="26" t="str">
        <f>VLOOKUP(E1221,'MTS 2026 registrations'!B:B,1,false)</f>
        <v>#N/A</v>
      </c>
      <c r="N1221" s="26" t="str">
        <f>VLOOKUP(B1221,'MTS 2026 registrations'!A:A,1,false)</f>
        <v>#N/A</v>
      </c>
      <c r="O1221" s="38" t="str">
        <f t="shared" si="6"/>
        <v>Marked</v>
      </c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</row>
    <row r="1222" ht="12.75" customHeight="1">
      <c r="A1222" s="19" t="str">
        <f t="shared" si="4"/>
        <v>Matthijs Rijlaarsdam quantware</v>
      </c>
      <c r="B1222" s="19" t="s">
        <v>7209</v>
      </c>
      <c r="C1222" s="29" t="s">
        <v>1924</v>
      </c>
      <c r="D1222" s="29" t="s">
        <v>7210</v>
      </c>
      <c r="E1222" s="30" t="s">
        <v>7211</v>
      </c>
      <c r="F1222" s="29" t="s">
        <v>7212</v>
      </c>
      <c r="G1222" s="24" t="s">
        <v>46</v>
      </c>
      <c r="H1222" s="13" t="s">
        <v>213</v>
      </c>
      <c r="I1222" s="34"/>
      <c r="J1222" s="35" t="s">
        <v>7213</v>
      </c>
      <c r="K1222" s="27" t="s">
        <v>50</v>
      </c>
      <c r="L1222" s="13" t="s">
        <v>7214</v>
      </c>
      <c r="M1222" s="26" t="str">
        <f>VLOOKUP(E1222,'MTS 2026 registrations'!B:B,1,false)</f>
        <v>#N/A</v>
      </c>
      <c r="N1222" s="26" t="str">
        <f>VLOOKUP(B1222,'MTS 2026 registrations'!A:A,1,false)</f>
        <v>#N/A</v>
      </c>
      <c r="O1222" s="38" t="str">
        <f t="shared" si="6"/>
        <v>Marked</v>
      </c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</row>
    <row r="1223" ht="12.75" customHeight="1">
      <c r="A1223" s="19" t="str">
        <f t="shared" si="4"/>
        <v>Mattijs Otten tective</v>
      </c>
      <c r="B1223" s="19" t="s">
        <v>7215</v>
      </c>
      <c r="C1223" s="20" t="s">
        <v>1932</v>
      </c>
      <c r="D1223" s="20" t="s">
        <v>7216</v>
      </c>
      <c r="E1223" s="21" t="s">
        <v>7217</v>
      </c>
      <c r="F1223" s="23" t="s">
        <v>7218</v>
      </c>
      <c r="G1223" s="32" t="s">
        <v>46</v>
      </c>
      <c r="H1223" s="25" t="s">
        <v>47</v>
      </c>
      <c r="I1223" s="34"/>
      <c r="J1223" s="35" t="s">
        <v>7219</v>
      </c>
      <c r="K1223" s="27" t="s">
        <v>50</v>
      </c>
      <c r="L1223" s="13" t="s">
        <v>7220</v>
      </c>
      <c r="M1223" s="26" t="str">
        <f>VLOOKUP(E1223,'MTS 2026 registrations'!B:B,1,false)</f>
        <v>#N/A</v>
      </c>
      <c r="N1223" s="26" t="str">
        <f>VLOOKUP(B1223,'MTS 2026 registrations'!A:A,1,false)</f>
        <v>#N/A</v>
      </c>
      <c r="O1223" s="38" t="str">
        <f t="shared" si="6"/>
        <v>Marked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23"/>
      <c r="AE1223" s="23"/>
    </row>
    <row r="1224" ht="12.75" customHeight="1">
      <c r="A1224" s="19" t="str">
        <f t="shared" si="4"/>
        <v>Maurice de Rochemont rsm</v>
      </c>
      <c r="B1224" s="19" t="s">
        <v>7221</v>
      </c>
      <c r="C1224" s="20" t="s">
        <v>7222</v>
      </c>
      <c r="D1224" s="20" t="s">
        <v>7223</v>
      </c>
      <c r="E1224" s="202" t="s">
        <v>7224</v>
      </c>
      <c r="F1224" s="23" t="s">
        <v>931</v>
      </c>
      <c r="G1224" s="24" t="s">
        <v>225</v>
      </c>
      <c r="H1224" s="25" t="s">
        <v>47</v>
      </c>
      <c r="I1224" s="23"/>
      <c r="J1224" s="35" t="s">
        <v>7225</v>
      </c>
      <c r="K1224" s="27" t="s">
        <v>50</v>
      </c>
      <c r="L1224" s="13" t="s">
        <v>7226</v>
      </c>
      <c r="M1224" s="26" t="str">
        <f>VLOOKUP(E1224,'MTS 2026 registrations'!B:B,1,false)</f>
        <v>#N/A</v>
      </c>
      <c r="N1224" s="26" t="str">
        <f>VLOOKUP(B1224,'MTS 2026 registrations'!A:A,1,false)</f>
        <v>#N/A</v>
      </c>
      <c r="O1224" s="38" t="str">
        <f t="shared" si="6"/>
        <v>Marked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34"/>
      <c r="AE1224" s="34"/>
    </row>
    <row r="1225" ht="12.75" customHeight="1">
      <c r="A1225" s="19" t="str">
        <f t="shared" si="4"/>
        <v>Maurits Roose royalisinvestments</v>
      </c>
      <c r="B1225" s="19" t="s">
        <v>7227</v>
      </c>
      <c r="C1225" s="20" t="s">
        <v>1316</v>
      </c>
      <c r="D1225" s="20" t="s">
        <v>7228</v>
      </c>
      <c r="E1225" s="21" t="s">
        <v>7229</v>
      </c>
      <c r="F1225" s="23" t="s">
        <v>7230</v>
      </c>
      <c r="G1225" s="24" t="s">
        <v>163</v>
      </c>
      <c r="H1225" s="25" t="s">
        <v>164</v>
      </c>
      <c r="I1225" s="34"/>
      <c r="J1225" s="35" t="s">
        <v>7231</v>
      </c>
      <c r="K1225" s="27" t="s">
        <v>50</v>
      </c>
      <c r="L1225" s="13" t="s">
        <v>7232</v>
      </c>
      <c r="M1225" s="26" t="str">
        <f>VLOOKUP(E1225,'MTS 2026 registrations'!B:B,1,false)</f>
        <v>#N/A</v>
      </c>
      <c r="N1225" s="26" t="str">
        <f>VLOOKUP(B1225,'MTS 2026 registrations'!A:A,1,false)</f>
        <v>#N/A</v>
      </c>
      <c r="O1225" s="38" t="str">
        <f t="shared" si="6"/>
        <v>Marked</v>
      </c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</row>
    <row r="1226" ht="12.75" customHeight="1">
      <c r="A1226" s="19" t="str">
        <f t="shared" si="4"/>
        <v>Maurits Westerik coupry</v>
      </c>
      <c r="B1226" s="19" t="s">
        <v>7233</v>
      </c>
      <c r="C1226" s="20" t="s">
        <v>1316</v>
      </c>
      <c r="D1226" s="20" t="s">
        <v>7234</v>
      </c>
      <c r="E1226" s="21" t="s">
        <v>7235</v>
      </c>
      <c r="F1226" s="23" t="s">
        <v>7236</v>
      </c>
      <c r="G1226" s="24" t="s">
        <v>29</v>
      </c>
      <c r="H1226" s="25" t="s">
        <v>47</v>
      </c>
      <c r="I1226" s="26"/>
      <c r="J1226" s="35" t="s">
        <v>7237</v>
      </c>
      <c r="K1226" s="27" t="s">
        <v>50</v>
      </c>
      <c r="L1226" s="13" t="s">
        <v>7238</v>
      </c>
      <c r="M1226" s="26" t="str">
        <f>VLOOKUP(E1226,'MTS 2026 registrations'!B:B,1,false)</f>
        <v>#N/A</v>
      </c>
      <c r="N1226" s="26" t="str">
        <f>VLOOKUP(B1226,'MTS 2026 registrations'!A:A,1,false)</f>
        <v>#N/A</v>
      </c>
      <c r="O1226" s="38" t="str">
        <f t="shared" si="6"/>
        <v>Marked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</row>
    <row r="1227" ht="12.75" customHeight="1">
      <c r="A1227" s="19" t="str">
        <f t="shared" si="4"/>
        <v>Max Meerten denhaag</v>
      </c>
      <c r="B1227" s="19" t="s">
        <v>7239</v>
      </c>
      <c r="C1227" s="29" t="s">
        <v>1937</v>
      </c>
      <c r="D1227" s="29" t="s">
        <v>7240</v>
      </c>
      <c r="E1227" s="30" t="s">
        <v>7241</v>
      </c>
      <c r="F1227" s="29" t="s">
        <v>738</v>
      </c>
      <c r="G1227" s="32" t="s">
        <v>323</v>
      </c>
      <c r="H1227" s="13" t="s">
        <v>45</v>
      </c>
      <c r="I1227" s="34"/>
      <c r="J1227" s="35" t="s">
        <v>7242</v>
      </c>
      <c r="K1227" s="27" t="s">
        <v>50</v>
      </c>
      <c r="L1227" s="13" t="s">
        <v>7243</v>
      </c>
      <c r="M1227" s="26" t="str">
        <f>VLOOKUP(E1227,'MTS 2026 registrations'!B:B,1,false)</f>
        <v>#N/A</v>
      </c>
      <c r="N1227" s="26" t="str">
        <f>VLOOKUP(B1227,'MTS 2026 registrations'!A:A,1,false)</f>
        <v>#N/A</v>
      </c>
      <c r="O1227" s="38" t="str">
        <f t="shared" si="6"/>
        <v>Marked</v>
      </c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</row>
    <row r="1228" ht="12.75" customHeight="1">
      <c r="A1228" s="19" t="str">
        <f t="shared" si="4"/>
        <v>Max ter Horst rockstart</v>
      </c>
      <c r="B1228" s="19" t="s">
        <v>7244</v>
      </c>
      <c r="C1228" s="20" t="s">
        <v>1937</v>
      </c>
      <c r="D1228" s="20" t="s">
        <v>7245</v>
      </c>
      <c r="E1228" s="21" t="s">
        <v>7246</v>
      </c>
      <c r="F1228" s="23" t="s">
        <v>7247</v>
      </c>
      <c r="G1228" s="24" t="s">
        <v>163</v>
      </c>
      <c r="H1228" s="25" t="s">
        <v>164</v>
      </c>
      <c r="I1228" s="34"/>
      <c r="J1228" s="35" t="s">
        <v>7248</v>
      </c>
      <c r="K1228" s="27" t="s">
        <v>50</v>
      </c>
      <c r="L1228" s="13" t="s">
        <v>7249</v>
      </c>
      <c r="M1228" s="26" t="str">
        <f>VLOOKUP(E1228,'MTS 2026 registrations'!B:B,1,false)</f>
        <v>#N/A</v>
      </c>
      <c r="N1228" s="26" t="str">
        <f>VLOOKUP(B1228,'MTS 2026 registrations'!A:A,1,false)</f>
        <v>#N/A</v>
      </c>
      <c r="O1228" s="38" t="str">
        <f t="shared" si="6"/>
        <v>Marked</v>
      </c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</row>
    <row r="1229" ht="12.75" customHeight="1">
      <c r="A1229" s="19" t="str">
        <f t="shared" si="4"/>
        <v>Max Baan </v>
      </c>
      <c r="B1229" s="19" t="s">
        <v>7250</v>
      </c>
      <c r="C1229" s="20" t="s">
        <v>1937</v>
      </c>
      <c r="D1229" s="20" t="s">
        <v>7251</v>
      </c>
      <c r="E1229" s="21" t="s">
        <v>7252</v>
      </c>
      <c r="F1229" s="52"/>
      <c r="G1229" s="32" t="s">
        <v>46</v>
      </c>
      <c r="H1229" s="25" t="s">
        <v>47</v>
      </c>
      <c r="I1229" s="26"/>
      <c r="J1229" s="35" t="s">
        <v>7253</v>
      </c>
      <c r="K1229" s="27" t="s">
        <v>50</v>
      </c>
      <c r="L1229" s="13" t="s">
        <v>7254</v>
      </c>
      <c r="M1229" s="26" t="str">
        <f>VLOOKUP(E1229,'MTS 2026 registrations'!B:B,1,false)</f>
        <v>#N/A</v>
      </c>
      <c r="N1229" s="26" t="str">
        <f>VLOOKUP(B1229,'MTS 2026 registrations'!A:A,1,false)</f>
        <v>#N/A</v>
      </c>
      <c r="O1229" s="38" t="str">
        <f t="shared" si="6"/>
        <v>Marked</v>
      </c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</row>
    <row r="1230" ht="12.75" customHeight="1">
      <c r="A1230" s="19" t="str">
        <f t="shared" si="4"/>
        <v>Max Van den Berg Angel</v>
      </c>
      <c r="B1230" s="19" t="s">
        <v>7255</v>
      </c>
      <c r="C1230" s="20" t="s">
        <v>1937</v>
      </c>
      <c r="D1230" s="20" t="s">
        <v>7256</v>
      </c>
      <c r="E1230" s="21" t="s">
        <v>7257</v>
      </c>
      <c r="F1230" s="49" t="s">
        <v>1430</v>
      </c>
      <c r="G1230" s="24" t="s">
        <v>163</v>
      </c>
      <c r="H1230" s="26" t="s">
        <v>164</v>
      </c>
      <c r="I1230" s="13"/>
      <c r="J1230" s="35" t="s">
        <v>7258</v>
      </c>
      <c r="K1230" s="27" t="s">
        <v>50</v>
      </c>
      <c r="L1230" s="25" t="s">
        <v>7259</v>
      </c>
      <c r="M1230" s="26" t="str">
        <f>VLOOKUP(E1230,'MTS 2026 registrations'!B:B,1,false)</f>
        <v>#N/A</v>
      </c>
      <c r="N1230" s="26" t="str">
        <f>VLOOKUP(B1230,'MTS 2026 registrations'!A:A,1,false)</f>
        <v>#N/A</v>
      </c>
      <c r="O1230" s="38" t="str">
        <f t="shared" si="6"/>
        <v>Marked</v>
      </c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</row>
    <row r="1231" ht="12.75" customHeight="1">
      <c r="A1231" s="19" t="str">
        <f t="shared" si="4"/>
        <v>Max Beaumont Skytree (Giaura)</v>
      </c>
      <c r="B1231" s="19" t="s">
        <v>7260</v>
      </c>
      <c r="C1231" s="29" t="s">
        <v>1937</v>
      </c>
      <c r="D1231" s="29" t="s">
        <v>7261</v>
      </c>
      <c r="E1231" s="203" t="s">
        <v>7262</v>
      </c>
      <c r="F1231" s="33" t="s">
        <v>3253</v>
      </c>
      <c r="G1231" s="24" t="s">
        <v>46</v>
      </c>
      <c r="H1231" s="25" t="s">
        <v>47</v>
      </c>
      <c r="I1231" s="34"/>
      <c r="J1231" s="35" t="s">
        <v>7263</v>
      </c>
      <c r="K1231" s="27" t="s">
        <v>50</v>
      </c>
      <c r="L1231" s="13" t="s">
        <v>7264</v>
      </c>
      <c r="M1231" s="26" t="str">
        <f>VLOOKUP(E1231,'MTS 2026 registrations'!B:B,1,false)</f>
        <v>#N/A</v>
      </c>
      <c r="N1231" s="26" t="str">
        <f>VLOOKUP(B1231,'MTS 2026 registrations'!A:A,1,false)</f>
        <v>#N/A</v>
      </c>
      <c r="O1231" s="38" t="str">
        <f t="shared" si="6"/>
        <v>Marked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</row>
    <row r="1232" ht="12.75" customHeight="1">
      <c r="A1232" s="19" t="str">
        <f t="shared" si="4"/>
        <v>Max van Dijken sol-rnd</v>
      </c>
      <c r="B1232" s="19" t="s">
        <v>7265</v>
      </c>
      <c r="C1232" s="20" t="s">
        <v>7266</v>
      </c>
      <c r="D1232" s="93" t="s">
        <v>7267</v>
      </c>
      <c r="E1232" s="94" t="s">
        <v>7268</v>
      </c>
      <c r="F1232" s="23" t="s">
        <v>7269</v>
      </c>
      <c r="G1232" s="32" t="s">
        <v>46</v>
      </c>
      <c r="H1232" s="25" t="s">
        <v>47</v>
      </c>
      <c r="I1232" s="23"/>
      <c r="J1232" s="35" t="s">
        <v>7270</v>
      </c>
      <c r="K1232" s="27" t="s">
        <v>50</v>
      </c>
      <c r="L1232" s="13" t="s">
        <v>7271</v>
      </c>
      <c r="M1232" s="26" t="str">
        <f>VLOOKUP(E1232,'MTS 2026 registrations'!B:B,1,false)</f>
        <v>#N/A</v>
      </c>
      <c r="N1232" s="26" t="str">
        <f>VLOOKUP(B1232,'MTS 2026 registrations'!A:A,1,false)</f>
        <v>#N/A</v>
      </c>
      <c r="O1232" s="38" t="str">
        <f t="shared" si="6"/>
        <v>Marked</v>
      </c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34"/>
      <c r="AE1232" s="34"/>
    </row>
    <row r="1233" ht="12.75" customHeight="1">
      <c r="A1233" s="19" t="str">
        <f t="shared" si="4"/>
        <v>Maxim Sachs Arkmon</v>
      </c>
      <c r="B1233" s="19" t="s">
        <v>7272</v>
      </c>
      <c r="C1233" s="29" t="s">
        <v>7273</v>
      </c>
      <c r="D1233" s="29" t="s">
        <v>7274</v>
      </c>
      <c r="E1233" s="31" t="s">
        <v>7275</v>
      </c>
      <c r="F1233" s="33" t="s">
        <v>7276</v>
      </c>
      <c r="G1233" s="32" t="s">
        <v>46</v>
      </c>
      <c r="H1233" s="25" t="s">
        <v>47</v>
      </c>
      <c r="I1233" s="34"/>
      <c r="J1233" s="35" t="s">
        <v>7277</v>
      </c>
      <c r="K1233" s="27" t="s">
        <v>50</v>
      </c>
      <c r="L1233" s="13" t="s">
        <v>7278</v>
      </c>
      <c r="M1233" s="26" t="str">
        <f>VLOOKUP(E1233,'MTS 2026 registrations'!B:B,1,false)</f>
        <v>#N/A</v>
      </c>
      <c r="N1233" s="26" t="str">
        <f>VLOOKUP(B1233,'MTS 2026 registrations'!A:A,1,false)</f>
        <v>Maxim Sachs</v>
      </c>
      <c r="O1233" s="38" t="str">
        <f t="shared" si="6"/>
        <v/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</row>
    <row r="1234" ht="12.75" customHeight="1">
      <c r="A1234" s="19" t="str">
        <f t="shared" si="4"/>
        <v>Maxim Knepfle tygron</v>
      </c>
      <c r="B1234" s="19" t="s">
        <v>7279</v>
      </c>
      <c r="C1234" s="20" t="s">
        <v>7273</v>
      </c>
      <c r="D1234" s="20" t="s">
        <v>7280</v>
      </c>
      <c r="E1234" s="21" t="s">
        <v>7281</v>
      </c>
      <c r="F1234" s="23" t="s">
        <v>4830</v>
      </c>
      <c r="G1234" s="32" t="s">
        <v>46</v>
      </c>
      <c r="H1234" s="25" t="s">
        <v>47</v>
      </c>
      <c r="I1234" s="26"/>
      <c r="J1234" s="35" t="s">
        <v>7282</v>
      </c>
      <c r="K1234" s="27" t="s">
        <v>50</v>
      </c>
      <c r="L1234" s="13" t="s">
        <v>7283</v>
      </c>
      <c r="M1234" s="26" t="str">
        <f>VLOOKUP(E1234,'MTS 2026 registrations'!B:B,1,false)</f>
        <v>#N/A</v>
      </c>
      <c r="N1234" s="26" t="str">
        <f>VLOOKUP(B1234,'MTS 2026 registrations'!A:A,1,false)</f>
        <v>#N/A</v>
      </c>
      <c r="O1234" s="38" t="str">
        <f t="shared" si="6"/>
        <v>Marked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</row>
    <row r="1235" ht="12.75" customHeight="1">
      <c r="A1235" s="19" t="str">
        <f t="shared" si="4"/>
        <v>Maximilian Sachs arkmon</v>
      </c>
      <c r="B1235" s="19" t="s">
        <v>7284</v>
      </c>
      <c r="C1235" s="20" t="s">
        <v>7285</v>
      </c>
      <c r="D1235" s="20" t="s">
        <v>7274</v>
      </c>
      <c r="E1235" s="21" t="s">
        <v>7286</v>
      </c>
      <c r="F1235" s="23" t="s">
        <v>7287</v>
      </c>
      <c r="G1235" s="32" t="s">
        <v>46</v>
      </c>
      <c r="H1235" s="25" t="s">
        <v>47</v>
      </c>
      <c r="I1235" s="26"/>
      <c r="J1235" s="35" t="s">
        <v>7288</v>
      </c>
      <c r="K1235" s="27" t="s">
        <v>50</v>
      </c>
      <c r="L1235" s="13" t="s">
        <v>7289</v>
      </c>
      <c r="M1235" s="26" t="str">
        <f>VLOOKUP(E1235,'MTS 2026 registrations'!B:B,1,false)</f>
        <v>#N/A</v>
      </c>
      <c r="N1235" s="26" t="str">
        <f>VLOOKUP(B1235,'MTS 2026 registrations'!A:A,1,false)</f>
        <v>#N/A</v>
      </c>
      <c r="O1235" s="38" t="str">
        <f t="shared" si="6"/>
        <v>Marked</v>
      </c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34"/>
      <c r="AE1235" s="34"/>
    </row>
    <row r="1236" ht="12.75" customHeight="1">
      <c r="A1236" s="19" t="str">
        <f t="shared" si="4"/>
        <v>Meindert Stolk pzh</v>
      </c>
      <c r="B1236" s="19" t="s">
        <v>7290</v>
      </c>
      <c r="C1236" s="134" t="s">
        <v>7291</v>
      </c>
      <c r="D1236" s="60" t="s">
        <v>6697</v>
      </c>
      <c r="E1236" s="62" t="s">
        <v>7292</v>
      </c>
      <c r="F1236" s="64" t="s">
        <v>1532</v>
      </c>
      <c r="G1236" s="42" t="s">
        <v>323</v>
      </c>
      <c r="H1236" s="25" t="s">
        <v>139</v>
      </c>
      <c r="I1236" s="34"/>
      <c r="J1236" s="35" t="s">
        <v>7293</v>
      </c>
      <c r="K1236" s="27" t="s">
        <v>50</v>
      </c>
      <c r="L1236" s="13" t="s">
        <v>7294</v>
      </c>
      <c r="M1236" s="26" t="str">
        <f>VLOOKUP(E1236,'MTS 2026 registrations'!B:B,1,false)</f>
        <v>#N/A</v>
      </c>
      <c r="N1236" s="26" t="str">
        <f>VLOOKUP(B1236,'MTS 2026 registrations'!A:A,1,false)</f>
        <v>#N/A</v>
      </c>
      <c r="O1236" s="38" t="str">
        <f t="shared" si="6"/>
        <v>Marked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</row>
    <row r="1237" ht="12.75" customHeight="1">
      <c r="A1237" s="19" t="str">
        <f t="shared" si="4"/>
        <v>Melvil Donnart Lox Solution</v>
      </c>
      <c r="B1237" s="19" t="s">
        <v>7295</v>
      </c>
      <c r="C1237" s="29" t="s">
        <v>7296</v>
      </c>
      <c r="D1237" s="29" t="s">
        <v>7297</v>
      </c>
      <c r="E1237" s="31" t="s">
        <v>7298</v>
      </c>
      <c r="F1237" s="33" t="s">
        <v>7299</v>
      </c>
      <c r="G1237" s="24" t="s">
        <v>46</v>
      </c>
      <c r="H1237" s="25" t="s">
        <v>47</v>
      </c>
      <c r="I1237" s="34"/>
      <c r="J1237" s="35" t="s">
        <v>7300</v>
      </c>
      <c r="K1237" s="27" t="s">
        <v>50</v>
      </c>
      <c r="L1237" s="13" t="s">
        <v>7301</v>
      </c>
      <c r="M1237" s="26" t="str">
        <f>VLOOKUP(E1237,'MTS 2026 registrations'!B:B,1,false)</f>
        <v>#N/A</v>
      </c>
      <c r="N1237" s="26" t="str">
        <f>VLOOKUP(B1237,'MTS 2026 registrations'!A:A,1,false)</f>
        <v>#N/A</v>
      </c>
      <c r="O1237" s="38" t="str">
        <f t="shared" si="6"/>
        <v>Marked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</row>
    <row r="1238" ht="12.75" customHeight="1">
      <c r="A1238" s="19" t="str">
        <f t="shared" si="4"/>
        <v>Menno Antal </v>
      </c>
      <c r="B1238" s="19" t="s">
        <v>7302</v>
      </c>
      <c r="C1238" s="60" t="s">
        <v>7303</v>
      </c>
      <c r="D1238" s="60" t="s">
        <v>7304</v>
      </c>
      <c r="E1238" s="62" t="s">
        <v>7305</v>
      </c>
      <c r="F1238" s="64"/>
      <c r="G1238" s="42" t="s">
        <v>1306</v>
      </c>
      <c r="H1238" s="25" t="s">
        <v>139</v>
      </c>
      <c r="I1238" s="34"/>
      <c r="J1238" s="35" t="s">
        <v>7306</v>
      </c>
      <c r="K1238" s="27" t="s">
        <v>50</v>
      </c>
      <c r="L1238" s="13" t="s">
        <v>7307</v>
      </c>
      <c r="M1238" s="26" t="str">
        <f>VLOOKUP(E1238,'MTS 2026 registrations'!B:B,1,false)</f>
        <v>#N/A</v>
      </c>
      <c r="N1238" s="26" t="str">
        <f>VLOOKUP(B1238,'MTS 2026 registrations'!A:A,1,false)</f>
        <v>#N/A</v>
      </c>
      <c r="O1238" s="38" t="str">
        <f t="shared" si="6"/>
        <v>Marked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</row>
    <row r="1239" ht="12.75" customHeight="1">
      <c r="A1239" s="19" t="str">
        <f t="shared" si="4"/>
        <v>Menno Gravemaker momomedical</v>
      </c>
      <c r="B1239" s="19" t="s">
        <v>7308</v>
      </c>
      <c r="C1239" s="20" t="s">
        <v>7303</v>
      </c>
      <c r="D1239" s="20" t="s">
        <v>7309</v>
      </c>
      <c r="E1239" s="21" t="s">
        <v>7310</v>
      </c>
      <c r="F1239" s="23" t="s">
        <v>7311</v>
      </c>
      <c r="G1239" s="32" t="s">
        <v>46</v>
      </c>
      <c r="H1239" s="25" t="s">
        <v>47</v>
      </c>
      <c r="I1239" s="34"/>
      <c r="J1239" s="35" t="s">
        <v>7312</v>
      </c>
      <c r="K1239" s="27" t="s">
        <v>50</v>
      </c>
      <c r="L1239" s="13" t="s">
        <v>7313</v>
      </c>
      <c r="M1239" s="26" t="str">
        <f>VLOOKUP(E1239,'MTS 2026 registrations'!B:B,1,false)</f>
        <v>#N/A</v>
      </c>
      <c r="N1239" s="26" t="str">
        <f>VLOOKUP(B1239,'MTS 2026 registrations'!A:A,1,false)</f>
        <v>#N/A</v>
      </c>
      <c r="O1239" s="38" t="str">
        <f t="shared" si="6"/>
        <v>Marked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</row>
    <row r="1240" ht="12.75" customHeight="1">
      <c r="A1240" s="19" t="str">
        <f t="shared" si="4"/>
        <v>Merijn wegdam sunshower</v>
      </c>
      <c r="B1240" s="19" t="s">
        <v>7314</v>
      </c>
      <c r="C1240" s="20" t="s">
        <v>7315</v>
      </c>
      <c r="D1240" s="20" t="s">
        <v>7316</v>
      </c>
      <c r="E1240" s="21" t="s">
        <v>7317</v>
      </c>
      <c r="F1240" s="23" t="s">
        <v>7318</v>
      </c>
      <c r="G1240" s="32" t="s">
        <v>46</v>
      </c>
      <c r="H1240" s="25" t="s">
        <v>47</v>
      </c>
      <c r="I1240" s="34"/>
      <c r="J1240" s="35" t="s">
        <v>7319</v>
      </c>
      <c r="K1240" s="27" t="s">
        <v>50</v>
      </c>
      <c r="L1240" s="13" t="s">
        <v>7320</v>
      </c>
      <c r="M1240" s="26" t="str">
        <f>VLOOKUP(E1240,'MTS 2026 registrations'!B:B,1,false)</f>
        <v>#N/A</v>
      </c>
      <c r="N1240" s="26" t="str">
        <f>VLOOKUP(B1240,'MTS 2026 registrations'!A:A,1,false)</f>
        <v>#N/A</v>
      </c>
      <c r="O1240" s="38" t="str">
        <f t="shared" si="6"/>
        <v>Marked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</row>
    <row r="1241" ht="12.75" customHeight="1">
      <c r="A1241" s="19" t="str">
        <f t="shared" si="4"/>
        <v>Meron Mekonnen lumolabs</v>
      </c>
      <c r="B1241" s="19" t="s">
        <v>7321</v>
      </c>
      <c r="C1241" s="20" t="s">
        <v>7322</v>
      </c>
      <c r="D1241" s="20" t="s">
        <v>7323</v>
      </c>
      <c r="E1241" s="21" t="s">
        <v>7324</v>
      </c>
      <c r="F1241" s="23" t="s">
        <v>7325</v>
      </c>
      <c r="G1241" s="24" t="s">
        <v>163</v>
      </c>
      <c r="H1241" s="25" t="s">
        <v>164</v>
      </c>
      <c r="I1241" s="34"/>
      <c r="J1241" s="35" t="s">
        <v>7326</v>
      </c>
      <c r="K1241" s="27" t="s">
        <v>50</v>
      </c>
      <c r="L1241" s="13" t="s">
        <v>7327</v>
      </c>
      <c r="M1241" s="26" t="str">
        <f>VLOOKUP(E1241,'MTS 2026 registrations'!B:B,1,false)</f>
        <v>#N/A</v>
      </c>
      <c r="N1241" s="26" t="str">
        <f>VLOOKUP(B1241,'MTS 2026 registrations'!A:A,1,false)</f>
        <v>#N/A</v>
      </c>
      <c r="O1241" s="38" t="str">
        <f t="shared" si="6"/>
        <v>Marked</v>
      </c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</row>
    <row r="1242" ht="12.75" customHeight="1">
      <c r="A1242" s="19" t="str">
        <f t="shared" si="4"/>
        <v>Mert Gulleroglu Tebesir</v>
      </c>
      <c r="B1242" s="19" t="s">
        <v>7328</v>
      </c>
      <c r="C1242" s="29" t="s">
        <v>7329</v>
      </c>
      <c r="D1242" s="29" t="s">
        <v>7330</v>
      </c>
      <c r="E1242" s="80" t="s">
        <v>7331</v>
      </c>
      <c r="F1242" s="33" t="s">
        <v>936</v>
      </c>
      <c r="G1242" s="156" t="s">
        <v>46</v>
      </c>
      <c r="H1242" s="50" t="s">
        <v>47</v>
      </c>
      <c r="I1242" s="34"/>
      <c r="J1242" s="35" t="s">
        <v>7332</v>
      </c>
      <c r="K1242" s="27" t="s">
        <v>50</v>
      </c>
      <c r="L1242" s="27" t="s">
        <v>7333</v>
      </c>
      <c r="M1242" s="26" t="str">
        <f>VLOOKUP(E1242,'MTS 2026 registrations'!B:B,1,false)</f>
        <v>#N/A</v>
      </c>
      <c r="N1242" s="26" t="str">
        <f>VLOOKUP(B1242,'MTS 2026 registrations'!A:A,1,false)</f>
        <v>#N/A</v>
      </c>
      <c r="O1242" s="38" t="str">
        <f t="shared" si="6"/>
        <v>Marked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</row>
    <row r="1243" ht="12.75" customHeight="1">
      <c r="A1243" s="19" t="str">
        <f t="shared" si="4"/>
        <v>Mert Ozturk MangoStone</v>
      </c>
      <c r="B1243" s="19" t="s">
        <v>7334</v>
      </c>
      <c r="C1243" s="29" t="s">
        <v>7329</v>
      </c>
      <c r="D1243" s="29" t="s">
        <v>7335</v>
      </c>
      <c r="E1243" s="31" t="s">
        <v>7336</v>
      </c>
      <c r="F1243" s="33" t="s">
        <v>7337</v>
      </c>
      <c r="G1243" s="24" t="s">
        <v>46</v>
      </c>
      <c r="H1243" s="25" t="s">
        <v>47</v>
      </c>
      <c r="I1243" s="34"/>
      <c r="J1243" s="35" t="s">
        <v>7338</v>
      </c>
      <c r="K1243" s="27" t="s">
        <v>50</v>
      </c>
      <c r="L1243" s="13" t="s">
        <v>7339</v>
      </c>
      <c r="M1243" s="26" t="str">
        <f>VLOOKUP(E1243,'MTS 2026 registrations'!B:B,1,false)</f>
        <v>#N/A</v>
      </c>
      <c r="N1243" s="26" t="str">
        <f>VLOOKUP(B1243,'MTS 2026 registrations'!A:A,1,false)</f>
        <v>#N/A</v>
      </c>
      <c r="O1243" s="38" t="str">
        <f t="shared" si="6"/>
        <v>Marked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</row>
    <row r="1244" ht="12.75" customHeight="1">
      <c r="A1244" s="19" t="str">
        <f t="shared" si="4"/>
        <v>Mert Doganli regbes</v>
      </c>
      <c r="B1244" s="19" t="s">
        <v>7340</v>
      </c>
      <c r="C1244" s="120" t="s">
        <v>7341</v>
      </c>
      <c r="D1244" s="120" t="s">
        <v>7342</v>
      </c>
      <c r="E1244" s="94" t="s">
        <v>7343</v>
      </c>
      <c r="F1244" s="23" t="s">
        <v>7344</v>
      </c>
      <c r="G1244" s="32" t="s">
        <v>46</v>
      </c>
      <c r="H1244" s="25" t="s">
        <v>47</v>
      </c>
      <c r="I1244" s="34"/>
      <c r="J1244" s="35" t="s">
        <v>7345</v>
      </c>
      <c r="K1244" s="27" t="s">
        <v>50</v>
      </c>
      <c r="L1244" s="13" t="s">
        <v>7346</v>
      </c>
      <c r="M1244" s="26" t="str">
        <f>VLOOKUP(E1244,'MTS 2026 registrations'!B:B,1,false)</f>
        <v>#N/A</v>
      </c>
      <c r="N1244" s="26" t="str">
        <f>VLOOKUP(B1244,'MTS 2026 registrations'!A:A,1,false)</f>
        <v>#N/A</v>
      </c>
      <c r="O1244" s="38" t="str">
        <f t="shared" si="6"/>
        <v>Marked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</row>
    <row r="1245" ht="12.75" customHeight="1">
      <c r="A1245" s="19" t="str">
        <f t="shared" si="4"/>
        <v>Mesbah Sabur circularise</v>
      </c>
      <c r="B1245" s="19" t="s">
        <v>7347</v>
      </c>
      <c r="C1245" s="20" t="s">
        <v>7348</v>
      </c>
      <c r="D1245" s="20" t="s">
        <v>7349</v>
      </c>
      <c r="E1245" s="21" t="s">
        <v>7350</v>
      </c>
      <c r="F1245" s="23" t="s">
        <v>6113</v>
      </c>
      <c r="G1245" s="32" t="s">
        <v>46</v>
      </c>
      <c r="H1245" s="25" t="s">
        <v>47</v>
      </c>
      <c r="I1245" s="26"/>
      <c r="J1245" s="35" t="s">
        <v>7351</v>
      </c>
      <c r="K1245" s="27" t="s">
        <v>50</v>
      </c>
      <c r="L1245" s="13" t="s">
        <v>7352</v>
      </c>
      <c r="M1245" s="26" t="str">
        <f>VLOOKUP(E1245,'MTS 2026 registrations'!B:B,1,false)</f>
        <v>#N/A</v>
      </c>
      <c r="N1245" s="26" t="str">
        <f>VLOOKUP(B1245,'MTS 2026 registrations'!A:A,1,false)</f>
        <v>#N/A</v>
      </c>
      <c r="O1245" s="38" t="str">
        <f t="shared" si="6"/>
        <v>Marked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</row>
    <row r="1246" ht="12.75" customHeight="1">
      <c r="A1246" s="19" t="str">
        <f t="shared" si="4"/>
        <v>Michael Maschek magneto.systems</v>
      </c>
      <c r="B1246" s="19" t="s">
        <v>7353</v>
      </c>
      <c r="C1246" s="20" t="s">
        <v>569</v>
      </c>
      <c r="D1246" s="20" t="s">
        <v>7354</v>
      </c>
      <c r="E1246" s="21" t="s">
        <v>7355</v>
      </c>
      <c r="F1246" s="23" t="s">
        <v>3805</v>
      </c>
      <c r="G1246" s="32" t="s">
        <v>46</v>
      </c>
      <c r="H1246" s="25" t="s">
        <v>47</v>
      </c>
      <c r="I1246" s="34"/>
      <c r="J1246" s="35" t="s">
        <v>7356</v>
      </c>
      <c r="K1246" s="27" t="s">
        <v>50</v>
      </c>
      <c r="L1246" s="13" t="s">
        <v>7357</v>
      </c>
      <c r="M1246" s="26" t="str">
        <f>VLOOKUP(E1246,'MTS 2026 registrations'!B:B,1,false)</f>
        <v>#N/A</v>
      </c>
      <c r="N1246" s="26" t="str">
        <f>VLOOKUP(B1246,'MTS 2026 registrations'!A:A,1,false)</f>
        <v>#N/A</v>
      </c>
      <c r="O1246" s="38" t="str">
        <f t="shared" si="6"/>
        <v>Marked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</row>
    <row r="1247" ht="12.75" customHeight="1">
      <c r="A1247" s="19" t="str">
        <f t="shared" si="4"/>
        <v>Michael vanderveen TNO</v>
      </c>
      <c r="B1247" s="19" t="s">
        <v>7358</v>
      </c>
      <c r="C1247" s="72" t="s">
        <v>569</v>
      </c>
      <c r="D1247" s="72" t="s">
        <v>7359</v>
      </c>
      <c r="E1247" s="30" t="s">
        <v>7360</v>
      </c>
      <c r="F1247" s="72" t="s">
        <v>2484</v>
      </c>
      <c r="G1247" s="32" t="s">
        <v>43</v>
      </c>
      <c r="H1247" s="13" t="s">
        <v>45</v>
      </c>
      <c r="I1247" s="34"/>
      <c r="J1247" s="35" t="s">
        <v>7361</v>
      </c>
      <c r="K1247" s="27" t="s">
        <v>50</v>
      </c>
      <c r="L1247" s="13" t="s">
        <v>7362</v>
      </c>
      <c r="M1247" s="26" t="str">
        <f>VLOOKUP(E1247,'MTS 2026 registrations'!B:B,1,false)</f>
        <v>#N/A</v>
      </c>
      <c r="N1247" s="26" t="str">
        <f>VLOOKUP(B1247,'MTS 2026 registrations'!A:A,1,false)</f>
        <v>#N/A</v>
      </c>
      <c r="O1247" s="38" t="str">
        <f t="shared" si="6"/>
        <v>Marked</v>
      </c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</row>
    <row r="1248" ht="12.75" customHeight="1">
      <c r="A1248" s="19" t="str">
        <f t="shared" si="4"/>
        <v>Michael Sickler Access2Bone</v>
      </c>
      <c r="B1248" s="19" t="s">
        <v>7363</v>
      </c>
      <c r="C1248" s="13" t="s">
        <v>569</v>
      </c>
      <c r="D1248" s="13" t="s">
        <v>7364</v>
      </c>
      <c r="E1248" s="60" t="s">
        <v>7365</v>
      </c>
      <c r="F1248" s="60" t="s">
        <v>7366</v>
      </c>
      <c r="G1248" s="32" t="s">
        <v>46</v>
      </c>
      <c r="H1248" s="25" t="s">
        <v>47</v>
      </c>
      <c r="I1248" s="34"/>
      <c r="J1248" s="35" t="s">
        <v>7367</v>
      </c>
      <c r="K1248" s="27" t="s">
        <v>50</v>
      </c>
      <c r="L1248" s="13" t="s">
        <v>7368</v>
      </c>
      <c r="M1248" s="26" t="str">
        <f>VLOOKUP(E1248,'MTS 2026 registrations'!B:B,1,false)</f>
        <v>#N/A</v>
      </c>
      <c r="N1248" s="26" t="str">
        <f>VLOOKUP(B1248,'MTS 2026 registrations'!A:A,1,false)</f>
        <v>#N/A</v>
      </c>
      <c r="O1248" s="38" t="str">
        <f t="shared" si="6"/>
        <v>Marked</v>
      </c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</row>
    <row r="1249" ht="12.75" customHeight="1">
      <c r="A1249" s="19" t="str">
        <f t="shared" si="4"/>
        <v>Michel Boerrigter calendar42</v>
      </c>
      <c r="B1249" s="19" t="s">
        <v>7369</v>
      </c>
      <c r="C1249" s="20" t="s">
        <v>7370</v>
      </c>
      <c r="D1249" s="20" t="s">
        <v>7371</v>
      </c>
      <c r="E1249" s="112" t="s">
        <v>7372</v>
      </c>
      <c r="F1249" s="23" t="s">
        <v>718</v>
      </c>
      <c r="G1249" s="44" t="s">
        <v>46</v>
      </c>
      <c r="H1249" s="25" t="s">
        <v>47</v>
      </c>
      <c r="I1249" s="26"/>
      <c r="J1249" s="35" t="s">
        <v>7373</v>
      </c>
      <c r="K1249" s="27" t="s">
        <v>50</v>
      </c>
      <c r="L1249" s="13" t="s">
        <v>7374</v>
      </c>
      <c r="M1249" s="26" t="str">
        <f>VLOOKUP(E1249,'MTS 2026 registrations'!B:B,1,false)</f>
        <v>#N/A</v>
      </c>
      <c r="N1249" s="26" t="str">
        <f>VLOOKUP(B1249,'MTS 2026 registrations'!A:A,1,false)</f>
        <v>#N/A</v>
      </c>
      <c r="O1249" s="38" t="str">
        <f t="shared" si="6"/>
        <v>Marked</v>
      </c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</row>
    <row r="1250" ht="12.75" customHeight="1">
      <c r="A1250" s="19" t="str">
        <f t="shared" si="4"/>
        <v>Michiel Krake novelt</v>
      </c>
      <c r="B1250" s="19" t="s">
        <v>7375</v>
      </c>
      <c r="C1250" s="29" t="s">
        <v>2693</v>
      </c>
      <c r="D1250" s="29" t="s">
        <v>7376</v>
      </c>
      <c r="E1250" s="30" t="s">
        <v>7377</v>
      </c>
      <c r="F1250" s="29" t="s">
        <v>2006</v>
      </c>
      <c r="G1250" s="32" t="s">
        <v>29</v>
      </c>
      <c r="H1250" s="13" t="s">
        <v>213</v>
      </c>
      <c r="I1250" s="34"/>
      <c r="J1250" s="35" t="s">
        <v>7378</v>
      </c>
      <c r="K1250" s="27" t="s">
        <v>50</v>
      </c>
      <c r="L1250" s="13" t="s">
        <v>7379</v>
      </c>
      <c r="M1250" s="26" t="str">
        <f>VLOOKUP(E1250,'MTS 2026 registrations'!B:B,1,false)</f>
        <v>#N/A</v>
      </c>
      <c r="N1250" s="26" t="str">
        <f>VLOOKUP(B1250,'MTS 2026 registrations'!A:A,1,false)</f>
        <v>#N/A</v>
      </c>
      <c r="O1250" s="38" t="str">
        <f t="shared" si="6"/>
        <v>Marked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</row>
    <row r="1251" ht="12.75" customHeight="1">
      <c r="A1251" s="19" t="str">
        <f t="shared" si="4"/>
        <v>Michiel Mensink i-Optics</v>
      </c>
      <c r="B1251" s="19" t="s">
        <v>7380</v>
      </c>
      <c r="C1251" s="29" t="s">
        <v>2693</v>
      </c>
      <c r="D1251" s="29" t="s">
        <v>7381</v>
      </c>
      <c r="E1251" s="31" t="s">
        <v>7382</v>
      </c>
      <c r="F1251" s="33" t="s">
        <v>1100</v>
      </c>
      <c r="G1251" s="24" t="s">
        <v>46</v>
      </c>
      <c r="H1251" s="25" t="s">
        <v>47</v>
      </c>
      <c r="I1251" s="34"/>
      <c r="J1251" s="35" t="s">
        <v>7383</v>
      </c>
      <c r="K1251" s="27" t="s">
        <v>50</v>
      </c>
      <c r="L1251" s="13" t="s">
        <v>7384</v>
      </c>
      <c r="M1251" s="26" t="str">
        <f>VLOOKUP(E1251,'MTS 2026 registrations'!B:B,1,false)</f>
        <v>#N/A</v>
      </c>
      <c r="N1251" s="26" t="str">
        <f>VLOOKUP(B1251,'MTS 2026 registrations'!A:A,1,false)</f>
        <v>#N/A</v>
      </c>
      <c r="O1251" s="38" t="str">
        <f t="shared" si="6"/>
        <v>Marked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23"/>
      <c r="AE1251" s="23"/>
    </row>
    <row r="1252" ht="12.75" customHeight="1">
      <c r="A1252" s="19" t="str">
        <f t="shared" si="4"/>
        <v>Michiel Oderwald TIQL</v>
      </c>
      <c r="B1252" s="19" t="s">
        <v>7385</v>
      </c>
      <c r="C1252" s="29" t="s">
        <v>2693</v>
      </c>
      <c r="D1252" s="29" t="s">
        <v>7386</v>
      </c>
      <c r="E1252" s="31" t="s">
        <v>7387</v>
      </c>
      <c r="F1252" s="33" t="s">
        <v>7388</v>
      </c>
      <c r="G1252" s="156" t="s">
        <v>46</v>
      </c>
      <c r="H1252" s="50" t="s">
        <v>47</v>
      </c>
      <c r="I1252" s="34"/>
      <c r="J1252" s="35" t="s">
        <v>7389</v>
      </c>
      <c r="K1252" s="27" t="s">
        <v>50</v>
      </c>
      <c r="L1252" s="27" t="s">
        <v>7390</v>
      </c>
      <c r="M1252" s="26" t="str">
        <f>VLOOKUP(E1252,'MTS 2026 registrations'!B:B,1,false)</f>
        <v>#N/A</v>
      </c>
      <c r="N1252" s="26" t="str">
        <f>VLOOKUP(B1252,'MTS 2026 registrations'!A:A,1,false)</f>
        <v>#N/A</v>
      </c>
      <c r="O1252" s="38" t="str">
        <f t="shared" si="6"/>
        <v>Marked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</row>
    <row r="1253" ht="12.75" customHeight="1">
      <c r="A1253" s="19" t="str">
        <f t="shared" si="4"/>
        <v>Michiel Kotting Northzone</v>
      </c>
      <c r="B1253" s="19" t="s">
        <v>7391</v>
      </c>
      <c r="C1253" s="20" t="s">
        <v>2693</v>
      </c>
      <c r="D1253" s="20" t="s">
        <v>7392</v>
      </c>
      <c r="E1253" s="21" t="s">
        <v>7393</v>
      </c>
      <c r="F1253" s="49" t="s">
        <v>7088</v>
      </c>
      <c r="G1253" s="24" t="s">
        <v>163</v>
      </c>
      <c r="H1253" s="26" t="s">
        <v>164</v>
      </c>
      <c r="I1253" s="13"/>
      <c r="J1253" s="35" t="s">
        <v>7394</v>
      </c>
      <c r="K1253" s="27" t="s">
        <v>50</v>
      </c>
      <c r="L1253" s="25" t="s">
        <v>7395</v>
      </c>
      <c r="M1253" s="26" t="str">
        <f>VLOOKUP(E1253,'MTS 2026 registrations'!B:B,1,false)</f>
        <v>#N/A</v>
      </c>
      <c r="N1253" s="26" t="str">
        <f>VLOOKUP(B1253,'MTS 2026 registrations'!A:A,1,false)</f>
        <v>#N/A</v>
      </c>
      <c r="O1253" s="38" t="str">
        <f t="shared" si="6"/>
        <v>Marked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</row>
    <row r="1254" ht="12.75" customHeight="1">
      <c r="A1254" s="19" t="str">
        <f t="shared" si="4"/>
        <v>Michiel Katgert we4sea</v>
      </c>
      <c r="B1254" s="19" t="s">
        <v>7396</v>
      </c>
      <c r="C1254" s="20" t="s">
        <v>2693</v>
      </c>
      <c r="D1254" s="20" t="s">
        <v>7397</v>
      </c>
      <c r="E1254" s="21" t="s">
        <v>7398</v>
      </c>
      <c r="F1254" s="23" t="s">
        <v>7399</v>
      </c>
      <c r="G1254" s="32" t="s">
        <v>46</v>
      </c>
      <c r="H1254" s="25" t="s">
        <v>47</v>
      </c>
      <c r="I1254" s="26"/>
      <c r="J1254" s="35" t="s">
        <v>7400</v>
      </c>
      <c r="K1254" s="27" t="s">
        <v>50</v>
      </c>
      <c r="L1254" s="13" t="s">
        <v>7401</v>
      </c>
      <c r="M1254" s="26" t="str">
        <f>VLOOKUP(E1254,'MTS 2026 registrations'!B:B,1,false)</f>
        <v>#N/A</v>
      </c>
      <c r="N1254" s="26" t="str">
        <f>VLOOKUP(B1254,'MTS 2026 registrations'!A:A,1,false)</f>
        <v>#N/A</v>
      </c>
      <c r="O1254" s="38" t="str">
        <f t="shared" si="6"/>
        <v>Marked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</row>
    <row r="1255" ht="12.75" customHeight="1">
      <c r="A1255" s="19" t="str">
        <f t="shared" si="4"/>
        <v>Mik Nijhuis Independent</v>
      </c>
      <c r="B1255" s="19" t="s">
        <v>7402</v>
      </c>
      <c r="C1255" s="116" t="s">
        <v>7403</v>
      </c>
      <c r="D1255" s="116" t="s">
        <v>7404</v>
      </c>
      <c r="E1255" s="112" t="s">
        <v>7405</v>
      </c>
      <c r="F1255" s="66" t="s">
        <v>1209</v>
      </c>
      <c r="G1255" s="24" t="s">
        <v>225</v>
      </c>
      <c r="H1255" s="25" t="s">
        <v>47</v>
      </c>
      <c r="I1255" s="34"/>
      <c r="J1255" s="35" t="s">
        <v>7406</v>
      </c>
      <c r="K1255" s="27" t="s">
        <v>50</v>
      </c>
      <c r="L1255" s="13" t="s">
        <v>7407</v>
      </c>
      <c r="M1255" s="26" t="str">
        <f>VLOOKUP(E1255,'MTS 2026 registrations'!B:B,1,false)</f>
        <v>#N/A</v>
      </c>
      <c r="N1255" s="26" t="str">
        <f>VLOOKUP(B1255,'MTS 2026 registrations'!A:A,1,false)</f>
        <v>#N/A</v>
      </c>
      <c r="O1255" s="38" t="str">
        <f t="shared" si="6"/>
        <v>Marked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</row>
    <row r="1256" ht="12.75" customHeight="1">
      <c r="A1256" s="19" t="str">
        <f t="shared" si="4"/>
        <v>Mike Poodt rijkzwaan</v>
      </c>
      <c r="B1256" s="19" t="s">
        <v>7408</v>
      </c>
      <c r="C1256" s="29" t="s">
        <v>7409</v>
      </c>
      <c r="D1256" s="29" t="s">
        <v>7410</v>
      </c>
      <c r="E1256" s="30" t="s">
        <v>7411</v>
      </c>
      <c r="F1256" s="29" t="s">
        <v>7412</v>
      </c>
      <c r="G1256" s="32" t="s">
        <v>323</v>
      </c>
      <c r="H1256" s="13" t="s">
        <v>213</v>
      </c>
      <c r="I1256" s="34"/>
      <c r="J1256" s="35" t="s">
        <v>7413</v>
      </c>
      <c r="K1256" s="27" t="s">
        <v>50</v>
      </c>
      <c r="L1256" s="13" t="s">
        <v>7414</v>
      </c>
      <c r="M1256" s="26" t="str">
        <f>VLOOKUP(E1256,'MTS 2026 registrations'!B:B,1,false)</f>
        <v>#N/A</v>
      </c>
      <c r="N1256" s="26" t="str">
        <f>VLOOKUP(B1256,'MTS 2026 registrations'!A:A,1,false)</f>
        <v>#N/A</v>
      </c>
      <c r="O1256" s="38" t="str">
        <f t="shared" si="6"/>
        <v>Marked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</row>
    <row r="1257" ht="12.75" customHeight="1">
      <c r="A1257" s="19" t="str">
        <f t="shared" si="4"/>
        <v>Mike Verkouter novelt</v>
      </c>
      <c r="B1257" s="19" t="s">
        <v>7415</v>
      </c>
      <c r="C1257" s="60" t="s">
        <v>7409</v>
      </c>
      <c r="D1257" s="60" t="s">
        <v>7416</v>
      </c>
      <c r="E1257" s="62" t="s">
        <v>7417</v>
      </c>
      <c r="F1257" s="64" t="s">
        <v>2006</v>
      </c>
      <c r="G1257" s="24" t="s">
        <v>29</v>
      </c>
      <c r="H1257" s="25" t="s">
        <v>139</v>
      </c>
      <c r="I1257" s="23"/>
      <c r="J1257" s="35" t="s">
        <v>7418</v>
      </c>
      <c r="K1257" s="27" t="s">
        <v>50</v>
      </c>
      <c r="L1257" s="13" t="s">
        <v>7419</v>
      </c>
      <c r="M1257" s="26" t="str">
        <f>VLOOKUP(E1257,'MTS 2026 registrations'!B:B,1,false)</f>
        <v>#N/A</v>
      </c>
      <c r="N1257" s="26" t="str">
        <f>VLOOKUP(B1257,'MTS 2026 registrations'!A:A,1,false)</f>
        <v>#N/A</v>
      </c>
      <c r="O1257" s="38" t="str">
        <f t="shared" si="6"/>
        <v>Marked</v>
      </c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34"/>
      <c r="AE1257" s="34"/>
    </row>
    <row r="1258" ht="12.75" customHeight="1">
      <c r="A1258" s="19" t="str">
        <f t="shared" si="4"/>
        <v>Mike Abdala Gemeente Den Haag</v>
      </c>
      <c r="B1258" s="19" t="s">
        <v>7420</v>
      </c>
      <c r="C1258" s="156" t="s">
        <v>7409</v>
      </c>
      <c r="D1258" s="156" t="s">
        <v>7421</v>
      </c>
      <c r="E1258" s="50" t="s">
        <v>7422</v>
      </c>
      <c r="F1258" s="50" t="s">
        <v>3830</v>
      </c>
      <c r="G1258" s="24" t="s">
        <v>225</v>
      </c>
      <c r="H1258" s="25" t="s">
        <v>47</v>
      </c>
      <c r="I1258" s="34"/>
      <c r="J1258" s="35" t="s">
        <v>7423</v>
      </c>
      <c r="K1258" s="27" t="s">
        <v>50</v>
      </c>
      <c r="L1258" s="13" t="s">
        <v>7424</v>
      </c>
      <c r="M1258" s="26" t="str">
        <f>VLOOKUP(E1258,'MTS 2026 registrations'!B:B,1,false)</f>
        <v>#N/A</v>
      </c>
      <c r="N1258" s="26" t="str">
        <f>VLOOKUP(B1258,'MTS 2026 registrations'!A:A,1,false)</f>
        <v>#N/A</v>
      </c>
      <c r="O1258" s="38" t="str">
        <f t="shared" si="6"/>
        <v>Marked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</row>
    <row r="1259" ht="12.75" customHeight="1">
      <c r="A1259" s="19" t="str">
        <f t="shared" si="4"/>
        <v>Mike Beunder tdshepherd</v>
      </c>
      <c r="B1259" s="19" t="s">
        <v>7425</v>
      </c>
      <c r="C1259" s="20" t="s">
        <v>7409</v>
      </c>
      <c r="D1259" s="20" t="s">
        <v>7426</v>
      </c>
      <c r="E1259" s="21" t="s">
        <v>7427</v>
      </c>
      <c r="F1259" s="23" t="s">
        <v>7428</v>
      </c>
      <c r="G1259" s="24" t="s">
        <v>163</v>
      </c>
      <c r="H1259" s="25" t="s">
        <v>164</v>
      </c>
      <c r="I1259" s="34"/>
      <c r="J1259" s="35" t="s">
        <v>7429</v>
      </c>
      <c r="K1259" s="27" t="s">
        <v>50</v>
      </c>
      <c r="L1259" s="13" t="s">
        <v>7430</v>
      </c>
      <c r="M1259" s="26" t="str">
        <f>VLOOKUP(E1259,'MTS 2026 registrations'!B:B,1,false)</f>
        <v>#N/A</v>
      </c>
      <c r="N1259" s="26" t="str">
        <f>VLOOKUP(B1259,'MTS 2026 registrations'!A:A,1,false)</f>
        <v>#N/A</v>
      </c>
      <c r="O1259" s="38" t="str">
        <f t="shared" si="6"/>
        <v>Marked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</row>
    <row r="1260" ht="12.75" customHeight="1">
      <c r="A1260" s="19" t="str">
        <f t="shared" si="4"/>
        <v>Milan Saes Cross Ocean Ventures</v>
      </c>
      <c r="B1260" s="19" t="s">
        <v>7431</v>
      </c>
      <c r="C1260" s="20" t="s">
        <v>7432</v>
      </c>
      <c r="D1260" s="20" t="s">
        <v>7433</v>
      </c>
      <c r="E1260" s="21" t="s">
        <v>7434</v>
      </c>
      <c r="F1260" s="49" t="s">
        <v>7435</v>
      </c>
      <c r="G1260" s="24" t="s">
        <v>163</v>
      </c>
      <c r="H1260" s="26" t="s">
        <v>164</v>
      </c>
      <c r="I1260" s="13"/>
      <c r="J1260" s="35" t="s">
        <v>7436</v>
      </c>
      <c r="K1260" s="27" t="s">
        <v>50</v>
      </c>
      <c r="L1260" s="25" t="s">
        <v>7437</v>
      </c>
      <c r="M1260" s="26" t="str">
        <f>VLOOKUP(E1260,'MTS 2026 registrations'!B:B,1,false)</f>
        <v>#N/A</v>
      </c>
      <c r="N1260" s="26" t="str">
        <f>VLOOKUP(B1260,'MTS 2026 registrations'!A:A,1,false)</f>
        <v>#N/A</v>
      </c>
      <c r="O1260" s="38" t="str">
        <f t="shared" si="6"/>
        <v>Marked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</row>
    <row r="1261" ht="12.75" customHeight="1">
      <c r="A1261" s="19" t="str">
        <f t="shared" si="4"/>
        <v>Mitja Caboni portxl</v>
      </c>
      <c r="B1261" s="19" t="s">
        <v>7438</v>
      </c>
      <c r="C1261" s="60" t="s">
        <v>7439</v>
      </c>
      <c r="D1261" s="60" t="s">
        <v>7440</v>
      </c>
      <c r="E1261" s="62" t="s">
        <v>7441</v>
      </c>
      <c r="F1261" s="64" t="s">
        <v>1587</v>
      </c>
      <c r="G1261" s="24" t="s">
        <v>69</v>
      </c>
      <c r="H1261" s="25" t="s">
        <v>139</v>
      </c>
      <c r="I1261" s="34"/>
      <c r="J1261" s="35" t="s">
        <v>7442</v>
      </c>
      <c r="K1261" s="27" t="s">
        <v>50</v>
      </c>
      <c r="L1261" s="13" t="s">
        <v>7443</v>
      </c>
      <c r="M1261" s="26" t="str">
        <f>VLOOKUP(E1261,'MTS 2026 registrations'!B:B,1,false)</f>
        <v>#N/A</v>
      </c>
      <c r="N1261" s="26" t="str">
        <f>VLOOKUP(B1261,'MTS 2026 registrations'!A:A,1,false)</f>
        <v>#N/A</v>
      </c>
      <c r="O1261" s="38" t="str">
        <f t="shared" si="6"/>
        <v>Marked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23"/>
      <c r="AE1261" s="23"/>
    </row>
    <row r="1262" ht="12.75" customHeight="1">
      <c r="A1262" s="19" t="str">
        <f t="shared" si="4"/>
        <v>Mohamed Fawzi google</v>
      </c>
      <c r="B1262" s="19" t="s">
        <v>7444</v>
      </c>
      <c r="C1262" s="29" t="s">
        <v>7445</v>
      </c>
      <c r="D1262" s="29" t="s">
        <v>7446</v>
      </c>
      <c r="E1262" s="30" t="s">
        <v>7447</v>
      </c>
      <c r="F1262" s="29" t="s">
        <v>556</v>
      </c>
      <c r="G1262" s="32" t="s">
        <v>69</v>
      </c>
      <c r="H1262" s="13" t="s">
        <v>45</v>
      </c>
      <c r="I1262" s="34"/>
      <c r="J1262" s="35" t="s">
        <v>7448</v>
      </c>
      <c r="K1262" s="27" t="s">
        <v>50</v>
      </c>
      <c r="L1262" s="13" t="s">
        <v>7449</v>
      </c>
      <c r="M1262" s="26" t="str">
        <f>VLOOKUP(E1262,'MTS 2026 registrations'!B:B,1,false)</f>
        <v>#N/A</v>
      </c>
      <c r="N1262" s="26" t="str">
        <f>VLOOKUP(B1262,'MTS 2026 registrations'!A:A,1,false)</f>
        <v>#N/A</v>
      </c>
      <c r="O1262" s="38" t="str">
        <f t="shared" si="6"/>
        <v>Marked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23"/>
      <c r="AE1262" s="23"/>
    </row>
    <row r="1263" ht="12.75" customHeight="1">
      <c r="A1263" s="19" t="str">
        <f t="shared" si="4"/>
        <v>Monique Greve tue</v>
      </c>
      <c r="B1263" s="19" t="s">
        <v>7450</v>
      </c>
      <c r="C1263" s="29" t="s">
        <v>7451</v>
      </c>
      <c r="D1263" s="72" t="s">
        <v>7452</v>
      </c>
      <c r="E1263" s="30" t="s">
        <v>7453</v>
      </c>
      <c r="F1263" s="29" t="s">
        <v>7454</v>
      </c>
      <c r="G1263" s="32" t="s">
        <v>43</v>
      </c>
      <c r="H1263" s="13" t="s">
        <v>213</v>
      </c>
      <c r="I1263" s="34"/>
      <c r="J1263" s="35" t="s">
        <v>7455</v>
      </c>
      <c r="K1263" s="27" t="s">
        <v>50</v>
      </c>
      <c r="L1263" s="13" t="s">
        <v>7456</v>
      </c>
      <c r="M1263" s="26" t="str">
        <f>VLOOKUP(E1263,'MTS 2026 registrations'!B:B,1,false)</f>
        <v>#N/A</v>
      </c>
      <c r="N1263" s="26" t="str">
        <f>VLOOKUP(B1263,'MTS 2026 registrations'!A:A,1,false)</f>
        <v>#N/A</v>
      </c>
      <c r="O1263" s="38" t="str">
        <f t="shared" si="6"/>
        <v>Marked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</row>
    <row r="1264" ht="12.75" customHeight="1">
      <c r="A1264" s="19" t="str">
        <f t="shared" si="4"/>
        <v>Monique Martens delft</v>
      </c>
      <c r="B1264" s="19" t="s">
        <v>7457</v>
      </c>
      <c r="C1264" s="60" t="s">
        <v>7451</v>
      </c>
      <c r="D1264" s="60" t="s">
        <v>7458</v>
      </c>
      <c r="E1264" s="62" t="s">
        <v>7459</v>
      </c>
      <c r="F1264" s="64" t="s">
        <v>3340</v>
      </c>
      <c r="G1264" s="24" t="s">
        <v>323</v>
      </c>
      <c r="H1264" s="25" t="s">
        <v>139</v>
      </c>
      <c r="I1264" s="34"/>
      <c r="J1264" s="35" t="s">
        <v>7460</v>
      </c>
      <c r="K1264" s="27" t="s">
        <v>50</v>
      </c>
      <c r="L1264" s="13" t="s">
        <v>4899</v>
      </c>
      <c r="M1264" s="26" t="str">
        <f>VLOOKUP(E1264,'MTS 2026 registrations'!B:B,1,false)</f>
        <v>#N/A</v>
      </c>
      <c r="N1264" s="26" t="str">
        <f>VLOOKUP(B1264,'MTS 2026 registrations'!A:A,1,false)</f>
        <v>#N/A</v>
      </c>
      <c r="O1264" s="38" t="str">
        <f t="shared" si="6"/>
        <v>Marked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23"/>
      <c r="AE1264" s="23"/>
    </row>
    <row r="1265" ht="12.75" customHeight="1">
      <c r="A1265" s="19" t="str">
        <f t="shared" si="4"/>
        <v>Monique van Wordragen wur</v>
      </c>
      <c r="B1265" s="19" t="s">
        <v>7461</v>
      </c>
      <c r="C1265" s="60" t="s">
        <v>7451</v>
      </c>
      <c r="D1265" s="60" t="s">
        <v>7462</v>
      </c>
      <c r="E1265" s="62" t="s">
        <v>7463</v>
      </c>
      <c r="F1265" s="64" t="s">
        <v>7464</v>
      </c>
      <c r="G1265" s="42" t="s">
        <v>43</v>
      </c>
      <c r="H1265" s="25" t="s">
        <v>139</v>
      </c>
      <c r="I1265" s="34"/>
      <c r="J1265" s="35" t="s">
        <v>7465</v>
      </c>
      <c r="K1265" s="27" t="s">
        <v>50</v>
      </c>
      <c r="L1265" s="13" t="s">
        <v>7466</v>
      </c>
      <c r="M1265" s="26" t="str">
        <f>VLOOKUP(E1265,'MTS 2026 registrations'!B:B,1,false)</f>
        <v>#N/A</v>
      </c>
      <c r="N1265" s="26" t="str">
        <f>VLOOKUP(B1265,'MTS 2026 registrations'!A:A,1,false)</f>
        <v>#N/A</v>
      </c>
      <c r="O1265" s="38" t="str">
        <f t="shared" si="6"/>
        <v>Marked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</row>
    <row r="1266" ht="12.75" customHeight="1">
      <c r="A1266" s="19" t="str">
        <f t="shared" si="4"/>
        <v>MosheTest2 Sijben yesdelft</v>
      </c>
      <c r="B1266" s="19" t="s">
        <v>7467</v>
      </c>
      <c r="C1266" s="116" t="s">
        <v>7468</v>
      </c>
      <c r="D1266" s="20" t="s">
        <v>7469</v>
      </c>
      <c r="E1266" s="21" t="s">
        <v>7470</v>
      </c>
      <c r="F1266" s="23" t="s">
        <v>2267</v>
      </c>
      <c r="G1266" s="24" t="s">
        <v>29</v>
      </c>
      <c r="H1266" s="25" t="s">
        <v>139</v>
      </c>
      <c r="I1266" s="26"/>
      <c r="J1266" s="35" t="s">
        <v>7471</v>
      </c>
      <c r="K1266" s="27" t="s">
        <v>50</v>
      </c>
      <c r="L1266" s="13" t="s">
        <v>7472</v>
      </c>
      <c r="M1266" s="26" t="str">
        <f>VLOOKUP(E1266,'MTS 2026 registrations'!B:B,1,false)</f>
        <v>#N/A</v>
      </c>
      <c r="N1266" s="26" t="str">
        <f>VLOOKUP(B1266,'MTS 2026 registrations'!A:A,1,false)</f>
        <v>#N/A</v>
      </c>
      <c r="O1266" s="38" t="str">
        <f t="shared" si="6"/>
        <v>Marked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</row>
    <row r="1267" ht="12.75" customHeight="1">
      <c r="A1267" s="19" t="str">
        <f t="shared" si="4"/>
        <v>Mostafa Zeriouh eur</v>
      </c>
      <c r="B1267" s="19" t="s">
        <v>7473</v>
      </c>
      <c r="C1267" s="60" t="s">
        <v>7474</v>
      </c>
      <c r="D1267" s="60" t="s">
        <v>7475</v>
      </c>
      <c r="E1267" s="62" t="s">
        <v>7476</v>
      </c>
      <c r="F1267" s="64" t="s">
        <v>41</v>
      </c>
      <c r="G1267" s="42" t="s">
        <v>43</v>
      </c>
      <c r="H1267" s="25" t="s">
        <v>139</v>
      </c>
      <c r="I1267" s="23"/>
      <c r="J1267" s="35" t="s">
        <v>7477</v>
      </c>
      <c r="K1267" s="27" t="s">
        <v>50</v>
      </c>
      <c r="L1267" s="13" t="s">
        <v>7478</v>
      </c>
      <c r="M1267" s="26" t="str">
        <f>VLOOKUP(E1267,'MTS 2026 registrations'!B:B,1,false)</f>
        <v>#N/A</v>
      </c>
      <c r="N1267" s="26" t="str">
        <f>VLOOKUP(B1267,'MTS 2026 registrations'!A:A,1,false)</f>
        <v>#N/A</v>
      </c>
      <c r="O1267" s="38" t="str">
        <f t="shared" si="6"/>
        <v>Marked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34"/>
      <c r="AE1267" s="34"/>
    </row>
    <row r="1268" ht="12.75" customHeight="1">
      <c r="A1268" s="19" t="str">
        <f t="shared" si="4"/>
        <v>Mustafa Torun </v>
      </c>
      <c r="B1268" s="19" t="s">
        <v>7479</v>
      </c>
      <c r="C1268" s="20" t="s">
        <v>7480</v>
      </c>
      <c r="D1268" s="20" t="s">
        <v>7481</v>
      </c>
      <c r="E1268" s="21" t="s">
        <v>7482</v>
      </c>
      <c r="F1268" s="52"/>
      <c r="G1268" s="32" t="s">
        <v>46</v>
      </c>
      <c r="H1268" s="25" t="s">
        <v>47</v>
      </c>
      <c r="I1268" s="26"/>
      <c r="J1268" s="35" t="s">
        <v>7483</v>
      </c>
      <c r="K1268" s="27" t="s">
        <v>50</v>
      </c>
      <c r="L1268" s="13" t="s">
        <v>7484</v>
      </c>
      <c r="M1268" s="26" t="str">
        <f>VLOOKUP(E1268,'MTS 2026 registrations'!B:B,1,false)</f>
        <v>#N/A</v>
      </c>
      <c r="N1268" s="26" t="str">
        <f>VLOOKUP(B1268,'MTS 2026 registrations'!A:A,1,false)</f>
        <v>#N/A</v>
      </c>
      <c r="O1268" s="38" t="str">
        <f t="shared" si="6"/>
        <v>Marked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</row>
    <row r="1269" ht="12.75" customHeight="1">
      <c r="A1269" s="19" t="str">
        <f t="shared" si="4"/>
        <v>Myrthe Hooijman techleap</v>
      </c>
      <c r="B1269" s="19" t="s">
        <v>7485</v>
      </c>
      <c r="C1269" s="29" t="s">
        <v>7486</v>
      </c>
      <c r="D1269" s="29" t="s">
        <v>7487</v>
      </c>
      <c r="E1269" s="30" t="s">
        <v>7488</v>
      </c>
      <c r="F1269" s="29" t="s">
        <v>1952</v>
      </c>
      <c r="G1269" s="24" t="s">
        <v>29</v>
      </c>
      <c r="H1269" s="13" t="s">
        <v>213</v>
      </c>
      <c r="I1269" s="34"/>
      <c r="J1269" s="35" t="s">
        <v>7489</v>
      </c>
      <c r="K1269" s="27" t="s">
        <v>50</v>
      </c>
      <c r="L1269" s="13" t="s">
        <v>7490</v>
      </c>
      <c r="M1269" s="26" t="str">
        <f>VLOOKUP(E1269,'MTS 2026 registrations'!B:B,1,false)</f>
        <v>#N/A</v>
      </c>
      <c r="N1269" s="26" t="str">
        <f>VLOOKUP(B1269,'MTS 2026 registrations'!A:A,1,false)</f>
        <v>#N/A</v>
      </c>
      <c r="O1269" s="38" t="str">
        <f t="shared" si="6"/>
        <v>Marked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</row>
    <row r="1270" ht="12.75" customHeight="1">
      <c r="A1270" s="19" t="str">
        <f t="shared" si="4"/>
        <v>NannilaTest2 Zevenhuizen yesdelft</v>
      </c>
      <c r="B1270" s="19" t="s">
        <v>7491</v>
      </c>
      <c r="C1270" s="116" t="s">
        <v>7492</v>
      </c>
      <c r="D1270" s="20" t="s">
        <v>7493</v>
      </c>
      <c r="E1270" s="21" t="s">
        <v>7494</v>
      </c>
      <c r="F1270" s="23" t="s">
        <v>2267</v>
      </c>
      <c r="G1270" s="24" t="s">
        <v>29</v>
      </c>
      <c r="H1270" s="25" t="s">
        <v>139</v>
      </c>
      <c r="I1270" s="26"/>
      <c r="J1270" s="35" t="s">
        <v>7495</v>
      </c>
      <c r="K1270" s="27" t="s">
        <v>50</v>
      </c>
      <c r="L1270" s="13" t="s">
        <v>7496</v>
      </c>
      <c r="M1270" s="26" t="str">
        <f>VLOOKUP(E1270,'MTS 2026 registrations'!B:B,1,false)</f>
        <v>#N/A</v>
      </c>
      <c r="N1270" s="26" t="str">
        <f>VLOOKUP(B1270,'MTS 2026 registrations'!A:A,1,false)</f>
        <v>#N/A</v>
      </c>
      <c r="O1270" s="38" t="str">
        <f t="shared" si="6"/>
        <v>Marked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</row>
    <row r="1271" ht="12.75" customHeight="1">
      <c r="A1271" s="19" t="str">
        <f t="shared" si="4"/>
        <v>Nard Sintenie innovationindustries</v>
      </c>
      <c r="B1271" s="19" t="s">
        <v>7497</v>
      </c>
      <c r="C1271" s="20" t="s">
        <v>7498</v>
      </c>
      <c r="D1271" s="20" t="s">
        <v>7499</v>
      </c>
      <c r="E1271" s="21" t="s">
        <v>7500</v>
      </c>
      <c r="F1271" s="23" t="s">
        <v>2287</v>
      </c>
      <c r="G1271" s="24" t="s">
        <v>163</v>
      </c>
      <c r="H1271" s="25" t="s">
        <v>164</v>
      </c>
      <c r="I1271" s="34"/>
      <c r="J1271" s="35" t="s">
        <v>7501</v>
      </c>
      <c r="K1271" s="27" t="s">
        <v>50</v>
      </c>
      <c r="L1271" s="13" t="s">
        <v>7502</v>
      </c>
      <c r="M1271" s="26" t="str">
        <f>VLOOKUP(E1271,'MTS 2026 registrations'!B:B,1,false)</f>
        <v>#N/A</v>
      </c>
      <c r="N1271" s="26" t="str">
        <f>VLOOKUP(B1271,'MTS 2026 registrations'!A:A,1,false)</f>
        <v>#N/A</v>
      </c>
      <c r="O1271" s="38" t="str">
        <f t="shared" si="6"/>
        <v>Marked</v>
      </c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23"/>
      <c r="AE1271" s="23"/>
    </row>
    <row r="1272" ht="12.75" customHeight="1">
      <c r="A1272" s="19" t="str">
        <f t="shared" si="4"/>
        <v>Narina Mnatsakanian Regeneration VC</v>
      </c>
      <c r="B1272" s="19" t="s">
        <v>7503</v>
      </c>
      <c r="C1272" s="20" t="s">
        <v>7504</v>
      </c>
      <c r="D1272" s="20" t="s">
        <v>7505</v>
      </c>
      <c r="E1272" s="21" t="s">
        <v>7506</v>
      </c>
      <c r="F1272" s="49" t="s">
        <v>7507</v>
      </c>
      <c r="G1272" s="24" t="s">
        <v>163</v>
      </c>
      <c r="H1272" s="26" t="s">
        <v>164</v>
      </c>
      <c r="I1272" s="13"/>
      <c r="J1272" s="35" t="s">
        <v>7508</v>
      </c>
      <c r="K1272" s="27" t="s">
        <v>50</v>
      </c>
      <c r="L1272" s="25" t="s">
        <v>7509</v>
      </c>
      <c r="M1272" s="26" t="str">
        <f>VLOOKUP(E1272,'MTS 2026 registrations'!B:B,1,false)</f>
        <v>#N/A</v>
      </c>
      <c r="N1272" s="26" t="str">
        <f>VLOOKUP(B1272,'MTS 2026 registrations'!A:A,1,false)</f>
        <v>#N/A</v>
      </c>
      <c r="O1272" s="38" t="str">
        <f t="shared" si="6"/>
        <v>Marked</v>
      </c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</row>
    <row r="1273" ht="12.75" customHeight="1">
      <c r="A1273" s="19" t="str">
        <f t="shared" si="4"/>
        <v>Niccolo Moro chrysalix</v>
      </c>
      <c r="B1273" s="19" t="s">
        <v>7510</v>
      </c>
      <c r="C1273" s="116" t="s">
        <v>7511</v>
      </c>
      <c r="D1273" s="116" t="s">
        <v>7512</v>
      </c>
      <c r="E1273" s="112" t="s">
        <v>7513</v>
      </c>
      <c r="F1273" s="23" t="s">
        <v>3226</v>
      </c>
      <c r="G1273" s="24" t="s">
        <v>163</v>
      </c>
      <c r="H1273" s="25" t="s">
        <v>164</v>
      </c>
      <c r="I1273" s="26"/>
      <c r="J1273" s="35" t="s">
        <v>7514</v>
      </c>
      <c r="K1273" s="27" t="s">
        <v>50</v>
      </c>
      <c r="L1273" s="13" t="s">
        <v>7515</v>
      </c>
      <c r="M1273" s="26" t="str">
        <f>VLOOKUP(E1273,'MTS 2026 registrations'!B:B,1,false)</f>
        <v>#N/A</v>
      </c>
      <c r="N1273" s="26" t="str">
        <f>VLOOKUP(B1273,'MTS 2026 registrations'!A:A,1,false)</f>
        <v>#N/A</v>
      </c>
      <c r="O1273" s="38" t="str">
        <f t="shared" si="6"/>
        <v>Marked</v>
      </c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34"/>
      <c r="AE1273" s="34"/>
    </row>
    <row r="1274" ht="12.75" customHeight="1">
      <c r="A1274" s="19" t="str">
        <f t="shared" si="4"/>
        <v>Nico Hendrickx Groove Quantum</v>
      </c>
      <c r="B1274" s="19" t="s">
        <v>7516</v>
      </c>
      <c r="C1274" s="13" t="s">
        <v>7517</v>
      </c>
      <c r="D1274" s="13" t="s">
        <v>7518</v>
      </c>
      <c r="E1274" s="60" t="s">
        <v>7519</v>
      </c>
      <c r="F1274" s="60" t="s">
        <v>3409</v>
      </c>
      <c r="G1274" s="32" t="s">
        <v>46</v>
      </c>
      <c r="H1274" s="25" t="s">
        <v>47</v>
      </c>
      <c r="I1274" s="34"/>
      <c r="J1274" s="35" t="s">
        <v>7520</v>
      </c>
      <c r="K1274" s="27" t="s">
        <v>50</v>
      </c>
      <c r="L1274" s="13" t="s">
        <v>7521</v>
      </c>
      <c r="M1274" s="26" t="str">
        <f>VLOOKUP(E1274,'MTS 2026 registrations'!B:B,1,false)</f>
        <v>#N/A</v>
      </c>
      <c r="N1274" s="26" t="str">
        <f>VLOOKUP(B1274,'MTS 2026 registrations'!A:A,1,false)</f>
        <v>#N/A</v>
      </c>
      <c r="O1274" s="38" t="str">
        <f t="shared" si="6"/>
        <v>Marked</v>
      </c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</row>
    <row r="1275" ht="12.75" customHeight="1">
      <c r="A1275" s="19" t="str">
        <f t="shared" si="4"/>
        <v>Nico van der Kolk albatros.digital</v>
      </c>
      <c r="B1275" s="19" t="s">
        <v>7522</v>
      </c>
      <c r="C1275" s="20" t="s">
        <v>7523</v>
      </c>
      <c r="D1275" s="20" t="s">
        <v>7524</v>
      </c>
      <c r="E1275" s="21" t="s">
        <v>7525</v>
      </c>
      <c r="F1275" s="23" t="s">
        <v>4607</v>
      </c>
      <c r="G1275" s="32" t="s">
        <v>46</v>
      </c>
      <c r="H1275" s="25" t="s">
        <v>47</v>
      </c>
      <c r="I1275" s="26"/>
      <c r="J1275" s="35" t="s">
        <v>7526</v>
      </c>
      <c r="K1275" s="27" t="s">
        <v>50</v>
      </c>
      <c r="L1275" s="13" t="s">
        <v>7527</v>
      </c>
      <c r="M1275" s="26" t="str">
        <f>VLOOKUP(E1275,'MTS 2026 registrations'!B:B,1,false)</f>
        <v>#N/A</v>
      </c>
      <c r="N1275" s="26" t="str">
        <f>VLOOKUP(B1275,'MTS 2026 registrations'!A:A,1,false)</f>
        <v>#N/A</v>
      </c>
      <c r="O1275" s="38" t="str">
        <f t="shared" si="6"/>
        <v>Marked</v>
      </c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</row>
    <row r="1276" ht="12.75" customHeight="1">
      <c r="A1276" s="19" t="str">
        <f t="shared" si="4"/>
        <v>Nicola Pambakian STIL</v>
      </c>
      <c r="B1276" s="19" t="s">
        <v>7528</v>
      </c>
      <c r="C1276" s="29" t="s">
        <v>7529</v>
      </c>
      <c r="D1276" s="29" t="s">
        <v>7530</v>
      </c>
      <c r="E1276" s="62" t="s">
        <v>7531</v>
      </c>
      <c r="F1276" s="50" t="s">
        <v>5416</v>
      </c>
      <c r="G1276" s="32" t="s">
        <v>46</v>
      </c>
      <c r="H1276" s="25" t="s">
        <v>139</v>
      </c>
      <c r="I1276" s="23"/>
      <c r="J1276" s="35" t="s">
        <v>7532</v>
      </c>
      <c r="K1276" s="27" t="s">
        <v>50</v>
      </c>
      <c r="L1276" s="13" t="s">
        <v>7533</v>
      </c>
      <c r="M1276" s="26" t="str">
        <f>VLOOKUP(E1276,'MTS 2026 registrations'!B:B,1,false)</f>
        <v>#N/A</v>
      </c>
      <c r="N1276" s="26" t="str">
        <f>VLOOKUP(B1276,'MTS 2026 registrations'!A:A,1,false)</f>
        <v>#N/A</v>
      </c>
      <c r="O1276" s="38" t="str">
        <f t="shared" si="6"/>
        <v>Marked</v>
      </c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23"/>
      <c r="AD1276" s="34"/>
      <c r="AE1276" s="34"/>
    </row>
    <row r="1277" ht="12.75" customHeight="1">
      <c r="A1277" s="19" t="str">
        <f t="shared" si="4"/>
        <v>Nicolas Kramer sporebi</v>
      </c>
      <c r="B1277" s="19" t="s">
        <v>7534</v>
      </c>
      <c r="C1277" s="158" t="s">
        <v>7535</v>
      </c>
      <c r="D1277" s="158" t="s">
        <v>7536</v>
      </c>
      <c r="E1277" s="139" t="s">
        <v>7537</v>
      </c>
      <c r="F1277" s="23" t="s">
        <v>132</v>
      </c>
      <c r="G1277" s="24" t="s">
        <v>225</v>
      </c>
      <c r="H1277" s="25" t="s">
        <v>47</v>
      </c>
      <c r="I1277" s="34"/>
      <c r="J1277" s="35" t="s">
        <v>7538</v>
      </c>
      <c r="K1277" s="27" t="s">
        <v>50</v>
      </c>
      <c r="L1277" s="13" t="s">
        <v>7539</v>
      </c>
      <c r="M1277" s="26" t="str">
        <f>VLOOKUP(E1277,'MTS 2026 registrations'!B:B,1,false)</f>
        <v>nicolas@sporebi.com</v>
      </c>
      <c r="N1277" s="26" t="str">
        <f>VLOOKUP(B1277,'MTS 2026 registrations'!A:A,1,false)</f>
        <v>Nicolas Kramer</v>
      </c>
      <c r="O1277" s="38" t="str">
        <f t="shared" si="6"/>
        <v/>
      </c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</row>
    <row r="1278" ht="12.75" customHeight="1">
      <c r="A1278" s="19" t="str">
        <f t="shared" si="4"/>
        <v>Niek Huizenga tvilight</v>
      </c>
      <c r="B1278" s="19" t="s">
        <v>7540</v>
      </c>
      <c r="C1278" s="20" t="s">
        <v>7541</v>
      </c>
      <c r="D1278" s="20" t="s">
        <v>7542</v>
      </c>
      <c r="E1278" s="21" t="s">
        <v>7543</v>
      </c>
      <c r="F1278" s="23" t="s">
        <v>3939</v>
      </c>
      <c r="G1278" s="32" t="s">
        <v>46</v>
      </c>
      <c r="H1278" s="25" t="s">
        <v>47</v>
      </c>
      <c r="I1278" s="26"/>
      <c r="J1278" s="35" t="s">
        <v>7544</v>
      </c>
      <c r="K1278" s="27" t="s">
        <v>50</v>
      </c>
      <c r="L1278" s="13" t="s">
        <v>7545</v>
      </c>
      <c r="M1278" s="26" t="str">
        <f>VLOOKUP(E1278,'MTS 2026 registrations'!B:B,1,false)</f>
        <v>#N/A</v>
      </c>
      <c r="N1278" s="26" t="str">
        <f>VLOOKUP(B1278,'MTS 2026 registrations'!A:A,1,false)</f>
        <v>#N/A</v>
      </c>
      <c r="O1278" s="38" t="str">
        <f t="shared" si="6"/>
        <v>Marked</v>
      </c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</row>
    <row r="1279" ht="12.75" customHeight="1">
      <c r="A1279" s="19" t="str">
        <f t="shared" si="4"/>
        <v>Niels Bartels Independent</v>
      </c>
      <c r="B1279" s="19" t="s">
        <v>7546</v>
      </c>
      <c r="C1279" s="116" t="s">
        <v>2741</v>
      </c>
      <c r="D1279" s="116" t="s">
        <v>7547</v>
      </c>
      <c r="E1279" s="112" t="s">
        <v>7548</v>
      </c>
      <c r="F1279" s="66" t="s">
        <v>1209</v>
      </c>
      <c r="G1279" s="24" t="s">
        <v>225</v>
      </c>
      <c r="H1279" s="25" t="s">
        <v>47</v>
      </c>
      <c r="I1279" s="34"/>
      <c r="J1279" s="35" t="s">
        <v>7549</v>
      </c>
      <c r="K1279" s="27" t="s">
        <v>50</v>
      </c>
      <c r="L1279" s="13" t="s">
        <v>7550</v>
      </c>
      <c r="M1279" s="26" t="str">
        <f>VLOOKUP(E1279,'MTS 2026 registrations'!B:B,1,false)</f>
        <v>niels.bartels@powercreations.nl</v>
      </c>
      <c r="N1279" s="26" t="str">
        <f>VLOOKUP(B1279,'MTS 2026 registrations'!A:A,1,false)</f>
        <v>Niels Bartels</v>
      </c>
      <c r="O1279" s="38" t="str">
        <f t="shared" si="6"/>
        <v/>
      </c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</row>
    <row r="1280" ht="12.75" customHeight="1">
      <c r="A1280" s="19" t="str">
        <f t="shared" si="4"/>
        <v>Niels Bultink Qblox</v>
      </c>
      <c r="B1280" s="19" t="s">
        <v>7551</v>
      </c>
      <c r="C1280" s="29" t="s">
        <v>2741</v>
      </c>
      <c r="D1280" s="29" t="s">
        <v>7552</v>
      </c>
      <c r="E1280" s="31" t="s">
        <v>7553</v>
      </c>
      <c r="F1280" s="33" t="s">
        <v>7554</v>
      </c>
      <c r="G1280" s="24" t="s">
        <v>46</v>
      </c>
      <c r="H1280" s="25" t="s">
        <v>47</v>
      </c>
      <c r="I1280" s="34"/>
      <c r="J1280" s="35" t="s">
        <v>7555</v>
      </c>
      <c r="K1280" s="27" t="s">
        <v>50</v>
      </c>
      <c r="L1280" s="13" t="s">
        <v>7556</v>
      </c>
      <c r="M1280" s="26" t="str">
        <f>VLOOKUP(E1280,'MTS 2026 registrations'!B:B,1,false)</f>
        <v>#N/A</v>
      </c>
      <c r="N1280" s="26" t="str">
        <f>VLOOKUP(B1280,'MTS 2026 registrations'!A:A,1,false)</f>
        <v>#N/A</v>
      </c>
      <c r="O1280" s="38" t="str">
        <f t="shared" si="6"/>
        <v>Marked</v>
      </c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</row>
    <row r="1281" ht="12.75" customHeight="1">
      <c r="A1281" s="19" t="str">
        <f t="shared" si="4"/>
        <v>Niels Van Velzen Watch UP/SkiSense/V-Go instruments</v>
      </c>
      <c r="B1281" s="19" t="s">
        <v>7557</v>
      </c>
      <c r="C1281" s="29" t="s">
        <v>2741</v>
      </c>
      <c r="D1281" s="29" t="s">
        <v>7558</v>
      </c>
      <c r="E1281" s="31" t="s">
        <v>7559</v>
      </c>
      <c r="F1281" s="33" t="s">
        <v>3932</v>
      </c>
      <c r="G1281" s="32" t="s">
        <v>46</v>
      </c>
      <c r="H1281" s="25" t="s">
        <v>47</v>
      </c>
      <c r="I1281" s="34"/>
      <c r="J1281" s="35" t="s">
        <v>7560</v>
      </c>
      <c r="K1281" s="27" t="s">
        <v>50</v>
      </c>
      <c r="L1281" s="13" t="s">
        <v>7561</v>
      </c>
      <c r="M1281" s="26" t="str">
        <f>VLOOKUP(E1281,'MTS 2026 registrations'!B:B,1,false)</f>
        <v>#N/A</v>
      </c>
      <c r="N1281" s="26" t="str">
        <f>VLOOKUP(B1281,'MTS 2026 registrations'!A:A,1,false)</f>
        <v>#N/A</v>
      </c>
      <c r="O1281" s="38" t="str">
        <f t="shared" si="6"/>
        <v>Marked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</row>
    <row r="1282" ht="12.75" customHeight="1">
      <c r="A1282" s="19" t="str">
        <f t="shared" si="4"/>
        <v>Nienke Dijkstra tno</v>
      </c>
      <c r="B1282" s="19" t="s">
        <v>7562</v>
      </c>
      <c r="C1282" s="138" t="s">
        <v>7563</v>
      </c>
      <c r="D1282" s="138" t="s">
        <v>7564</v>
      </c>
      <c r="E1282" s="139" t="s">
        <v>7565</v>
      </c>
      <c r="F1282" s="75" t="s">
        <v>2956</v>
      </c>
      <c r="G1282" s="24" t="s">
        <v>43</v>
      </c>
      <c r="H1282" s="25" t="s">
        <v>139</v>
      </c>
      <c r="I1282" s="34"/>
      <c r="J1282" s="35" t="s">
        <v>7566</v>
      </c>
      <c r="K1282" s="27" t="s">
        <v>50</v>
      </c>
      <c r="L1282" s="13" t="s">
        <v>7567</v>
      </c>
      <c r="M1282" s="26" t="str">
        <f>VLOOKUP(E1282,'MTS 2026 registrations'!B:B,1,false)</f>
        <v>#N/A</v>
      </c>
      <c r="N1282" s="26" t="str">
        <f>VLOOKUP(B1282,'MTS 2026 registrations'!A:A,1,false)</f>
        <v>#N/A</v>
      </c>
      <c r="O1282" s="38" t="str">
        <f t="shared" si="6"/>
        <v>Marked</v>
      </c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</row>
    <row r="1283" ht="12.75" customHeight="1">
      <c r="A1283" s="19" t="str">
        <f t="shared" si="4"/>
        <v>Nienke de Roode Access2Bone</v>
      </c>
      <c r="B1283" s="19" t="s">
        <v>7568</v>
      </c>
      <c r="C1283" s="13" t="s">
        <v>7563</v>
      </c>
      <c r="D1283" s="13" t="s">
        <v>7569</v>
      </c>
      <c r="E1283" s="60" t="s">
        <v>7570</v>
      </c>
      <c r="F1283" s="60" t="s">
        <v>7366</v>
      </c>
      <c r="G1283" s="32" t="s">
        <v>46</v>
      </c>
      <c r="H1283" s="25" t="s">
        <v>47</v>
      </c>
      <c r="I1283" s="34"/>
      <c r="J1283" s="35" t="s">
        <v>7571</v>
      </c>
      <c r="K1283" s="27" t="s">
        <v>50</v>
      </c>
      <c r="L1283" s="13" t="s">
        <v>7572</v>
      </c>
      <c r="M1283" s="26" t="str">
        <f>VLOOKUP(E1283,'MTS 2026 registrations'!B:B,1,false)</f>
        <v>#N/A</v>
      </c>
      <c r="N1283" s="26" t="str">
        <f>VLOOKUP(B1283,'MTS 2026 registrations'!A:A,1,false)</f>
        <v>#N/A</v>
      </c>
      <c r="O1283" s="38" t="str">
        <f t="shared" si="6"/>
        <v>Marked</v>
      </c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</row>
    <row r="1284" ht="12.75" customHeight="1">
      <c r="A1284" s="19" t="str">
        <f t="shared" si="4"/>
        <v>Niklas Koerner faber</v>
      </c>
      <c r="B1284" s="19" t="s">
        <v>7573</v>
      </c>
      <c r="C1284" s="20" t="s">
        <v>7574</v>
      </c>
      <c r="D1284" s="20" t="s">
        <v>7575</v>
      </c>
      <c r="E1284" s="21" t="s">
        <v>7576</v>
      </c>
      <c r="F1284" s="23" t="s">
        <v>7577</v>
      </c>
      <c r="G1284" s="24" t="s">
        <v>163</v>
      </c>
      <c r="H1284" s="25" t="s">
        <v>164</v>
      </c>
      <c r="I1284" s="34"/>
      <c r="J1284" s="35" t="s">
        <v>7578</v>
      </c>
      <c r="K1284" s="27" t="s">
        <v>50</v>
      </c>
      <c r="L1284" s="13" t="s">
        <v>7579</v>
      </c>
      <c r="M1284" s="26" t="str">
        <f>VLOOKUP(E1284,'MTS 2026 registrations'!B:B,1,false)</f>
        <v>#N/A</v>
      </c>
      <c r="N1284" s="26" t="str">
        <f>VLOOKUP(B1284,'MTS 2026 registrations'!A:A,1,false)</f>
        <v>#N/A</v>
      </c>
      <c r="O1284" s="38" t="str">
        <f t="shared" si="6"/>
        <v>Marked</v>
      </c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</row>
    <row r="1285" ht="12.75" customHeight="1">
      <c r="A1285" s="19" t="str">
        <f t="shared" si="4"/>
        <v>Niklas Hebborn freigeist</v>
      </c>
      <c r="B1285" s="19" t="s">
        <v>7580</v>
      </c>
      <c r="C1285" s="20" t="s">
        <v>7574</v>
      </c>
      <c r="D1285" s="20" t="s">
        <v>7581</v>
      </c>
      <c r="E1285" s="21" t="s">
        <v>7582</v>
      </c>
      <c r="F1285" s="23" t="s">
        <v>3191</v>
      </c>
      <c r="G1285" s="24" t="s">
        <v>163</v>
      </c>
      <c r="H1285" s="25" t="s">
        <v>164</v>
      </c>
      <c r="I1285" s="34"/>
      <c r="J1285" s="35" t="s">
        <v>7583</v>
      </c>
      <c r="K1285" s="27" t="s">
        <v>50</v>
      </c>
      <c r="L1285" s="13" t="s">
        <v>7584</v>
      </c>
      <c r="M1285" s="26" t="str">
        <f>VLOOKUP(E1285,'MTS 2026 registrations'!B:B,1,false)</f>
        <v>#N/A</v>
      </c>
      <c r="N1285" s="26" t="str">
        <f>VLOOKUP(B1285,'MTS 2026 registrations'!A:A,1,false)</f>
        <v>#N/A</v>
      </c>
      <c r="O1285" s="38" t="str">
        <f t="shared" si="6"/>
        <v>Marked</v>
      </c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</row>
    <row r="1286" ht="12.75" customHeight="1">
      <c r="A1286" s="19" t="str">
        <f t="shared" si="4"/>
        <v>Nikolas Gaio biondteam</v>
      </c>
      <c r="B1286" s="19" t="s">
        <v>7585</v>
      </c>
      <c r="C1286" s="20" t="s">
        <v>7586</v>
      </c>
      <c r="D1286" s="20" t="s">
        <v>7587</v>
      </c>
      <c r="E1286" s="21" t="s">
        <v>7588</v>
      </c>
      <c r="F1286" s="23" t="s">
        <v>3981</v>
      </c>
      <c r="G1286" s="32" t="s">
        <v>46</v>
      </c>
      <c r="H1286" s="25" t="s">
        <v>47</v>
      </c>
      <c r="I1286" s="26"/>
      <c r="J1286" s="35" t="s">
        <v>7589</v>
      </c>
      <c r="K1286" s="27" t="s">
        <v>50</v>
      </c>
      <c r="L1286" s="13" t="s">
        <v>7590</v>
      </c>
      <c r="M1286" s="26" t="str">
        <f>VLOOKUP(E1286,'MTS 2026 registrations'!B:B,1,false)</f>
        <v>#N/A</v>
      </c>
      <c r="N1286" s="26" t="str">
        <f>VLOOKUP(B1286,'MTS 2026 registrations'!A:A,1,false)</f>
        <v>#N/A</v>
      </c>
      <c r="O1286" s="38" t="str">
        <f t="shared" si="6"/>
        <v>Marked</v>
      </c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</row>
    <row r="1287" ht="12.75" customHeight="1">
      <c r="A1287" s="19" t="str">
        <f t="shared" si="4"/>
        <v>Nils Lang htgf.de</v>
      </c>
      <c r="B1287" s="19" t="s">
        <v>7591</v>
      </c>
      <c r="C1287" s="20" t="s">
        <v>7592</v>
      </c>
      <c r="D1287" s="20" t="s">
        <v>7593</v>
      </c>
      <c r="E1287" s="21" t="s">
        <v>7594</v>
      </c>
      <c r="F1287" s="23" t="s">
        <v>7595</v>
      </c>
      <c r="G1287" s="24" t="s">
        <v>163</v>
      </c>
      <c r="H1287" s="25" t="s">
        <v>164</v>
      </c>
      <c r="I1287" s="34"/>
      <c r="J1287" s="35" t="s">
        <v>7596</v>
      </c>
      <c r="K1287" s="27" t="s">
        <v>50</v>
      </c>
      <c r="L1287" s="13" t="s">
        <v>7597</v>
      </c>
      <c r="M1287" s="26" t="str">
        <f>VLOOKUP(E1287,'MTS 2026 registrations'!B:B,1,false)</f>
        <v>n.lang@htgf.de</v>
      </c>
      <c r="N1287" s="26" t="str">
        <f>VLOOKUP(B1287,'MTS 2026 registrations'!A:A,1,false)</f>
        <v>Nils Lang</v>
      </c>
      <c r="O1287" s="38" t="str">
        <f t="shared" si="6"/>
        <v/>
      </c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</row>
    <row r="1288" ht="12.75" customHeight="1">
      <c r="A1288" s="19" t="str">
        <f t="shared" si="4"/>
        <v>Nils van Herpen VGZ</v>
      </c>
      <c r="B1288" s="19" t="s">
        <v>7598</v>
      </c>
      <c r="C1288" s="20" t="s">
        <v>7592</v>
      </c>
      <c r="D1288" s="20" t="s">
        <v>7599</v>
      </c>
      <c r="E1288" s="21" t="s">
        <v>7600</v>
      </c>
      <c r="F1288" s="49" t="s">
        <v>7601</v>
      </c>
      <c r="G1288" s="24" t="s">
        <v>163</v>
      </c>
      <c r="H1288" s="26" t="s">
        <v>164</v>
      </c>
      <c r="I1288" s="13"/>
      <c r="J1288" s="35" t="s">
        <v>7602</v>
      </c>
      <c r="K1288" s="27" t="s">
        <v>50</v>
      </c>
      <c r="L1288" s="25" t="s">
        <v>7603</v>
      </c>
      <c r="M1288" s="26" t="str">
        <f>VLOOKUP(E1288,'MTS 2026 registrations'!B:B,1,false)</f>
        <v>#N/A</v>
      </c>
      <c r="N1288" s="26" t="str">
        <f>VLOOKUP(B1288,'MTS 2026 registrations'!A:A,1,false)</f>
        <v>#N/A</v>
      </c>
      <c r="O1288" s="38" t="str">
        <f t="shared" si="6"/>
        <v>Marked</v>
      </c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</row>
    <row r="1289" ht="12.75" customHeight="1">
      <c r="A1289" s="19" t="str">
        <f t="shared" si="4"/>
        <v>Nils Beers Czeers</v>
      </c>
      <c r="B1289" s="19" t="s">
        <v>7604</v>
      </c>
      <c r="C1289" s="43" t="s">
        <v>7592</v>
      </c>
      <c r="D1289" s="43" t="s">
        <v>7605</v>
      </c>
      <c r="E1289" s="128" t="s">
        <v>7606</v>
      </c>
      <c r="F1289" s="33" t="s">
        <v>7607</v>
      </c>
      <c r="G1289" s="51" t="s">
        <v>46</v>
      </c>
      <c r="H1289" s="25" t="s">
        <v>47</v>
      </c>
      <c r="I1289" s="34"/>
      <c r="J1289" s="35" t="s">
        <v>7608</v>
      </c>
      <c r="K1289" s="27" t="s">
        <v>50</v>
      </c>
      <c r="L1289" s="25" t="s">
        <v>7609</v>
      </c>
      <c r="M1289" s="26" t="str">
        <f>VLOOKUP(E1289,'MTS 2026 registrations'!B:B,1,false)</f>
        <v>#N/A</v>
      </c>
      <c r="N1289" s="26" t="str">
        <f>VLOOKUP(B1289,'MTS 2026 registrations'!A:A,1,false)</f>
        <v>#N/A</v>
      </c>
      <c r="O1289" s="38" t="str">
        <f t="shared" si="6"/>
        <v>Marked</v>
      </c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</row>
    <row r="1290" ht="12.75" customHeight="1">
      <c r="A1290" s="19" t="str">
        <f t="shared" si="4"/>
        <v>Nima Tolou flexous</v>
      </c>
      <c r="B1290" s="19" t="s">
        <v>7610</v>
      </c>
      <c r="C1290" s="20" t="s">
        <v>7611</v>
      </c>
      <c r="D1290" s="20" t="s">
        <v>7612</v>
      </c>
      <c r="E1290" s="21" t="s">
        <v>7613</v>
      </c>
      <c r="F1290" s="23" t="s">
        <v>7614</v>
      </c>
      <c r="G1290" s="32" t="s">
        <v>46</v>
      </c>
      <c r="H1290" s="25" t="s">
        <v>47</v>
      </c>
      <c r="I1290" s="34"/>
      <c r="J1290" s="35" t="s">
        <v>7615</v>
      </c>
      <c r="K1290" s="27" t="s">
        <v>50</v>
      </c>
      <c r="L1290" s="13" t="s">
        <v>7616</v>
      </c>
      <c r="M1290" s="26" t="str">
        <f>VLOOKUP(E1290,'MTS 2026 registrations'!B:B,1,false)</f>
        <v>#N/A</v>
      </c>
      <c r="N1290" s="26" t="str">
        <f>VLOOKUP(B1290,'MTS 2026 registrations'!A:A,1,false)</f>
        <v>#N/A</v>
      </c>
      <c r="O1290" s="38" t="str">
        <f t="shared" si="6"/>
        <v>Marked</v>
      </c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</row>
    <row r="1291" ht="12.75" customHeight="1">
      <c r="A1291" s="19" t="str">
        <f t="shared" si="4"/>
        <v>Nima Kinergizer Kinergizer</v>
      </c>
      <c r="B1291" s="19" t="s">
        <v>7617</v>
      </c>
      <c r="C1291" s="29" t="s">
        <v>7611</v>
      </c>
      <c r="D1291" s="29" t="s">
        <v>5597</v>
      </c>
      <c r="E1291" s="31" t="s">
        <v>7618</v>
      </c>
      <c r="F1291" s="33" t="s">
        <v>5597</v>
      </c>
      <c r="G1291" s="24" t="s">
        <v>46</v>
      </c>
      <c r="H1291" s="25" t="s">
        <v>47</v>
      </c>
      <c r="I1291" s="34"/>
      <c r="J1291" s="35" t="s">
        <v>7619</v>
      </c>
      <c r="K1291" s="27" t="s">
        <v>50</v>
      </c>
      <c r="L1291" s="13" t="s">
        <v>7620</v>
      </c>
      <c r="M1291" s="26" t="str">
        <f>VLOOKUP(E1291,'MTS 2026 registrations'!B:B,1,false)</f>
        <v>#N/A</v>
      </c>
      <c r="N1291" s="26" t="str">
        <f>VLOOKUP(B1291,'MTS 2026 registrations'!A:A,1,false)</f>
        <v>#N/A</v>
      </c>
      <c r="O1291" s="38" t="str">
        <f t="shared" si="6"/>
        <v>Marked</v>
      </c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</row>
    <row r="1292" ht="12.75" customHeight="1">
      <c r="A1292" s="19" t="str">
        <f t="shared" si="4"/>
        <v>Nima Salami oasysnow</v>
      </c>
      <c r="B1292" s="19" t="s">
        <v>7621</v>
      </c>
      <c r="C1292" s="20" t="s">
        <v>7611</v>
      </c>
      <c r="D1292" s="20" t="s">
        <v>7622</v>
      </c>
      <c r="E1292" s="21" t="s">
        <v>7623</v>
      </c>
      <c r="F1292" s="23" t="s">
        <v>7624</v>
      </c>
      <c r="G1292" s="32" t="s">
        <v>46</v>
      </c>
      <c r="H1292" s="25" t="s">
        <v>47</v>
      </c>
      <c r="I1292" s="34"/>
      <c r="J1292" s="35" t="s">
        <v>7625</v>
      </c>
      <c r="K1292" s="27" t="s">
        <v>50</v>
      </c>
      <c r="L1292" s="13" t="s">
        <v>7626</v>
      </c>
      <c r="M1292" s="26" t="str">
        <f>VLOOKUP(E1292,'MTS 2026 registrations'!B:B,1,false)</f>
        <v>#N/A</v>
      </c>
      <c r="N1292" s="26" t="str">
        <f>VLOOKUP(B1292,'MTS 2026 registrations'!A:A,1,false)</f>
        <v>#N/A</v>
      </c>
      <c r="O1292" s="38" t="str">
        <f t="shared" si="6"/>
        <v>Marked</v>
      </c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</row>
    <row r="1293" ht="12.75" customHeight="1">
      <c r="A1293" s="19" t="str">
        <f t="shared" si="4"/>
        <v>Nitesh Bharosa tudelft</v>
      </c>
      <c r="B1293" s="19" t="s">
        <v>7627</v>
      </c>
      <c r="C1293" s="60" t="s">
        <v>7628</v>
      </c>
      <c r="D1293" s="60" t="s">
        <v>7629</v>
      </c>
      <c r="E1293" s="62" t="s">
        <v>7630</v>
      </c>
      <c r="F1293" s="64" t="s">
        <v>184</v>
      </c>
      <c r="G1293" s="42" t="s">
        <v>43</v>
      </c>
      <c r="H1293" s="25" t="s">
        <v>139</v>
      </c>
      <c r="I1293" s="34"/>
      <c r="J1293" s="35" t="s">
        <v>7631</v>
      </c>
      <c r="K1293" s="27" t="s">
        <v>50</v>
      </c>
      <c r="L1293" s="13" t="s">
        <v>7632</v>
      </c>
      <c r="M1293" s="26" t="str">
        <f>VLOOKUP(E1293,'MTS 2026 registrations'!B:B,1,false)</f>
        <v>#N/A</v>
      </c>
      <c r="N1293" s="26" t="str">
        <f>VLOOKUP(B1293,'MTS 2026 registrations'!A:A,1,false)</f>
        <v>#N/A</v>
      </c>
      <c r="O1293" s="38" t="str">
        <f t="shared" si="6"/>
        <v>Marked</v>
      </c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</row>
    <row r="1294" ht="12.75" customHeight="1">
      <c r="A1294" s="19" t="str">
        <f t="shared" si="4"/>
        <v>Nol van de Mortel Access2Bone</v>
      </c>
      <c r="B1294" s="19" t="s">
        <v>7633</v>
      </c>
      <c r="C1294" s="13" t="s">
        <v>7634</v>
      </c>
      <c r="D1294" s="13" t="s">
        <v>7635</v>
      </c>
      <c r="E1294" s="60" t="s">
        <v>7636</v>
      </c>
      <c r="F1294" s="60" t="s">
        <v>7366</v>
      </c>
      <c r="G1294" s="32" t="s">
        <v>46</v>
      </c>
      <c r="H1294" s="25" t="s">
        <v>47</v>
      </c>
      <c r="I1294" s="34"/>
      <c r="J1294" s="35" t="s">
        <v>7637</v>
      </c>
      <c r="K1294" s="27" t="s">
        <v>50</v>
      </c>
      <c r="L1294" s="13" t="s">
        <v>7638</v>
      </c>
      <c r="M1294" s="26" t="str">
        <f>VLOOKUP(E1294,'MTS 2026 registrations'!B:B,1,false)</f>
        <v>#N/A</v>
      </c>
      <c r="N1294" s="26" t="str">
        <f>VLOOKUP(B1294,'MTS 2026 registrations'!A:A,1,false)</f>
        <v>#N/A</v>
      </c>
      <c r="O1294" s="38" t="str">
        <f t="shared" si="6"/>
        <v>Marked</v>
      </c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</row>
    <row r="1295" ht="12.75" customHeight="1">
      <c r="A1295" s="19" t="str">
        <f t="shared" si="4"/>
        <v>Noor Figdor gmail</v>
      </c>
      <c r="B1295" s="19" t="s">
        <v>7639</v>
      </c>
      <c r="C1295" s="60" t="s">
        <v>7640</v>
      </c>
      <c r="D1295" s="60" t="s">
        <v>7641</v>
      </c>
      <c r="E1295" s="62" t="s">
        <v>7642</v>
      </c>
      <c r="F1295" s="64" t="s">
        <v>6728</v>
      </c>
      <c r="G1295" s="24" t="s">
        <v>46</v>
      </c>
      <c r="H1295" s="25" t="s">
        <v>139</v>
      </c>
      <c r="I1295" s="34"/>
      <c r="J1295" s="35" t="s">
        <v>7643</v>
      </c>
      <c r="K1295" s="27" t="s">
        <v>50</v>
      </c>
      <c r="L1295" s="13" t="s">
        <v>7644</v>
      </c>
      <c r="M1295" s="26" t="str">
        <f>VLOOKUP(E1295,'MTS 2026 registrations'!B:B,1,false)</f>
        <v>#N/A</v>
      </c>
      <c r="N1295" s="26" t="str">
        <f>VLOOKUP(B1295,'MTS 2026 registrations'!A:A,1,false)</f>
        <v>#N/A</v>
      </c>
      <c r="O1295" s="38" t="str">
        <f t="shared" si="6"/>
        <v>Marked</v>
      </c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</row>
    <row r="1296" ht="12.75" customHeight="1">
      <c r="A1296" s="19" t="str">
        <f t="shared" si="4"/>
        <v>Norbert Fraunholcz ReSolved tech (Recycling Avenue)</v>
      </c>
      <c r="B1296" s="19" t="s">
        <v>7645</v>
      </c>
      <c r="C1296" s="29" t="s">
        <v>7646</v>
      </c>
      <c r="D1296" s="29" t="s">
        <v>7647</v>
      </c>
      <c r="E1296" s="62" t="s">
        <v>7648</v>
      </c>
      <c r="F1296" s="115" t="s">
        <v>7649</v>
      </c>
      <c r="G1296" s="32" t="s">
        <v>46</v>
      </c>
      <c r="H1296" s="25" t="s">
        <v>139</v>
      </c>
      <c r="I1296" s="34"/>
      <c r="J1296" s="35" t="s">
        <v>7650</v>
      </c>
      <c r="K1296" s="27" t="s">
        <v>50</v>
      </c>
      <c r="L1296" s="13" t="s">
        <v>7651</v>
      </c>
      <c r="M1296" s="26" t="str">
        <f>VLOOKUP(E1296,'MTS 2026 registrations'!B:B,1,false)</f>
        <v>#N/A</v>
      </c>
      <c r="N1296" s="26" t="str">
        <f>VLOOKUP(B1296,'MTS 2026 registrations'!A:A,1,false)</f>
        <v>#N/A</v>
      </c>
      <c r="O1296" s="38" t="str">
        <f t="shared" si="6"/>
        <v>Marked</v>
      </c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</row>
    <row r="1297" ht="12.75" customHeight="1">
      <c r="A1297" s="19" t="str">
        <f t="shared" si="4"/>
        <v>Ohad Gilad keadyn</v>
      </c>
      <c r="B1297" s="19" t="s">
        <v>7652</v>
      </c>
      <c r="C1297" s="29" t="s">
        <v>7653</v>
      </c>
      <c r="D1297" s="72" t="s">
        <v>7654</v>
      </c>
      <c r="E1297" s="30" t="s">
        <v>7655</v>
      </c>
      <c r="F1297" s="29" t="s">
        <v>7656</v>
      </c>
      <c r="G1297" s="32" t="s">
        <v>163</v>
      </c>
      <c r="H1297" s="13" t="s">
        <v>45</v>
      </c>
      <c r="I1297" s="34"/>
      <c r="J1297" s="35" t="s">
        <v>7657</v>
      </c>
      <c r="K1297" s="27" t="s">
        <v>50</v>
      </c>
      <c r="L1297" s="13" t="s">
        <v>7658</v>
      </c>
      <c r="M1297" s="26" t="str">
        <f>VLOOKUP(E1297,'MTS 2026 registrations'!B:B,1,false)</f>
        <v>#N/A</v>
      </c>
      <c r="N1297" s="26" t="str">
        <f>VLOOKUP(B1297,'MTS 2026 registrations'!A:A,1,false)</f>
        <v>#N/A</v>
      </c>
      <c r="O1297" s="38" t="str">
        <f t="shared" si="6"/>
        <v>Marked</v>
      </c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</row>
    <row r="1298" ht="12.75" customHeight="1">
      <c r="A1298" s="19" t="str">
        <f t="shared" si="4"/>
        <v>Oleg Guziy Flexous</v>
      </c>
      <c r="B1298" s="19" t="s">
        <v>7659</v>
      </c>
      <c r="C1298" s="29" t="s">
        <v>7660</v>
      </c>
      <c r="D1298" s="29" t="s">
        <v>7661</v>
      </c>
      <c r="E1298" s="31" t="s">
        <v>7662</v>
      </c>
      <c r="F1298" s="33" t="s">
        <v>7663</v>
      </c>
      <c r="G1298" s="24" t="s">
        <v>46</v>
      </c>
      <c r="H1298" s="25" t="s">
        <v>47</v>
      </c>
      <c r="I1298" s="34"/>
      <c r="J1298" s="35" t="s">
        <v>7664</v>
      </c>
      <c r="K1298" s="27" t="s">
        <v>50</v>
      </c>
      <c r="L1298" s="13" t="s">
        <v>7665</v>
      </c>
      <c r="M1298" s="26" t="str">
        <f>VLOOKUP(E1298,'MTS 2026 registrations'!B:B,1,false)</f>
        <v>#N/A</v>
      </c>
      <c r="N1298" s="26" t="str">
        <f>VLOOKUP(B1298,'MTS 2026 registrations'!A:A,1,false)</f>
        <v>#N/A</v>
      </c>
      <c r="O1298" s="38" t="str">
        <f t="shared" si="6"/>
        <v>Marked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</row>
    <row r="1299" ht="12.75" customHeight="1">
      <c r="A1299" s="19" t="str">
        <f t="shared" si="4"/>
        <v>Oleksandr Mykhalevych nutripy</v>
      </c>
      <c r="B1299" s="19" t="s">
        <v>7666</v>
      </c>
      <c r="C1299" s="20" t="s">
        <v>7667</v>
      </c>
      <c r="D1299" s="20" t="s">
        <v>7668</v>
      </c>
      <c r="E1299" s="21" t="s">
        <v>7669</v>
      </c>
      <c r="F1299" s="23" t="s">
        <v>3385</v>
      </c>
      <c r="G1299" s="32" t="s">
        <v>46</v>
      </c>
      <c r="H1299" s="25" t="s">
        <v>47</v>
      </c>
      <c r="I1299" s="23"/>
      <c r="J1299" s="35" t="s">
        <v>7670</v>
      </c>
      <c r="K1299" s="27" t="s">
        <v>50</v>
      </c>
      <c r="L1299" s="13" t="s">
        <v>7671</v>
      </c>
      <c r="M1299" s="26" t="str">
        <f>VLOOKUP(E1299,'MTS 2026 registrations'!B:B,1,false)</f>
        <v>#N/A</v>
      </c>
      <c r="N1299" s="26" t="str">
        <f>VLOOKUP(B1299,'MTS 2026 registrations'!A:A,1,false)</f>
        <v>#N/A</v>
      </c>
      <c r="O1299" s="38" t="str">
        <f t="shared" si="6"/>
        <v>Marked</v>
      </c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23"/>
      <c r="AD1299" s="34"/>
      <c r="AE1299" s="34"/>
    </row>
    <row r="1300" ht="12.75" customHeight="1">
      <c r="A1300" s="19" t="str">
        <f t="shared" si="4"/>
        <v>Olga Wielders thehaguetech</v>
      </c>
      <c r="B1300" s="19" t="s">
        <v>7672</v>
      </c>
      <c r="C1300" s="20" t="s">
        <v>7673</v>
      </c>
      <c r="D1300" s="20" t="s">
        <v>7674</v>
      </c>
      <c r="E1300" s="21" t="s">
        <v>7675</v>
      </c>
      <c r="F1300" s="23" t="s">
        <v>2101</v>
      </c>
      <c r="G1300" s="42" t="s">
        <v>69</v>
      </c>
      <c r="H1300" s="25" t="s">
        <v>139</v>
      </c>
      <c r="I1300" s="23"/>
      <c r="J1300" s="35" t="s">
        <v>7676</v>
      </c>
      <c r="K1300" s="27" t="s">
        <v>50</v>
      </c>
      <c r="L1300" s="13" t="s">
        <v>7677</v>
      </c>
      <c r="M1300" s="26" t="str">
        <f>VLOOKUP(E1300,'MTS 2026 registrations'!B:B,1,false)</f>
        <v>#N/A</v>
      </c>
      <c r="N1300" s="26" t="str">
        <f>VLOOKUP(B1300,'MTS 2026 registrations'!A:A,1,false)</f>
        <v>#N/A</v>
      </c>
      <c r="O1300" s="38" t="str">
        <f t="shared" si="6"/>
        <v>Marked</v>
      </c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34"/>
      <c r="AE1300" s="34"/>
    </row>
    <row r="1301" ht="12.75" customHeight="1">
      <c r="A1301" s="19" t="str">
        <f t="shared" si="4"/>
        <v>Olivier Schevin DeNoize</v>
      </c>
      <c r="B1301" s="19" t="s">
        <v>7678</v>
      </c>
      <c r="C1301" s="29" t="s">
        <v>2753</v>
      </c>
      <c r="D1301" s="29" t="s">
        <v>7679</v>
      </c>
      <c r="E1301" s="31" t="s">
        <v>7680</v>
      </c>
      <c r="F1301" s="33" t="s">
        <v>7681</v>
      </c>
      <c r="G1301" s="24" t="s">
        <v>46</v>
      </c>
      <c r="H1301" s="25" t="s">
        <v>47</v>
      </c>
      <c r="I1301" s="34"/>
      <c r="J1301" s="35" t="s">
        <v>7682</v>
      </c>
      <c r="K1301" s="27" t="s">
        <v>50</v>
      </c>
      <c r="L1301" s="13" t="s">
        <v>7683</v>
      </c>
      <c r="M1301" s="26" t="str">
        <f>VLOOKUP(E1301,'MTS 2026 registrations'!B:B,1,false)</f>
        <v>#N/A</v>
      </c>
      <c r="N1301" s="26" t="str">
        <f>VLOOKUP(B1301,'MTS 2026 registrations'!A:A,1,false)</f>
        <v>#N/A</v>
      </c>
      <c r="O1301" s="38" t="str">
        <f t="shared" si="6"/>
        <v>Marked</v>
      </c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</row>
    <row r="1302" ht="12.75" customHeight="1">
      <c r="A1302" s="19" t="str">
        <f t="shared" si="4"/>
        <v>Olivier Coops tilercharge</v>
      </c>
      <c r="B1302" s="19" t="s">
        <v>7684</v>
      </c>
      <c r="C1302" s="20" t="s">
        <v>2753</v>
      </c>
      <c r="D1302" s="20" t="s">
        <v>7685</v>
      </c>
      <c r="E1302" s="21" t="s">
        <v>7686</v>
      </c>
      <c r="F1302" s="23" t="s">
        <v>528</v>
      </c>
      <c r="G1302" s="32" t="s">
        <v>46</v>
      </c>
      <c r="H1302" s="25" t="s">
        <v>47</v>
      </c>
      <c r="I1302" s="34"/>
      <c r="J1302" s="35" t="s">
        <v>7687</v>
      </c>
      <c r="K1302" s="27" t="s">
        <v>50</v>
      </c>
      <c r="L1302" s="13" t="s">
        <v>7688</v>
      </c>
      <c r="M1302" s="26" t="str">
        <f>VLOOKUP(E1302,'MTS 2026 registrations'!B:B,1,false)</f>
        <v>#N/A</v>
      </c>
      <c r="N1302" s="26" t="str">
        <f>VLOOKUP(B1302,'MTS 2026 registrations'!A:A,1,false)</f>
        <v>#N/A</v>
      </c>
      <c r="O1302" s="38" t="str">
        <f t="shared" si="6"/>
        <v>Marked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</row>
    <row r="1303" ht="12.75" customHeight="1">
      <c r="A1303" s="19" t="str">
        <f t="shared" si="4"/>
        <v>omar link Nowi</v>
      </c>
      <c r="B1303" s="19" t="s">
        <v>7689</v>
      </c>
      <c r="C1303" s="29" t="s">
        <v>7690</v>
      </c>
      <c r="D1303" s="29" t="s">
        <v>7691</v>
      </c>
      <c r="E1303" s="31" t="s">
        <v>7692</v>
      </c>
      <c r="F1303" s="33" t="s">
        <v>7693</v>
      </c>
      <c r="G1303" s="24" t="s">
        <v>46</v>
      </c>
      <c r="H1303" s="25" t="s">
        <v>47</v>
      </c>
      <c r="I1303" s="34"/>
      <c r="J1303" s="35" t="s">
        <v>7694</v>
      </c>
      <c r="K1303" s="27" t="s">
        <v>50</v>
      </c>
      <c r="L1303" s="13" t="s">
        <v>7695</v>
      </c>
      <c r="M1303" s="26" t="str">
        <f>VLOOKUP(E1303,'MTS 2026 registrations'!B:B,1,false)</f>
        <v>#N/A</v>
      </c>
      <c r="N1303" s="26" t="str">
        <f>VLOOKUP(B1303,'MTS 2026 registrations'!A:A,1,false)</f>
        <v>#N/A</v>
      </c>
      <c r="O1303" s="38" t="str">
        <f t="shared" si="6"/>
        <v>Marked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</row>
    <row r="1304" ht="12.75" customHeight="1">
      <c r="A1304" s="19" t="str">
        <f t="shared" si="4"/>
        <v>Onno Bierhoff geheco</v>
      </c>
      <c r="B1304" s="19" t="s">
        <v>7696</v>
      </c>
      <c r="C1304" s="20" t="s">
        <v>7697</v>
      </c>
      <c r="D1304" s="20" t="s">
        <v>7698</v>
      </c>
      <c r="E1304" s="21" t="s">
        <v>7699</v>
      </c>
      <c r="F1304" s="23" t="s">
        <v>3502</v>
      </c>
      <c r="G1304" s="32" t="s">
        <v>46</v>
      </c>
      <c r="H1304" s="25" t="s">
        <v>47</v>
      </c>
      <c r="I1304" s="34"/>
      <c r="J1304" s="35" t="s">
        <v>7700</v>
      </c>
      <c r="K1304" s="27" t="s">
        <v>50</v>
      </c>
      <c r="L1304" s="13" t="s">
        <v>7701</v>
      </c>
      <c r="M1304" s="26" t="str">
        <f>VLOOKUP(E1304,'MTS 2026 registrations'!B:B,1,false)</f>
        <v>onno@geheco.com</v>
      </c>
      <c r="N1304" s="26" t="str">
        <f>VLOOKUP(B1304,'MTS 2026 registrations'!A:A,1,false)</f>
        <v>Onno Bierhoff</v>
      </c>
      <c r="O1304" s="38" t="str">
        <f t="shared" si="6"/>
        <v/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</row>
    <row r="1305" ht="12.75" customHeight="1">
      <c r="A1305" s="19" t="str">
        <f t="shared" si="4"/>
        <v>Oscar Veen portofrotterdam</v>
      </c>
      <c r="B1305" s="19" t="s">
        <v>7702</v>
      </c>
      <c r="C1305" s="134" t="s">
        <v>1966</v>
      </c>
      <c r="D1305" s="60" t="s">
        <v>2246</v>
      </c>
      <c r="E1305" s="62" t="s">
        <v>7703</v>
      </c>
      <c r="F1305" s="64" t="s">
        <v>1399</v>
      </c>
      <c r="G1305" s="24" t="s">
        <v>69</v>
      </c>
      <c r="H1305" s="25" t="s">
        <v>139</v>
      </c>
      <c r="I1305" s="23"/>
      <c r="J1305" s="35" t="s">
        <v>7704</v>
      </c>
      <c r="K1305" s="27" t="s">
        <v>50</v>
      </c>
      <c r="L1305" s="13" t="s">
        <v>7705</v>
      </c>
      <c r="M1305" s="26" t="str">
        <f>VLOOKUP(E1305,'MTS 2026 registrations'!B:B,1,false)</f>
        <v>#N/A</v>
      </c>
      <c r="N1305" s="26" t="str">
        <f>VLOOKUP(B1305,'MTS 2026 registrations'!A:A,1,false)</f>
        <v>#N/A</v>
      </c>
      <c r="O1305" s="38" t="str">
        <f t="shared" si="6"/>
        <v>Marked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23"/>
      <c r="AD1305" s="34"/>
      <c r="AE1305" s="34"/>
    </row>
    <row r="1306" ht="12.75" customHeight="1">
      <c r="A1306" s="19" t="str">
        <f t="shared" si="4"/>
        <v>Oscar Meijer sunshower</v>
      </c>
      <c r="B1306" s="19" t="s">
        <v>7706</v>
      </c>
      <c r="C1306" s="20" t="s">
        <v>1966</v>
      </c>
      <c r="D1306" s="20" t="s">
        <v>1731</v>
      </c>
      <c r="E1306" s="21" t="s">
        <v>7707</v>
      </c>
      <c r="F1306" s="23" t="s">
        <v>7318</v>
      </c>
      <c r="G1306" s="32" t="s">
        <v>46</v>
      </c>
      <c r="H1306" s="25" t="s">
        <v>47</v>
      </c>
      <c r="I1306" s="34"/>
      <c r="J1306" s="35" t="s">
        <v>7708</v>
      </c>
      <c r="K1306" s="27" t="s">
        <v>50</v>
      </c>
      <c r="L1306" s="13" t="s">
        <v>7709</v>
      </c>
      <c r="M1306" s="26" t="str">
        <f>VLOOKUP(E1306,'MTS 2026 registrations'!B:B,1,false)</f>
        <v>#N/A</v>
      </c>
      <c r="N1306" s="26" t="str">
        <f>VLOOKUP(B1306,'MTS 2026 registrations'!A:A,1,false)</f>
        <v>#N/A</v>
      </c>
      <c r="O1306" s="38" t="str">
        <f t="shared" si="6"/>
        <v>Marked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</row>
    <row r="1307" ht="12.75" customHeight="1">
      <c r="A1307" s="19" t="str">
        <f t="shared" si="4"/>
        <v>Oscar Kneppers kneppers</v>
      </c>
      <c r="B1307" s="19" t="s">
        <v>7710</v>
      </c>
      <c r="C1307" s="60" t="s">
        <v>1966</v>
      </c>
      <c r="D1307" s="60" t="s">
        <v>4147</v>
      </c>
      <c r="E1307" s="62" t="s">
        <v>7711</v>
      </c>
      <c r="F1307" s="64" t="s">
        <v>7712</v>
      </c>
      <c r="G1307" s="42" t="s">
        <v>1306</v>
      </c>
      <c r="H1307" s="25" t="s">
        <v>139</v>
      </c>
      <c r="I1307" s="34"/>
      <c r="J1307" s="35" t="s">
        <v>7713</v>
      </c>
      <c r="K1307" s="27" t="s">
        <v>50</v>
      </c>
      <c r="L1307" s="13" t="s">
        <v>7714</v>
      </c>
      <c r="M1307" s="26" t="str">
        <f>VLOOKUP(E1307,'MTS 2026 registrations'!B:B,1,false)</f>
        <v>#N/A</v>
      </c>
      <c r="N1307" s="26" t="str">
        <f>VLOOKUP(B1307,'MTS 2026 registrations'!A:A,1,false)</f>
        <v>#N/A</v>
      </c>
      <c r="O1307" s="38" t="str">
        <f t="shared" si="6"/>
        <v>Marked</v>
      </c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</row>
    <row r="1308" ht="12.75" customHeight="1">
      <c r="A1308" s="19" t="str">
        <f t="shared" si="4"/>
        <v>Ot Messemaker Skytree (Giaura)</v>
      </c>
      <c r="B1308" s="19" t="s">
        <v>7715</v>
      </c>
      <c r="C1308" s="29" t="s">
        <v>7716</v>
      </c>
      <c r="D1308" s="29" t="s">
        <v>7717</v>
      </c>
      <c r="E1308" s="31" t="s">
        <v>7718</v>
      </c>
      <c r="F1308" s="33" t="s">
        <v>3253</v>
      </c>
      <c r="G1308" s="24" t="s">
        <v>46</v>
      </c>
      <c r="H1308" s="25" t="s">
        <v>47</v>
      </c>
      <c r="I1308" s="34"/>
      <c r="J1308" s="35" t="s">
        <v>7719</v>
      </c>
      <c r="K1308" s="27" t="s">
        <v>50</v>
      </c>
      <c r="L1308" s="13" t="s">
        <v>7720</v>
      </c>
      <c r="M1308" s="26" t="str">
        <f>VLOOKUP(E1308,'MTS 2026 registrations'!B:B,1,false)</f>
        <v>#N/A</v>
      </c>
      <c r="N1308" s="26" t="str">
        <f>VLOOKUP(B1308,'MTS 2026 registrations'!A:A,1,false)</f>
        <v>#N/A</v>
      </c>
      <c r="O1308" s="38" t="str">
        <f t="shared" si="6"/>
        <v>Marked</v>
      </c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</row>
    <row r="1309" ht="12.75" customHeight="1">
      <c r="A1309" s="19" t="str">
        <f t="shared" si="4"/>
        <v>Ouafa Oualhadj tweedekamer</v>
      </c>
      <c r="B1309" s="19" t="s">
        <v>7721</v>
      </c>
      <c r="C1309" s="43" t="s">
        <v>7722</v>
      </c>
      <c r="D1309" s="43" t="s">
        <v>7723</v>
      </c>
      <c r="E1309" s="31" t="s">
        <v>7724</v>
      </c>
      <c r="F1309" s="33" t="s">
        <v>7725</v>
      </c>
      <c r="G1309" s="32" t="s">
        <v>323</v>
      </c>
      <c r="H1309" s="25" t="s">
        <v>139</v>
      </c>
      <c r="I1309" s="34"/>
      <c r="J1309" s="35" t="s">
        <v>7726</v>
      </c>
      <c r="K1309" s="27" t="s">
        <v>50</v>
      </c>
      <c r="L1309" s="25" t="s">
        <v>7727</v>
      </c>
      <c r="M1309" s="26" t="str">
        <f>VLOOKUP(E1309,'MTS 2026 registrations'!B:B,1,false)</f>
        <v>#N/A</v>
      </c>
      <c r="N1309" s="26" t="str">
        <f>VLOOKUP(B1309,'MTS 2026 registrations'!A:A,1,false)</f>
        <v>#N/A</v>
      </c>
      <c r="O1309" s="38" t="str">
        <f t="shared" si="6"/>
        <v>Marked</v>
      </c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</row>
    <row r="1310" ht="12.75" customHeight="1">
      <c r="A1310" s="19" t="str">
        <f t="shared" si="4"/>
        <v>Ozhan Atmaca regbes</v>
      </c>
      <c r="B1310" s="19" t="s">
        <v>7728</v>
      </c>
      <c r="C1310" s="20" t="s">
        <v>7729</v>
      </c>
      <c r="D1310" s="120" t="s">
        <v>7730</v>
      </c>
      <c r="E1310" s="94" t="s">
        <v>7731</v>
      </c>
      <c r="F1310" s="23" t="s">
        <v>7344</v>
      </c>
      <c r="G1310" s="32" t="s">
        <v>46</v>
      </c>
      <c r="H1310" s="25" t="s">
        <v>47</v>
      </c>
      <c r="I1310" s="34"/>
      <c r="J1310" s="35" t="s">
        <v>7732</v>
      </c>
      <c r="K1310" s="27" t="s">
        <v>50</v>
      </c>
      <c r="L1310" s="13" t="s">
        <v>7733</v>
      </c>
      <c r="M1310" s="26" t="str">
        <f>VLOOKUP(E1310,'MTS 2026 registrations'!B:B,1,false)</f>
        <v>#N/A</v>
      </c>
      <c r="N1310" s="26" t="str">
        <f>VLOOKUP(B1310,'MTS 2026 registrations'!A:A,1,false)</f>
        <v>#N/A</v>
      </c>
      <c r="O1310" s="38" t="str">
        <f t="shared" si="6"/>
        <v>Marked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</row>
    <row r="1311" ht="12.75" customHeight="1">
      <c r="A1311" s="19" t="str">
        <f t="shared" si="4"/>
        <v>P Vliet Alert Solutions</v>
      </c>
      <c r="B1311" s="19" t="s">
        <v>7734</v>
      </c>
      <c r="C1311" s="29" t="s">
        <v>7735</v>
      </c>
      <c r="D1311" s="29" t="s">
        <v>7736</v>
      </c>
      <c r="E1311" s="31" t="s">
        <v>7737</v>
      </c>
      <c r="F1311" s="33" t="s">
        <v>4613</v>
      </c>
      <c r="G1311" s="32" t="s">
        <v>46</v>
      </c>
      <c r="H1311" s="25" t="s">
        <v>47</v>
      </c>
      <c r="I1311" s="34"/>
      <c r="J1311" s="35" t="s">
        <v>7738</v>
      </c>
      <c r="K1311" s="27" t="s">
        <v>50</v>
      </c>
      <c r="L1311" s="13" t="s">
        <v>7739</v>
      </c>
      <c r="M1311" s="26" t="str">
        <f>VLOOKUP(E1311,'MTS 2026 registrations'!B:B,1,false)</f>
        <v>#N/A</v>
      </c>
      <c r="N1311" s="26" t="str">
        <f>VLOOKUP(B1311,'MTS 2026 registrations'!A:A,1,false)</f>
        <v>#N/A</v>
      </c>
      <c r="O1311" s="38" t="str">
        <f t="shared" si="6"/>
        <v>Marked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</row>
    <row r="1312" ht="12.75" customHeight="1">
      <c r="A1312" s="19" t="str">
        <f t="shared" si="4"/>
        <v>Pablo Benéitez yesdelft</v>
      </c>
      <c r="B1312" s="19" t="s">
        <v>7740</v>
      </c>
      <c r="C1312" s="20" t="s">
        <v>2939</v>
      </c>
      <c r="D1312" s="20" t="s">
        <v>7741</v>
      </c>
      <c r="E1312" s="21" t="s">
        <v>7742</v>
      </c>
      <c r="F1312" s="23" t="s">
        <v>2267</v>
      </c>
      <c r="G1312" s="24" t="s">
        <v>29</v>
      </c>
      <c r="H1312" s="25" t="s">
        <v>139</v>
      </c>
      <c r="I1312" s="26"/>
      <c r="J1312" s="35" t="s">
        <v>7743</v>
      </c>
      <c r="K1312" s="27" t="s">
        <v>50</v>
      </c>
      <c r="L1312" s="13" t="s">
        <v>7744</v>
      </c>
      <c r="M1312" s="26" t="str">
        <f>VLOOKUP(E1312,'MTS 2026 registrations'!B:B,1,false)</f>
        <v>#N/A</v>
      </c>
      <c r="N1312" s="26" t="str">
        <f>VLOOKUP(B1312,'MTS 2026 registrations'!A:A,1,false)</f>
        <v>#N/A</v>
      </c>
      <c r="O1312" s="38" t="str">
        <f t="shared" si="6"/>
        <v>Marked</v>
      </c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</row>
    <row r="1313" ht="12.75" customHeight="1">
      <c r="A1313" s="19" t="str">
        <f t="shared" si="4"/>
        <v>Panos Doulgeris direc</v>
      </c>
      <c r="B1313" s="19" t="s">
        <v>7745</v>
      </c>
      <c r="C1313" s="20" t="s">
        <v>7746</v>
      </c>
      <c r="D1313" s="20" t="s">
        <v>7747</v>
      </c>
      <c r="E1313" s="21" t="s">
        <v>7748</v>
      </c>
      <c r="F1313" s="23" t="s">
        <v>4375</v>
      </c>
      <c r="G1313" s="32" t="s">
        <v>46</v>
      </c>
      <c r="H1313" s="25" t="s">
        <v>47</v>
      </c>
      <c r="I1313" s="23"/>
      <c r="J1313" s="35" t="s">
        <v>7749</v>
      </c>
      <c r="K1313" s="27" t="s">
        <v>50</v>
      </c>
      <c r="L1313" s="13" t="s">
        <v>7750</v>
      </c>
      <c r="M1313" s="26" t="str">
        <f>VLOOKUP(E1313,'MTS 2026 registrations'!B:B,1,false)</f>
        <v>#N/A</v>
      </c>
      <c r="N1313" s="26" t="str">
        <f>VLOOKUP(B1313,'MTS 2026 registrations'!A:A,1,false)</f>
        <v>#N/A</v>
      </c>
      <c r="O1313" s="38" t="str">
        <f t="shared" si="6"/>
        <v>Marked</v>
      </c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34"/>
      <c r="AE1313" s="34"/>
    </row>
    <row r="1314" ht="12.75" customHeight="1">
      <c r="A1314" s="19" t="str">
        <f t="shared" si="4"/>
        <v>Parya Lotfi DuckDuckGoose</v>
      </c>
      <c r="B1314" s="19" t="s">
        <v>7751</v>
      </c>
      <c r="C1314" s="29" t="s">
        <v>7752</v>
      </c>
      <c r="D1314" s="29" t="s">
        <v>7753</v>
      </c>
      <c r="E1314" s="62" t="s">
        <v>7754</v>
      </c>
      <c r="F1314" s="50" t="s">
        <v>7755</v>
      </c>
      <c r="G1314" s="32" t="s">
        <v>46</v>
      </c>
      <c r="H1314" s="25" t="s">
        <v>139</v>
      </c>
      <c r="I1314" s="34"/>
      <c r="J1314" s="35" t="s">
        <v>7756</v>
      </c>
      <c r="K1314" s="27" t="s">
        <v>50</v>
      </c>
      <c r="L1314" s="13" t="s">
        <v>7757</v>
      </c>
      <c r="M1314" s="26" t="str">
        <f>VLOOKUP(E1314,'MTS 2026 registrations'!B:B,1,false)</f>
        <v>#N/A</v>
      </c>
      <c r="N1314" s="26" t="str">
        <f>VLOOKUP(B1314,'MTS 2026 registrations'!A:A,1,false)</f>
        <v>Parya Lotfi</v>
      </c>
      <c r="O1314" s="38" t="str">
        <f t="shared" si="6"/>
        <v/>
      </c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23"/>
      <c r="AE1314" s="23"/>
    </row>
    <row r="1315" ht="12.75" customHeight="1">
      <c r="A1315" s="19" t="str">
        <f t="shared" si="4"/>
        <v>Pascal van Gimst Keysight technologies</v>
      </c>
      <c r="B1315" s="19" t="s">
        <v>7758</v>
      </c>
      <c r="C1315" s="13" t="s">
        <v>285</v>
      </c>
      <c r="D1315" s="116" t="s">
        <v>7759</v>
      </c>
      <c r="E1315" s="169" t="s">
        <v>7760</v>
      </c>
      <c r="F1315" s="66" t="s">
        <v>7761</v>
      </c>
      <c r="G1315" s="24" t="s">
        <v>225</v>
      </c>
      <c r="H1315" s="25" t="s">
        <v>47</v>
      </c>
      <c r="I1315" s="34"/>
      <c r="J1315" s="35" t="s">
        <v>7762</v>
      </c>
      <c r="K1315" s="27" t="s">
        <v>50</v>
      </c>
      <c r="L1315" s="13" t="s">
        <v>7763</v>
      </c>
      <c r="M1315" s="26" t="str">
        <f>VLOOKUP(E1315,'MTS 2026 registrations'!B:B,1,false)</f>
        <v>#N/A</v>
      </c>
      <c r="N1315" s="26" t="str">
        <f>VLOOKUP(B1315,'MTS 2026 registrations'!A:A,1,false)</f>
        <v>#N/A</v>
      </c>
      <c r="O1315" s="38" t="str">
        <f t="shared" si="6"/>
        <v>Marked</v>
      </c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</row>
    <row r="1316" ht="12.75" customHeight="1">
      <c r="A1316" s="19" t="str">
        <f t="shared" si="4"/>
        <v>Patrick De Ruiter Rabobank</v>
      </c>
      <c r="B1316" s="19" t="s">
        <v>7764</v>
      </c>
      <c r="C1316" s="29" t="s">
        <v>501</v>
      </c>
      <c r="D1316" s="29" t="s">
        <v>7765</v>
      </c>
      <c r="E1316" s="76" t="s">
        <v>7766</v>
      </c>
      <c r="F1316" s="49" t="s">
        <v>66</v>
      </c>
      <c r="G1316" s="42" t="s">
        <v>69</v>
      </c>
      <c r="H1316" s="25" t="s">
        <v>139</v>
      </c>
      <c r="I1316" s="34"/>
      <c r="J1316" s="35" t="s">
        <v>7767</v>
      </c>
      <c r="K1316" s="27" t="s">
        <v>50</v>
      </c>
      <c r="L1316" s="13" t="s">
        <v>7768</v>
      </c>
      <c r="M1316" s="26" t="str">
        <f>VLOOKUP(E1316,'MTS 2026 registrations'!B:B,1,false)</f>
        <v>#N/A</v>
      </c>
      <c r="N1316" s="26" t="str">
        <f>VLOOKUP(B1316,'MTS 2026 registrations'!A:A,1,false)</f>
        <v>#N/A</v>
      </c>
      <c r="O1316" s="38" t="str">
        <f t="shared" si="6"/>
        <v>Marked</v>
      </c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23"/>
      <c r="AE1316" s="23"/>
    </row>
    <row r="1317" ht="12.75" customHeight="1">
      <c r="A1317" s="19" t="str">
        <f t="shared" si="4"/>
        <v>Patrick van den Ende tribess</v>
      </c>
      <c r="B1317" s="19" t="s">
        <v>7769</v>
      </c>
      <c r="C1317" s="20" t="s">
        <v>501</v>
      </c>
      <c r="D1317" s="20" t="s">
        <v>7770</v>
      </c>
      <c r="E1317" s="21" t="s">
        <v>7771</v>
      </c>
      <c r="F1317" s="23" t="s">
        <v>649</v>
      </c>
      <c r="G1317" s="32" t="s">
        <v>46</v>
      </c>
      <c r="H1317" s="25" t="s">
        <v>47</v>
      </c>
      <c r="I1317" s="26"/>
      <c r="J1317" s="35" t="s">
        <v>7772</v>
      </c>
      <c r="K1317" s="27" t="s">
        <v>50</v>
      </c>
      <c r="L1317" s="13" t="s">
        <v>7773</v>
      </c>
      <c r="M1317" s="26" t="str">
        <f>VLOOKUP(E1317,'MTS 2026 registrations'!B:B,1,false)</f>
        <v>#N/A</v>
      </c>
      <c r="N1317" s="26" t="str">
        <f>VLOOKUP(B1317,'MTS 2026 registrations'!A:A,1,false)</f>
        <v>#N/A</v>
      </c>
      <c r="O1317" s="38" t="str">
        <f t="shared" si="6"/>
        <v>Marked</v>
      </c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</row>
    <row r="1318" ht="12.75" customHeight="1">
      <c r="A1318" s="19" t="str">
        <f t="shared" si="4"/>
        <v>Patrick Wilson Stedin</v>
      </c>
      <c r="B1318" s="19" t="s">
        <v>7774</v>
      </c>
      <c r="C1318" s="156" t="s">
        <v>501</v>
      </c>
      <c r="D1318" s="156" t="s">
        <v>7775</v>
      </c>
      <c r="E1318" s="50" t="s">
        <v>7776</v>
      </c>
      <c r="F1318" s="50" t="s">
        <v>7777</v>
      </c>
      <c r="G1318" s="24" t="s">
        <v>225</v>
      </c>
      <c r="H1318" s="25" t="s">
        <v>47</v>
      </c>
      <c r="I1318" s="34"/>
      <c r="J1318" s="35" t="s">
        <v>7778</v>
      </c>
      <c r="K1318" s="27" t="s">
        <v>50</v>
      </c>
      <c r="L1318" s="13" t="s">
        <v>7779</v>
      </c>
      <c r="M1318" s="26" t="str">
        <f>VLOOKUP(E1318,'MTS 2026 registrations'!B:B,1,false)</f>
        <v>#N/A</v>
      </c>
      <c r="N1318" s="26" t="str">
        <f>VLOOKUP(B1318,'MTS 2026 registrations'!A:A,1,false)</f>
        <v>#N/A</v>
      </c>
      <c r="O1318" s="38" t="str">
        <f t="shared" si="6"/>
        <v>Marked</v>
      </c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</row>
    <row r="1319" ht="12.75" customHeight="1">
      <c r="A1319" s="19" t="str">
        <f t="shared" si="4"/>
        <v>Patrick Polak newion</v>
      </c>
      <c r="B1319" s="19" t="s">
        <v>7780</v>
      </c>
      <c r="C1319" s="20" t="s">
        <v>501</v>
      </c>
      <c r="D1319" s="20" t="s">
        <v>7781</v>
      </c>
      <c r="E1319" s="21" t="s">
        <v>7782</v>
      </c>
      <c r="F1319" s="23" t="s">
        <v>7783</v>
      </c>
      <c r="G1319" s="24" t="s">
        <v>163</v>
      </c>
      <c r="H1319" s="25" t="s">
        <v>164</v>
      </c>
      <c r="I1319" s="34"/>
      <c r="J1319" s="35" t="s">
        <v>7784</v>
      </c>
      <c r="K1319" s="27" t="s">
        <v>50</v>
      </c>
      <c r="L1319" s="13" t="s">
        <v>7785</v>
      </c>
      <c r="M1319" s="26" t="str">
        <f>VLOOKUP(E1319,'MTS 2026 registrations'!B:B,1,false)</f>
        <v>#N/A</v>
      </c>
      <c r="N1319" s="26" t="str">
        <f>VLOOKUP(B1319,'MTS 2026 registrations'!A:A,1,false)</f>
        <v>#N/A</v>
      </c>
      <c r="O1319" s="38" t="str">
        <f t="shared" si="6"/>
        <v>Marked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</row>
    <row r="1320" ht="12.75" customHeight="1">
      <c r="A1320" s="19" t="str">
        <f t="shared" si="4"/>
        <v>Patrick Van de Mosselaer RE:Wire Ventures</v>
      </c>
      <c r="B1320" s="19" t="s">
        <v>7786</v>
      </c>
      <c r="C1320" s="20" t="s">
        <v>501</v>
      </c>
      <c r="D1320" s="20" t="s">
        <v>7787</v>
      </c>
      <c r="E1320" s="21" t="s">
        <v>7788</v>
      </c>
      <c r="F1320" s="49" t="s">
        <v>7789</v>
      </c>
      <c r="G1320" s="24" t="s">
        <v>163</v>
      </c>
      <c r="H1320" s="26" t="s">
        <v>164</v>
      </c>
      <c r="I1320" s="13"/>
      <c r="J1320" s="35" t="s">
        <v>7790</v>
      </c>
      <c r="K1320" s="27" t="s">
        <v>50</v>
      </c>
      <c r="L1320" s="25" t="s">
        <v>7791</v>
      </c>
      <c r="M1320" s="26" t="str">
        <f>VLOOKUP(E1320,'MTS 2026 registrations'!B:B,1,false)</f>
        <v>#N/A</v>
      </c>
      <c r="N1320" s="26" t="str">
        <f>VLOOKUP(B1320,'MTS 2026 registrations'!A:A,1,false)</f>
        <v>#N/A</v>
      </c>
      <c r="O1320" s="38" t="str">
        <f t="shared" si="6"/>
        <v>Marked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</row>
    <row r="1321" ht="12.75" customHeight="1">
      <c r="A1321" s="19" t="str">
        <f t="shared" si="4"/>
        <v>Paul Broersen </v>
      </c>
      <c r="B1321" s="19" t="s">
        <v>7792</v>
      </c>
      <c r="C1321" s="116" t="s">
        <v>953</v>
      </c>
      <c r="D1321" s="116" t="s">
        <v>7793</v>
      </c>
      <c r="E1321" s="123" t="s">
        <v>7794</v>
      </c>
      <c r="F1321" s="23"/>
      <c r="G1321" s="24"/>
      <c r="H1321" s="25" t="s">
        <v>139</v>
      </c>
      <c r="I1321" s="26"/>
      <c r="J1321" s="133" t="s">
        <v>7795</v>
      </c>
      <c r="K1321" s="27" t="s">
        <v>50</v>
      </c>
      <c r="L1321" s="13" t="s">
        <v>7796</v>
      </c>
      <c r="M1321" s="26" t="str">
        <f>VLOOKUP(E1321,'MTS 2026 registrations'!B:B,1,false)</f>
        <v>broersenpm@gmail.com</v>
      </c>
      <c r="N1321" s="26"/>
      <c r="O1321" s="38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23"/>
      <c r="AD1321" s="23"/>
      <c r="AE1321" s="23"/>
    </row>
    <row r="1322" ht="12.75" customHeight="1">
      <c r="A1322" s="19" t="str">
        <f t="shared" si="4"/>
        <v>Paul Schydlo jaide</v>
      </c>
      <c r="B1322" s="19" t="s">
        <v>7797</v>
      </c>
      <c r="C1322" s="20" t="s">
        <v>953</v>
      </c>
      <c r="D1322" s="20" t="s">
        <v>7798</v>
      </c>
      <c r="E1322" s="21" t="s">
        <v>7799</v>
      </c>
      <c r="F1322" s="23" t="s">
        <v>7800</v>
      </c>
      <c r="G1322" s="32" t="s">
        <v>46</v>
      </c>
      <c r="H1322" s="25" t="s">
        <v>47</v>
      </c>
      <c r="I1322" s="34"/>
      <c r="J1322" s="35" t="s">
        <v>7801</v>
      </c>
      <c r="K1322" s="27" t="s">
        <v>50</v>
      </c>
      <c r="L1322" s="13" t="s">
        <v>7802</v>
      </c>
      <c r="M1322" s="26" t="str">
        <f>VLOOKUP(E1322,'MTS 2026 registrations'!B:B,1,false)</f>
        <v>#N/A</v>
      </c>
      <c r="N1322" s="26" t="str">
        <f>VLOOKUP(B1322,'MTS 2026 registrations'!A:A,1,false)</f>
        <v>#N/A</v>
      </c>
      <c r="O1322" s="38" t="str">
        <f t="shared" ref="O1322:O1353" si="7">IF(AND(ISNA(M1322), ISNA(N1322)), "Marked", "")</f>
        <v>Marked</v>
      </c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</row>
    <row r="1323" ht="12.75" customHeight="1">
      <c r="A1323" s="19" t="str">
        <f t="shared" si="4"/>
        <v>Paul Van den Hout Angel</v>
      </c>
      <c r="B1323" s="19" t="s">
        <v>7803</v>
      </c>
      <c r="C1323" s="20" t="s">
        <v>953</v>
      </c>
      <c r="D1323" s="20" t="s">
        <v>7804</v>
      </c>
      <c r="E1323" s="21" t="s">
        <v>7805</v>
      </c>
      <c r="F1323" s="49" t="s">
        <v>1430</v>
      </c>
      <c r="G1323" s="24" t="s">
        <v>163</v>
      </c>
      <c r="H1323" s="26" t="s">
        <v>164</v>
      </c>
      <c r="I1323" s="13"/>
      <c r="J1323" s="35" t="s">
        <v>7806</v>
      </c>
      <c r="K1323" s="27" t="s">
        <v>50</v>
      </c>
      <c r="L1323" s="25" t="s">
        <v>7807</v>
      </c>
      <c r="M1323" s="26" t="str">
        <f>VLOOKUP(E1323,'MTS 2026 registrations'!B:B,1,false)</f>
        <v>#N/A</v>
      </c>
      <c r="N1323" s="26" t="str">
        <f>VLOOKUP(B1323,'MTS 2026 registrations'!A:A,1,false)</f>
        <v>#N/A</v>
      </c>
      <c r="O1323" s="38" t="str">
        <f t="shared" si="7"/>
        <v>Marked</v>
      </c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</row>
    <row r="1324" ht="12.75" customHeight="1">
      <c r="A1324" s="19" t="str">
        <f t="shared" si="4"/>
        <v>Paul van Riel Angel</v>
      </c>
      <c r="B1324" s="19" t="s">
        <v>7808</v>
      </c>
      <c r="C1324" s="20" t="s">
        <v>953</v>
      </c>
      <c r="D1324" s="20" t="s">
        <v>7809</v>
      </c>
      <c r="E1324" s="21" t="s">
        <v>7810</v>
      </c>
      <c r="F1324" s="49" t="s">
        <v>1430</v>
      </c>
      <c r="G1324" s="24" t="s">
        <v>163</v>
      </c>
      <c r="H1324" s="26" t="s">
        <v>164</v>
      </c>
      <c r="I1324" s="13"/>
      <c r="J1324" s="35" t="s">
        <v>7811</v>
      </c>
      <c r="K1324" s="27" t="s">
        <v>50</v>
      </c>
      <c r="L1324" s="25" t="s">
        <v>7812</v>
      </c>
      <c r="M1324" s="26" t="str">
        <f>VLOOKUP(E1324,'MTS 2026 registrations'!B:B,1,false)</f>
        <v>#N/A</v>
      </c>
      <c r="N1324" s="26" t="str">
        <f>VLOOKUP(B1324,'MTS 2026 registrations'!A:A,1,false)</f>
        <v>#N/A</v>
      </c>
      <c r="O1324" s="38" t="str">
        <f t="shared" si="7"/>
        <v>Marked</v>
      </c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</row>
    <row r="1325" ht="12.75" customHeight="1">
      <c r="A1325" s="19" t="str">
        <f t="shared" si="4"/>
        <v>Paul van Grevenstein </v>
      </c>
      <c r="B1325" s="19" t="s">
        <v>7813</v>
      </c>
      <c r="C1325" s="138" t="s">
        <v>953</v>
      </c>
      <c r="D1325" s="138" t="s">
        <v>7814</v>
      </c>
      <c r="E1325" s="31" t="s">
        <v>7815</v>
      </c>
      <c r="F1325" s="52"/>
      <c r="G1325" s="24" t="s">
        <v>225</v>
      </c>
      <c r="H1325" s="25" t="s">
        <v>139</v>
      </c>
      <c r="I1325" s="26" t="s">
        <v>188</v>
      </c>
      <c r="J1325" s="35" t="s">
        <v>7816</v>
      </c>
      <c r="K1325" s="27" t="s">
        <v>50</v>
      </c>
      <c r="L1325" s="13" t="s">
        <v>7817</v>
      </c>
      <c r="M1325" s="26" t="str">
        <f>VLOOKUP(E1325,'MTS 2026 registrations'!B:B,1,false)</f>
        <v>#N/A</v>
      </c>
      <c r="N1325" s="26" t="str">
        <f>VLOOKUP(B1325,'MTS 2026 registrations'!A:A,1,false)</f>
        <v>#N/A</v>
      </c>
      <c r="O1325" s="38" t="str">
        <f t="shared" si="7"/>
        <v>Marked</v>
      </c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</row>
    <row r="1326" ht="12.75" customHeight="1">
      <c r="A1326" s="19" t="str">
        <f t="shared" si="4"/>
        <v>Pauline Wink-Zaanen 4impact</v>
      </c>
      <c r="B1326" s="19" t="s">
        <v>7818</v>
      </c>
      <c r="C1326" s="20" t="s">
        <v>7819</v>
      </c>
      <c r="D1326" s="20" t="s">
        <v>7820</v>
      </c>
      <c r="E1326" s="21" t="s">
        <v>7821</v>
      </c>
      <c r="F1326" s="23" t="s">
        <v>3239</v>
      </c>
      <c r="G1326" s="24" t="s">
        <v>163</v>
      </c>
      <c r="H1326" s="25" t="s">
        <v>164</v>
      </c>
      <c r="I1326" s="26"/>
      <c r="J1326" s="35" t="s">
        <v>7822</v>
      </c>
      <c r="K1326" s="27" t="s">
        <v>50</v>
      </c>
      <c r="L1326" s="13" t="s">
        <v>7823</v>
      </c>
      <c r="M1326" s="26" t="str">
        <f>VLOOKUP(E1326,'MTS 2026 registrations'!B:B,1,false)</f>
        <v>#N/A</v>
      </c>
      <c r="N1326" s="26" t="str">
        <f>VLOOKUP(B1326,'MTS 2026 registrations'!A:A,1,false)</f>
        <v>#N/A</v>
      </c>
      <c r="O1326" s="38" t="str">
        <f t="shared" si="7"/>
        <v>Marked</v>
      </c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</row>
    <row r="1327" ht="12.75" customHeight="1">
      <c r="A1327" s="19" t="str">
        <f t="shared" si="4"/>
        <v>Pavel Cholakov Independent</v>
      </c>
      <c r="B1327" s="19" t="s">
        <v>7824</v>
      </c>
      <c r="C1327" s="116" t="s">
        <v>1358</v>
      </c>
      <c r="D1327" s="116" t="s">
        <v>7825</v>
      </c>
      <c r="E1327" s="112" t="s">
        <v>7826</v>
      </c>
      <c r="F1327" s="66" t="s">
        <v>1209</v>
      </c>
      <c r="G1327" s="24" t="s">
        <v>225</v>
      </c>
      <c r="H1327" s="25" t="s">
        <v>47</v>
      </c>
      <c r="I1327" s="34"/>
      <c r="J1327" s="35" t="s">
        <v>7827</v>
      </c>
      <c r="K1327" s="27" t="s">
        <v>50</v>
      </c>
      <c r="L1327" s="13" t="s">
        <v>7828</v>
      </c>
      <c r="M1327" s="26" t="str">
        <f>VLOOKUP(E1327,'MTS 2026 registrations'!B:B,1,false)</f>
        <v>p.v.cholakov@gmail.com</v>
      </c>
      <c r="N1327" s="26" t="str">
        <f>VLOOKUP(B1327,'MTS 2026 registrations'!A:A,1,false)</f>
        <v>Pavel Cholakov</v>
      </c>
      <c r="O1327" s="38" t="str">
        <f t="shared" si="7"/>
        <v/>
      </c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</row>
    <row r="1328" ht="12.75" customHeight="1">
      <c r="A1328" s="19" t="str">
        <f t="shared" si="4"/>
        <v>Pearse Coyle Deeptech Seed Fund</v>
      </c>
      <c r="B1328" s="19" t="s">
        <v>7829</v>
      </c>
      <c r="C1328" s="20" t="s">
        <v>7830</v>
      </c>
      <c r="D1328" s="20" t="s">
        <v>7831</v>
      </c>
      <c r="E1328" s="21" t="s">
        <v>7832</v>
      </c>
      <c r="F1328" s="49" t="s">
        <v>7833</v>
      </c>
      <c r="G1328" s="24" t="s">
        <v>163</v>
      </c>
      <c r="H1328" s="26" t="s">
        <v>164</v>
      </c>
      <c r="I1328" s="13"/>
      <c r="J1328" s="35" t="s">
        <v>7834</v>
      </c>
      <c r="K1328" s="27" t="s">
        <v>50</v>
      </c>
      <c r="L1328" s="25" t="s">
        <v>7835</v>
      </c>
      <c r="M1328" s="26" t="str">
        <f>VLOOKUP(E1328,'MTS 2026 registrations'!B:B,1,false)</f>
        <v>pc@deeptechseedfund.com</v>
      </c>
      <c r="N1328" s="26" t="str">
        <f>VLOOKUP(B1328,'MTS 2026 registrations'!A:A,1,false)</f>
        <v>Pearse Coyle</v>
      </c>
      <c r="O1328" s="38" t="str">
        <f t="shared" si="7"/>
        <v/>
      </c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</row>
    <row r="1329" ht="12.75" customHeight="1">
      <c r="A1329" s="19" t="str">
        <f t="shared" si="4"/>
        <v>Pedja Jerinic keepyourhomeip</v>
      </c>
      <c r="B1329" s="19" t="s">
        <v>7836</v>
      </c>
      <c r="C1329" s="29" t="s">
        <v>7837</v>
      </c>
      <c r="D1329" s="29" t="s">
        <v>7838</v>
      </c>
      <c r="E1329" s="31" t="s">
        <v>7839</v>
      </c>
      <c r="F1329" s="113" t="s">
        <v>7840</v>
      </c>
      <c r="G1329" s="32" t="s">
        <v>46</v>
      </c>
      <c r="H1329" s="25" t="s">
        <v>47</v>
      </c>
      <c r="I1329" s="34"/>
      <c r="J1329" s="35" t="s">
        <v>7841</v>
      </c>
      <c r="K1329" s="27" t="s">
        <v>50</v>
      </c>
      <c r="L1329" s="13" t="s">
        <v>7842</v>
      </c>
      <c r="M1329" s="26" t="str">
        <f>VLOOKUP(E1329,'MTS 2026 registrations'!B:B,1,false)</f>
        <v>#N/A</v>
      </c>
      <c r="N1329" s="26" t="str">
        <f>VLOOKUP(B1329,'MTS 2026 registrations'!A:A,1,false)</f>
        <v>#N/A</v>
      </c>
      <c r="O1329" s="38" t="str">
        <f t="shared" si="7"/>
        <v>Marked</v>
      </c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</row>
    <row r="1330" ht="12.75" customHeight="1">
      <c r="A1330" s="19" t="str">
        <f t="shared" si="4"/>
        <v>Pejman Hafezi samsung</v>
      </c>
      <c r="B1330" s="19" t="s">
        <v>7843</v>
      </c>
      <c r="C1330" s="20" t="s">
        <v>7844</v>
      </c>
      <c r="D1330" s="20" t="s">
        <v>7845</v>
      </c>
      <c r="E1330" s="21" t="s">
        <v>7846</v>
      </c>
      <c r="F1330" s="23" t="s">
        <v>7847</v>
      </c>
      <c r="G1330" s="24" t="s">
        <v>163</v>
      </c>
      <c r="H1330" s="25" t="s">
        <v>164</v>
      </c>
      <c r="I1330" s="34"/>
      <c r="J1330" s="35" t="s">
        <v>7848</v>
      </c>
      <c r="K1330" s="27" t="s">
        <v>50</v>
      </c>
      <c r="L1330" s="13" t="s">
        <v>7849</v>
      </c>
      <c r="M1330" s="26" t="str">
        <f>VLOOKUP(E1330,'MTS 2026 registrations'!B:B,1,false)</f>
        <v>#N/A</v>
      </c>
      <c r="N1330" s="26" t="str">
        <f>VLOOKUP(B1330,'MTS 2026 registrations'!A:A,1,false)</f>
        <v>#N/A</v>
      </c>
      <c r="O1330" s="38" t="str">
        <f t="shared" si="7"/>
        <v>Marked</v>
      </c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</row>
    <row r="1331" ht="12.75" customHeight="1">
      <c r="A1331" s="19" t="str">
        <f t="shared" si="4"/>
        <v>Peter Haffinger direc</v>
      </c>
      <c r="B1331" s="19" t="s">
        <v>7850</v>
      </c>
      <c r="C1331" s="20" t="s">
        <v>520</v>
      </c>
      <c r="D1331" s="20" t="s">
        <v>7851</v>
      </c>
      <c r="E1331" s="21" t="s">
        <v>7852</v>
      </c>
      <c r="F1331" s="23" t="s">
        <v>4375</v>
      </c>
      <c r="G1331" s="32" t="s">
        <v>46</v>
      </c>
      <c r="H1331" s="25" t="s">
        <v>47</v>
      </c>
      <c r="I1331" s="23"/>
      <c r="J1331" s="35" t="s">
        <v>7853</v>
      </c>
      <c r="K1331" s="27" t="s">
        <v>50</v>
      </c>
      <c r="L1331" s="13" t="s">
        <v>7854</v>
      </c>
      <c r="M1331" s="26" t="str">
        <f>VLOOKUP(E1331,'MTS 2026 registrations'!B:B,1,false)</f>
        <v>#N/A</v>
      </c>
      <c r="N1331" s="26" t="str">
        <f>VLOOKUP(B1331,'MTS 2026 registrations'!A:A,1,false)</f>
        <v>#N/A</v>
      </c>
      <c r="O1331" s="38" t="str">
        <f t="shared" si="7"/>
        <v>Marked</v>
      </c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23"/>
      <c r="AD1331" s="34"/>
      <c r="AE1331" s="34"/>
    </row>
    <row r="1332" ht="12.75" customHeight="1">
      <c r="A1332" s="19" t="str">
        <f t="shared" si="4"/>
        <v>Peter Lucas tudelft</v>
      </c>
      <c r="B1332" s="19" t="s">
        <v>7855</v>
      </c>
      <c r="C1332" s="29" t="s">
        <v>520</v>
      </c>
      <c r="D1332" s="29" t="s">
        <v>221</v>
      </c>
      <c r="E1332" s="30" t="s">
        <v>7856</v>
      </c>
      <c r="F1332" s="29" t="s">
        <v>184</v>
      </c>
      <c r="G1332" s="32" t="s">
        <v>43</v>
      </c>
      <c r="H1332" s="13" t="s">
        <v>45</v>
      </c>
      <c r="I1332" s="34"/>
      <c r="J1332" s="35" t="s">
        <v>7857</v>
      </c>
      <c r="K1332" s="27" t="s">
        <v>50</v>
      </c>
      <c r="L1332" s="13" t="s">
        <v>7858</v>
      </c>
      <c r="M1332" s="26" t="str">
        <f>VLOOKUP(E1332,'MTS 2026 registrations'!B:B,1,false)</f>
        <v>#N/A</v>
      </c>
      <c r="N1332" s="26" t="str">
        <f>VLOOKUP(B1332,'MTS 2026 registrations'!A:A,1,false)</f>
        <v>#N/A</v>
      </c>
      <c r="O1332" s="38" t="str">
        <f t="shared" si="7"/>
        <v>Marked</v>
      </c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</row>
    <row r="1333" ht="12.75" customHeight="1">
      <c r="A1333" s="19" t="str">
        <f t="shared" si="4"/>
        <v>Peter Saarloos benedictpeax</v>
      </c>
      <c r="B1333" s="19" t="s">
        <v>7859</v>
      </c>
      <c r="C1333" s="20" t="s">
        <v>520</v>
      </c>
      <c r="D1333" s="20" t="s">
        <v>7860</v>
      </c>
      <c r="E1333" s="21" t="s">
        <v>7861</v>
      </c>
      <c r="F1333" s="23" t="s">
        <v>2195</v>
      </c>
      <c r="G1333" s="42" t="s">
        <v>69</v>
      </c>
      <c r="H1333" s="25" t="s">
        <v>164</v>
      </c>
      <c r="I1333" s="25" t="s">
        <v>7862</v>
      </c>
      <c r="J1333" s="35" t="s">
        <v>7863</v>
      </c>
      <c r="K1333" s="27" t="s">
        <v>50</v>
      </c>
      <c r="L1333" s="13" t="s">
        <v>7864</v>
      </c>
      <c r="M1333" s="26" t="str">
        <f>VLOOKUP(E1333,'MTS 2026 registrations'!B:B,1,false)</f>
        <v>#N/A</v>
      </c>
      <c r="N1333" s="26" t="str">
        <f>VLOOKUP(B1333,'MTS 2026 registrations'!A:A,1,false)</f>
        <v>#N/A</v>
      </c>
      <c r="O1333" s="38" t="str">
        <f t="shared" si="7"/>
        <v>Marked</v>
      </c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23"/>
      <c r="AE1333" s="23"/>
    </row>
    <row r="1334" ht="12.75" customHeight="1">
      <c r="A1334" s="19" t="str">
        <f t="shared" si="4"/>
        <v>Peter Goedvolk firstdutch</v>
      </c>
      <c r="B1334" s="19" t="s">
        <v>7865</v>
      </c>
      <c r="C1334" s="20" t="s">
        <v>520</v>
      </c>
      <c r="D1334" s="20" t="s">
        <v>7866</v>
      </c>
      <c r="E1334" s="21" t="s">
        <v>7867</v>
      </c>
      <c r="F1334" s="23" t="s">
        <v>7868</v>
      </c>
      <c r="G1334" s="24" t="s">
        <v>29</v>
      </c>
      <c r="H1334" s="25" t="s">
        <v>139</v>
      </c>
      <c r="I1334" s="34"/>
      <c r="J1334" s="35" t="s">
        <v>7869</v>
      </c>
      <c r="K1334" s="27" t="s">
        <v>50</v>
      </c>
      <c r="L1334" s="13" t="s">
        <v>7870</v>
      </c>
      <c r="M1334" s="26" t="str">
        <f>VLOOKUP(E1334,'MTS 2026 registrations'!B:B,1,false)</f>
        <v>#N/A</v>
      </c>
      <c r="N1334" s="26" t="str">
        <f>VLOOKUP(B1334,'MTS 2026 registrations'!A:A,1,false)</f>
        <v>#N/A</v>
      </c>
      <c r="O1334" s="38" t="str">
        <f t="shared" si="7"/>
        <v>Marked</v>
      </c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</row>
    <row r="1335" ht="12.75" customHeight="1">
      <c r="A1335" s="19" t="str">
        <f t="shared" si="4"/>
        <v>Peter Krekel Clinical Graphics</v>
      </c>
      <c r="B1335" s="19" t="s">
        <v>7871</v>
      </c>
      <c r="C1335" s="29" t="s">
        <v>520</v>
      </c>
      <c r="D1335" s="29" t="s">
        <v>7872</v>
      </c>
      <c r="E1335" s="62" t="s">
        <v>7873</v>
      </c>
      <c r="F1335" s="50" t="s">
        <v>7874</v>
      </c>
      <c r="G1335" s="32" t="s">
        <v>46</v>
      </c>
      <c r="H1335" s="25" t="s">
        <v>139</v>
      </c>
      <c r="I1335" s="13" t="s">
        <v>188</v>
      </c>
      <c r="J1335" s="35" t="s">
        <v>7875</v>
      </c>
      <c r="K1335" s="27" t="s">
        <v>50</v>
      </c>
      <c r="L1335" s="13" t="s">
        <v>7876</v>
      </c>
      <c r="M1335" s="26" t="str">
        <f>VLOOKUP(E1335,'MTS 2026 registrations'!B:B,1,false)</f>
        <v>#N/A</v>
      </c>
      <c r="N1335" s="26" t="str">
        <f>VLOOKUP(B1335,'MTS 2026 registrations'!A:A,1,false)</f>
        <v>#N/A</v>
      </c>
      <c r="O1335" s="38" t="str">
        <f t="shared" si="7"/>
        <v>Marked</v>
      </c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</row>
    <row r="1336" ht="12.75" customHeight="1">
      <c r="A1336" s="19" t="str">
        <f t="shared" si="4"/>
        <v>Peter Rutgers watermanventures</v>
      </c>
      <c r="B1336" s="19" t="s">
        <v>7877</v>
      </c>
      <c r="C1336" s="20" t="s">
        <v>520</v>
      </c>
      <c r="D1336" s="20" t="s">
        <v>7878</v>
      </c>
      <c r="E1336" s="21" t="s">
        <v>7879</v>
      </c>
      <c r="F1336" s="23" t="s">
        <v>3008</v>
      </c>
      <c r="G1336" s="24" t="s">
        <v>163</v>
      </c>
      <c r="H1336" s="25" t="s">
        <v>164</v>
      </c>
      <c r="I1336" s="26"/>
      <c r="J1336" s="35" t="s">
        <v>7880</v>
      </c>
      <c r="K1336" s="27" t="s">
        <v>50</v>
      </c>
      <c r="L1336" s="13" t="s">
        <v>7881</v>
      </c>
      <c r="M1336" s="26" t="str">
        <f>VLOOKUP(E1336,'MTS 2026 registrations'!B:B,1,false)</f>
        <v>#N/A</v>
      </c>
      <c r="N1336" s="26" t="str">
        <f>VLOOKUP(B1336,'MTS 2026 registrations'!A:A,1,false)</f>
        <v>#N/A</v>
      </c>
      <c r="O1336" s="38" t="str">
        <f t="shared" si="7"/>
        <v>Marked</v>
      </c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</row>
    <row r="1337" ht="12.75" customHeight="1">
      <c r="A1337" s="19" t="str">
        <f t="shared" si="4"/>
        <v>Peter Zeeuw van der Laan Independent</v>
      </c>
      <c r="B1337" s="19" t="s">
        <v>7882</v>
      </c>
      <c r="C1337" s="116" t="s">
        <v>520</v>
      </c>
      <c r="D1337" s="116" t="s">
        <v>7883</v>
      </c>
      <c r="E1337" s="112" t="s">
        <v>7884</v>
      </c>
      <c r="F1337" s="66" t="s">
        <v>1209</v>
      </c>
      <c r="G1337" s="24" t="s">
        <v>225</v>
      </c>
      <c r="H1337" s="25" t="s">
        <v>47</v>
      </c>
      <c r="I1337" s="34"/>
      <c r="J1337" s="35" t="s">
        <v>7885</v>
      </c>
      <c r="K1337" s="27" t="s">
        <v>50</v>
      </c>
      <c r="L1337" s="13" t="s">
        <v>7886</v>
      </c>
      <c r="M1337" s="26" t="str">
        <f>VLOOKUP(E1337,'MTS 2026 registrations'!B:B,1,false)</f>
        <v>#N/A</v>
      </c>
      <c r="N1337" s="26" t="str">
        <f>VLOOKUP(B1337,'MTS 2026 registrations'!A:A,1,false)</f>
        <v>#N/A</v>
      </c>
      <c r="O1337" s="38" t="str">
        <f t="shared" si="7"/>
        <v>Marked</v>
      </c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</row>
    <row r="1338" ht="12.75" customHeight="1">
      <c r="A1338" s="19" t="str">
        <f t="shared" si="4"/>
        <v>Peter Madlener mocs</v>
      </c>
      <c r="B1338" s="19" t="s">
        <v>7887</v>
      </c>
      <c r="C1338" s="20" t="s">
        <v>520</v>
      </c>
      <c r="D1338" s="20" t="s">
        <v>7888</v>
      </c>
      <c r="E1338" s="21" t="s">
        <v>7889</v>
      </c>
      <c r="F1338" s="23" t="s">
        <v>7890</v>
      </c>
      <c r="G1338" s="32" t="s">
        <v>46</v>
      </c>
      <c r="H1338" s="25" t="s">
        <v>47</v>
      </c>
      <c r="I1338" s="34"/>
      <c r="J1338" s="35" t="s">
        <v>7891</v>
      </c>
      <c r="K1338" s="27" t="s">
        <v>50</v>
      </c>
      <c r="L1338" s="13" t="s">
        <v>7892</v>
      </c>
      <c r="M1338" s="26" t="str">
        <f>VLOOKUP(E1338,'MTS 2026 registrations'!B:B,1,false)</f>
        <v>#N/A</v>
      </c>
      <c r="N1338" s="26" t="str">
        <f>VLOOKUP(B1338,'MTS 2026 registrations'!A:A,1,false)</f>
        <v>#N/A</v>
      </c>
      <c r="O1338" s="38" t="str">
        <f t="shared" si="7"/>
        <v>Marked</v>
      </c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</row>
    <row r="1339" ht="12.75" customHeight="1">
      <c r="A1339" s="19" t="str">
        <f t="shared" si="4"/>
        <v>Peter van Gelderen icoscapital</v>
      </c>
      <c r="B1339" s="19" t="s">
        <v>7893</v>
      </c>
      <c r="C1339" s="20" t="s">
        <v>520</v>
      </c>
      <c r="D1339" s="20" t="s">
        <v>7894</v>
      </c>
      <c r="E1339" s="31" t="s">
        <v>7895</v>
      </c>
      <c r="F1339" s="23" t="s">
        <v>7896</v>
      </c>
      <c r="G1339" s="24" t="s">
        <v>163</v>
      </c>
      <c r="H1339" s="25" t="s">
        <v>164</v>
      </c>
      <c r="I1339" s="34"/>
      <c r="J1339" s="35" t="s">
        <v>7897</v>
      </c>
      <c r="K1339" s="27" t="s">
        <v>50</v>
      </c>
      <c r="L1339" s="13" t="s">
        <v>7898</v>
      </c>
      <c r="M1339" s="26" t="str">
        <f>VLOOKUP(E1339,'MTS 2026 registrations'!B:B,1,false)</f>
        <v>#N/A</v>
      </c>
      <c r="N1339" s="26" t="str">
        <f>VLOOKUP(B1339,'MTS 2026 registrations'!A:A,1,false)</f>
        <v>#N/A</v>
      </c>
      <c r="O1339" s="38" t="str">
        <f t="shared" si="7"/>
        <v>Marked</v>
      </c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</row>
    <row r="1340" ht="12.75" customHeight="1">
      <c r="A1340" s="19" t="str">
        <f t="shared" si="4"/>
        <v>Peter Maarten Westerhout techleap</v>
      </c>
      <c r="B1340" s="19" t="s">
        <v>7899</v>
      </c>
      <c r="C1340" s="138" t="s">
        <v>7900</v>
      </c>
      <c r="D1340" s="138" t="s">
        <v>7901</v>
      </c>
      <c r="E1340" s="139" t="s">
        <v>7902</v>
      </c>
      <c r="F1340" s="23" t="s">
        <v>1952</v>
      </c>
      <c r="G1340" s="42" t="s">
        <v>69</v>
      </c>
      <c r="H1340" s="25" t="s">
        <v>139</v>
      </c>
      <c r="I1340" s="34"/>
      <c r="J1340" s="35" t="s">
        <v>7903</v>
      </c>
      <c r="K1340" s="27" t="s">
        <v>50</v>
      </c>
      <c r="L1340" s="13" t="s">
        <v>7904</v>
      </c>
      <c r="M1340" s="26" t="str">
        <f>VLOOKUP(E1340,'MTS 2026 registrations'!B:B,1,false)</f>
        <v>#N/A</v>
      </c>
      <c r="N1340" s="26" t="str">
        <f>VLOOKUP(B1340,'MTS 2026 registrations'!A:A,1,false)</f>
        <v>#N/A</v>
      </c>
      <c r="O1340" s="38" t="str">
        <f t="shared" si="7"/>
        <v>Marked</v>
      </c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</row>
    <row r="1341" ht="12.75" customHeight="1">
      <c r="A1341" s="19" t="str">
        <f t="shared" si="4"/>
        <v>Petya Georgieva erasmusmc</v>
      </c>
      <c r="B1341" s="19" t="s">
        <v>7905</v>
      </c>
      <c r="C1341" s="29" t="s">
        <v>7906</v>
      </c>
      <c r="D1341" s="29" t="s">
        <v>7907</v>
      </c>
      <c r="E1341" s="30" t="s">
        <v>7908</v>
      </c>
      <c r="F1341" s="29" t="s">
        <v>4303</v>
      </c>
      <c r="G1341" s="32" t="s">
        <v>43</v>
      </c>
      <c r="H1341" s="13" t="s">
        <v>45</v>
      </c>
      <c r="I1341" s="34"/>
      <c r="J1341" s="35" t="s">
        <v>7909</v>
      </c>
      <c r="K1341" s="27" t="s">
        <v>50</v>
      </c>
      <c r="L1341" s="13" t="s">
        <v>7910</v>
      </c>
      <c r="M1341" s="26" t="str">
        <f>VLOOKUP(E1341,'MTS 2026 registrations'!B:B,1,false)</f>
        <v>#N/A</v>
      </c>
      <c r="N1341" s="26" t="str">
        <f>VLOOKUP(B1341,'MTS 2026 registrations'!A:A,1,false)</f>
        <v>#N/A</v>
      </c>
      <c r="O1341" s="38" t="str">
        <f t="shared" si="7"/>
        <v>Marked</v>
      </c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</row>
    <row r="1342" ht="12.75" customHeight="1">
      <c r="A1342" s="19" t="str">
        <f t="shared" si="4"/>
        <v>Philip van Vershuer </v>
      </c>
      <c r="B1342" s="19" t="s">
        <v>7911</v>
      </c>
      <c r="C1342" s="20" t="s">
        <v>2771</v>
      </c>
      <c r="D1342" s="20" t="s">
        <v>7912</v>
      </c>
      <c r="E1342" s="21" t="s">
        <v>7913</v>
      </c>
      <c r="F1342" s="52"/>
      <c r="G1342" s="24" t="s">
        <v>225</v>
      </c>
      <c r="H1342" s="25" t="s">
        <v>47</v>
      </c>
      <c r="I1342" s="26"/>
      <c r="J1342" s="35" t="s">
        <v>7914</v>
      </c>
      <c r="K1342" s="27" t="s">
        <v>50</v>
      </c>
      <c r="L1342" s="13" t="s">
        <v>7915</v>
      </c>
      <c r="M1342" s="26" t="str">
        <f>VLOOKUP(E1342,'MTS 2026 registrations'!B:B,1,false)</f>
        <v>#N/A</v>
      </c>
      <c r="N1342" s="26" t="str">
        <f>VLOOKUP(B1342,'MTS 2026 registrations'!A:A,1,false)</f>
        <v>#N/A</v>
      </c>
      <c r="O1342" s="38" t="str">
        <f t="shared" si="7"/>
        <v>Marked</v>
      </c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23"/>
      <c r="AE1342" s="23"/>
    </row>
    <row r="1343" ht="12.75" customHeight="1">
      <c r="A1343" s="19" t="str">
        <f t="shared" si="4"/>
        <v>Philip van den Heuvel breeze.social</v>
      </c>
      <c r="B1343" s="19" t="s">
        <v>7916</v>
      </c>
      <c r="C1343" s="20" t="s">
        <v>2771</v>
      </c>
      <c r="D1343" s="20" t="s">
        <v>7917</v>
      </c>
      <c r="E1343" s="21" t="s">
        <v>7918</v>
      </c>
      <c r="F1343" s="23" t="s">
        <v>7112</v>
      </c>
      <c r="G1343" s="32" t="s">
        <v>46</v>
      </c>
      <c r="H1343" s="25" t="s">
        <v>47</v>
      </c>
      <c r="I1343" s="26"/>
      <c r="J1343" s="35" t="s">
        <v>7919</v>
      </c>
      <c r="K1343" s="27" t="s">
        <v>50</v>
      </c>
      <c r="L1343" s="13" t="s">
        <v>7920</v>
      </c>
      <c r="M1343" s="26" t="str">
        <f>VLOOKUP(E1343,'MTS 2026 registrations'!B:B,1,false)</f>
        <v>#N/A</v>
      </c>
      <c r="N1343" s="26" t="str">
        <f>VLOOKUP(B1343,'MTS 2026 registrations'!A:A,1,false)</f>
        <v>#N/A</v>
      </c>
      <c r="O1343" s="38" t="str">
        <f t="shared" si="7"/>
        <v>Marked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</row>
    <row r="1344" ht="12.75" customHeight="1">
      <c r="A1344" s="19" t="str">
        <f t="shared" si="4"/>
        <v>Philip Seijger MEMSYS</v>
      </c>
      <c r="B1344" s="19" t="s">
        <v>7921</v>
      </c>
      <c r="C1344" s="29" t="s">
        <v>2771</v>
      </c>
      <c r="D1344" s="29" t="s">
        <v>7922</v>
      </c>
      <c r="E1344" s="62" t="s">
        <v>7923</v>
      </c>
      <c r="F1344" s="50" t="s">
        <v>7924</v>
      </c>
      <c r="G1344" s="32" t="s">
        <v>46</v>
      </c>
      <c r="H1344" s="25" t="s">
        <v>139</v>
      </c>
      <c r="I1344" s="34"/>
      <c r="J1344" s="35" t="s">
        <v>7925</v>
      </c>
      <c r="K1344" s="27" t="s">
        <v>50</v>
      </c>
      <c r="L1344" s="13" t="s">
        <v>7926</v>
      </c>
      <c r="M1344" s="26" t="str">
        <f>VLOOKUP(E1344,'MTS 2026 registrations'!B:B,1,false)</f>
        <v>#N/A</v>
      </c>
      <c r="N1344" s="26" t="str">
        <f>VLOOKUP(B1344,'MTS 2026 registrations'!A:A,1,false)</f>
        <v>#N/A</v>
      </c>
      <c r="O1344" s="38" t="str">
        <f t="shared" si="7"/>
        <v>Marked</v>
      </c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</row>
    <row r="1345" ht="12.75" customHeight="1">
      <c r="A1345" s="19" t="str">
        <f t="shared" si="4"/>
        <v>Philip Roos power2match</v>
      </c>
      <c r="B1345" s="19" t="s">
        <v>7927</v>
      </c>
      <c r="C1345" s="29" t="s">
        <v>2771</v>
      </c>
      <c r="D1345" s="29" t="s">
        <v>7928</v>
      </c>
      <c r="E1345" s="30" t="s">
        <v>7929</v>
      </c>
      <c r="F1345" s="29" t="s">
        <v>7930</v>
      </c>
      <c r="G1345" s="32" t="s">
        <v>1306</v>
      </c>
      <c r="H1345" s="13" t="s">
        <v>45</v>
      </c>
      <c r="I1345" s="34"/>
      <c r="J1345" s="35" t="s">
        <v>7931</v>
      </c>
      <c r="K1345" s="27" t="s">
        <v>50</v>
      </c>
      <c r="L1345" s="13" t="s">
        <v>7932</v>
      </c>
      <c r="M1345" s="26" t="str">
        <f>VLOOKUP(E1345,'MTS 2026 registrations'!B:B,1,false)</f>
        <v>#N/A</v>
      </c>
      <c r="N1345" s="26" t="str">
        <f>VLOOKUP(B1345,'MTS 2026 registrations'!A:A,1,false)</f>
        <v>#N/A</v>
      </c>
      <c r="O1345" s="38" t="str">
        <f t="shared" si="7"/>
        <v>Marked</v>
      </c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</row>
    <row r="1346" ht="12.75" customHeight="1">
      <c r="A1346" s="19" t="str">
        <f t="shared" si="4"/>
        <v>Pierre van den Oord loqed</v>
      </c>
      <c r="B1346" s="19" t="s">
        <v>7933</v>
      </c>
      <c r="C1346" s="20" t="s">
        <v>7934</v>
      </c>
      <c r="D1346" s="20" t="s">
        <v>7935</v>
      </c>
      <c r="E1346" s="21" t="s">
        <v>7936</v>
      </c>
      <c r="F1346" s="23" t="s">
        <v>7937</v>
      </c>
      <c r="G1346" s="32" t="s">
        <v>46</v>
      </c>
      <c r="H1346" s="25" t="s">
        <v>47</v>
      </c>
      <c r="I1346" s="34"/>
      <c r="J1346" s="35" t="s">
        <v>7938</v>
      </c>
      <c r="K1346" s="27" t="s">
        <v>50</v>
      </c>
      <c r="L1346" s="13" t="s">
        <v>7939</v>
      </c>
      <c r="M1346" s="26" t="str">
        <f>VLOOKUP(E1346,'MTS 2026 registrations'!B:B,1,false)</f>
        <v>#N/A</v>
      </c>
      <c r="N1346" s="26" t="str">
        <f>VLOOKUP(B1346,'MTS 2026 registrations'!A:A,1,false)</f>
        <v>#N/A</v>
      </c>
      <c r="O1346" s="38" t="str">
        <f t="shared" si="7"/>
        <v>Marked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</row>
    <row r="1347" ht="12.75" customHeight="1">
      <c r="A1347" s="19" t="str">
        <f t="shared" si="4"/>
        <v>Pieter Waasdorp Min EZK</v>
      </c>
      <c r="B1347" s="19" t="s">
        <v>7940</v>
      </c>
      <c r="C1347" s="141" t="s">
        <v>7941</v>
      </c>
      <c r="D1347" s="102" t="s">
        <v>7942</v>
      </c>
      <c r="E1347" s="48" t="s">
        <v>7943</v>
      </c>
      <c r="F1347" s="135" t="s">
        <v>7944</v>
      </c>
      <c r="G1347" s="42" t="s">
        <v>323</v>
      </c>
      <c r="H1347" s="25" t="s">
        <v>139</v>
      </c>
      <c r="I1347" s="34"/>
      <c r="J1347" s="35" t="s">
        <v>7945</v>
      </c>
      <c r="K1347" s="27" t="s">
        <v>50</v>
      </c>
      <c r="L1347" s="13" t="s">
        <v>7946</v>
      </c>
      <c r="M1347" s="26" t="str">
        <f>VLOOKUP(E1347,'MTS 2026 registrations'!B:B,1,false)</f>
        <v>#N/A</v>
      </c>
      <c r="N1347" s="26" t="str">
        <f>VLOOKUP(B1347,'MTS 2026 registrations'!A:A,1,false)</f>
        <v>#N/A</v>
      </c>
      <c r="O1347" s="38" t="str">
        <f t="shared" si="7"/>
        <v>Marked</v>
      </c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</row>
    <row r="1348" ht="12.75" customHeight="1">
      <c r="A1348" s="19" t="str">
        <f t="shared" si="4"/>
        <v>Pieter Vellinga vangelder</v>
      </c>
      <c r="B1348" s="19" t="s">
        <v>7947</v>
      </c>
      <c r="C1348" s="60" t="s">
        <v>7941</v>
      </c>
      <c r="D1348" s="60" t="s">
        <v>7948</v>
      </c>
      <c r="E1348" s="62" t="s">
        <v>7949</v>
      </c>
      <c r="F1348" s="64" t="s">
        <v>5874</v>
      </c>
      <c r="G1348" s="24" t="s">
        <v>56</v>
      </c>
      <c r="H1348" s="25" t="s">
        <v>139</v>
      </c>
      <c r="I1348" s="34"/>
      <c r="J1348" s="35" t="s">
        <v>7950</v>
      </c>
      <c r="K1348" s="27" t="s">
        <v>50</v>
      </c>
      <c r="L1348" s="13" t="s">
        <v>7951</v>
      </c>
      <c r="M1348" s="26" t="str">
        <f>VLOOKUP(E1348,'MTS 2026 registrations'!B:B,1,false)</f>
        <v>#N/A</v>
      </c>
      <c r="N1348" s="26" t="str">
        <f>VLOOKUP(B1348,'MTS 2026 registrations'!A:A,1,false)</f>
        <v>#N/A</v>
      </c>
      <c r="O1348" s="38" t="str">
        <f t="shared" si="7"/>
        <v>Marked</v>
      </c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</row>
    <row r="1349" ht="12.75" customHeight="1">
      <c r="A1349" s="19" t="str">
        <f t="shared" si="4"/>
        <v>Pieter Palmers imec</v>
      </c>
      <c r="B1349" s="19" t="s">
        <v>7952</v>
      </c>
      <c r="C1349" s="29" t="s">
        <v>7941</v>
      </c>
      <c r="D1349" s="29" t="s">
        <v>7953</v>
      </c>
      <c r="E1349" s="30" t="s">
        <v>7954</v>
      </c>
      <c r="F1349" s="29" t="s">
        <v>7955</v>
      </c>
      <c r="G1349" s="32" t="s">
        <v>43</v>
      </c>
      <c r="H1349" s="13" t="s">
        <v>213</v>
      </c>
      <c r="I1349" s="34"/>
      <c r="J1349" s="35" t="s">
        <v>7956</v>
      </c>
      <c r="K1349" s="27" t="s">
        <v>50</v>
      </c>
      <c r="L1349" s="13" t="s">
        <v>7957</v>
      </c>
      <c r="M1349" s="26" t="str">
        <f>VLOOKUP(E1349,'MTS 2026 registrations'!B:B,1,false)</f>
        <v>#N/A</v>
      </c>
      <c r="N1349" s="26" t="str">
        <f>VLOOKUP(B1349,'MTS 2026 registrations'!A:A,1,false)</f>
        <v>#N/A</v>
      </c>
      <c r="O1349" s="38" t="str">
        <f t="shared" si="7"/>
        <v>Marked</v>
      </c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</row>
    <row r="1350" ht="12.75" customHeight="1">
      <c r="A1350" s="19" t="str">
        <f t="shared" si="4"/>
        <v>Pieter Smakman manometric</v>
      </c>
      <c r="B1350" s="19" t="s">
        <v>7958</v>
      </c>
      <c r="C1350" s="20" t="s">
        <v>7941</v>
      </c>
      <c r="D1350" s="20" t="s">
        <v>7959</v>
      </c>
      <c r="E1350" s="21" t="s">
        <v>7960</v>
      </c>
      <c r="F1350" s="23" t="s">
        <v>7961</v>
      </c>
      <c r="G1350" s="32" t="s">
        <v>46</v>
      </c>
      <c r="H1350" s="25" t="s">
        <v>47</v>
      </c>
      <c r="I1350" s="34"/>
      <c r="J1350" s="35" t="s">
        <v>7962</v>
      </c>
      <c r="K1350" s="27" t="s">
        <v>50</v>
      </c>
      <c r="L1350" s="13" t="s">
        <v>7963</v>
      </c>
      <c r="M1350" s="26" t="str">
        <f>VLOOKUP(E1350,'MTS 2026 registrations'!B:B,1,false)</f>
        <v>#N/A</v>
      </c>
      <c r="N1350" s="26" t="str">
        <f>VLOOKUP(B1350,'MTS 2026 registrations'!A:A,1,false)</f>
        <v>#N/A</v>
      </c>
      <c r="O1350" s="38" t="str">
        <f t="shared" si="7"/>
        <v>Marked</v>
      </c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</row>
    <row r="1351" ht="12.75" customHeight="1">
      <c r="A1351" s="19" t="str">
        <f t="shared" si="4"/>
        <v>Pieter Schoen Shoe Investments</v>
      </c>
      <c r="B1351" s="19" t="s">
        <v>7964</v>
      </c>
      <c r="C1351" s="116" t="s">
        <v>7941</v>
      </c>
      <c r="D1351" s="117" t="s">
        <v>7965</v>
      </c>
      <c r="E1351" s="128" t="s">
        <v>7966</v>
      </c>
      <c r="F1351" s="66" t="s">
        <v>7967</v>
      </c>
      <c r="G1351" s="42" t="s">
        <v>163</v>
      </c>
      <c r="H1351" s="25" t="s">
        <v>164</v>
      </c>
      <c r="I1351" s="34"/>
      <c r="J1351" s="35" t="s">
        <v>7968</v>
      </c>
      <c r="K1351" s="27" t="s">
        <v>50</v>
      </c>
      <c r="L1351" s="13" t="s">
        <v>7969</v>
      </c>
      <c r="M1351" s="26" t="str">
        <f>VLOOKUP(E1351,'MTS 2026 registrations'!B:B,1,false)</f>
        <v>#N/A</v>
      </c>
      <c r="N1351" s="26" t="str">
        <f>VLOOKUP(B1351,'MTS 2026 registrations'!A:A,1,false)</f>
        <v>#N/A</v>
      </c>
      <c r="O1351" s="38" t="str">
        <f t="shared" si="7"/>
        <v>Marked</v>
      </c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</row>
    <row r="1352" ht="12.75" customHeight="1">
      <c r="A1352" s="19" t="str">
        <f t="shared" si="4"/>
        <v>Pieter de Klein Independent</v>
      </c>
      <c r="B1352" s="19" t="s">
        <v>7970</v>
      </c>
      <c r="C1352" s="116" t="s">
        <v>7941</v>
      </c>
      <c r="D1352" s="116" t="s">
        <v>7971</v>
      </c>
      <c r="E1352" s="112" t="s">
        <v>7972</v>
      </c>
      <c r="F1352" s="66" t="s">
        <v>1209</v>
      </c>
      <c r="G1352" s="24" t="s">
        <v>225</v>
      </c>
      <c r="H1352" s="25" t="s">
        <v>47</v>
      </c>
      <c r="I1352" s="34"/>
      <c r="J1352" s="35" t="s">
        <v>7973</v>
      </c>
      <c r="K1352" s="27" t="s">
        <v>50</v>
      </c>
      <c r="L1352" s="13" t="s">
        <v>7974</v>
      </c>
      <c r="M1352" s="26" t="str">
        <f>VLOOKUP(E1352,'MTS 2026 registrations'!B:B,1,false)</f>
        <v>#N/A</v>
      </c>
      <c r="N1352" s="26" t="str">
        <f>VLOOKUP(B1352,'MTS 2026 registrations'!A:A,1,false)</f>
        <v>#N/A</v>
      </c>
      <c r="O1352" s="38" t="str">
        <f t="shared" si="7"/>
        <v>Marked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</row>
    <row r="1353" ht="12.75" customHeight="1">
      <c r="A1353" s="19" t="str">
        <f t="shared" si="4"/>
        <v>Pieter Jansen ictree</v>
      </c>
      <c r="B1353" s="19" t="s">
        <v>7975</v>
      </c>
      <c r="C1353" s="20" t="s">
        <v>7941</v>
      </c>
      <c r="D1353" s="20" t="s">
        <v>4141</v>
      </c>
      <c r="E1353" s="21" t="s">
        <v>7976</v>
      </c>
      <c r="F1353" s="23" t="s">
        <v>7977</v>
      </c>
      <c r="G1353" s="24" t="s">
        <v>163</v>
      </c>
      <c r="H1353" s="110" t="s">
        <v>164</v>
      </c>
      <c r="I1353" s="34"/>
      <c r="J1353" s="35" t="s">
        <v>7978</v>
      </c>
      <c r="K1353" s="27" t="s">
        <v>50</v>
      </c>
      <c r="L1353" s="13" t="s">
        <v>7979</v>
      </c>
      <c r="M1353" s="26" t="str">
        <f>VLOOKUP(E1353,'MTS 2026 registrations'!B:B,1,false)</f>
        <v>#N/A</v>
      </c>
      <c r="N1353" s="26" t="str">
        <f>VLOOKUP(B1353,'MTS 2026 registrations'!A:A,1,false)</f>
        <v>#N/A</v>
      </c>
      <c r="O1353" s="38" t="str">
        <f t="shared" si="7"/>
        <v>Marked</v>
      </c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</row>
    <row r="1354" ht="12.75" customHeight="1">
      <c r="A1354" s="19"/>
      <c r="B1354" s="19" t="s">
        <v>7947</v>
      </c>
      <c r="C1354" s="72" t="s">
        <v>7941</v>
      </c>
      <c r="D1354" s="72" t="s">
        <v>7948</v>
      </c>
      <c r="E1354" s="30" t="s">
        <v>7949</v>
      </c>
      <c r="F1354" s="72" t="s">
        <v>5879</v>
      </c>
      <c r="G1354" s="32" t="s">
        <v>69</v>
      </c>
      <c r="H1354" s="25" t="s">
        <v>47</v>
      </c>
      <c r="I1354" s="34"/>
      <c r="J1354" s="133" t="s">
        <v>7980</v>
      </c>
      <c r="K1354" s="27" t="s">
        <v>50</v>
      </c>
      <c r="L1354" s="13" t="s">
        <v>7951</v>
      </c>
      <c r="M1354" s="26"/>
      <c r="N1354" s="26"/>
      <c r="O1354" s="38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</row>
    <row r="1355" ht="12.75" customHeight="1">
      <c r="A1355" s="19" t="str">
        <f t="shared" ref="A1355:A1504" si="8">B1355&amp;" "&amp;F1355</f>
        <v>Pieter-Jan Van Haute Northzone</v>
      </c>
      <c r="B1355" s="19" t="s">
        <v>7981</v>
      </c>
      <c r="C1355" s="20" t="s">
        <v>7982</v>
      </c>
      <c r="D1355" s="20" t="s">
        <v>7983</v>
      </c>
      <c r="E1355" s="21" t="s">
        <v>7984</v>
      </c>
      <c r="F1355" s="49" t="s">
        <v>7088</v>
      </c>
      <c r="G1355" s="24" t="s">
        <v>163</v>
      </c>
      <c r="H1355" s="26" t="s">
        <v>164</v>
      </c>
      <c r="I1355" s="13"/>
      <c r="J1355" s="35" t="s">
        <v>7985</v>
      </c>
      <c r="K1355" s="27" t="s">
        <v>50</v>
      </c>
      <c r="L1355" s="25" t="s">
        <v>7986</v>
      </c>
      <c r="M1355" s="26" t="str">
        <f>VLOOKUP(E1355,'MTS 2026 registrations'!B:B,1,false)</f>
        <v>#N/A</v>
      </c>
      <c r="N1355" s="26" t="str">
        <f>VLOOKUP(B1355,'MTS 2026 registrations'!A:A,1,false)</f>
        <v>#N/A</v>
      </c>
      <c r="O1355" s="38" t="str">
        <f t="shared" ref="O1355:O1504" si="9">IF(AND(ISNA(M1355), ISNA(N1355)), "Marked", "")</f>
        <v>Marked</v>
      </c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</row>
    <row r="1356" ht="12.75" customHeight="1">
      <c r="A1356" s="19" t="str">
        <f t="shared" si="8"/>
        <v>Pim Schaasberg ProteoT</v>
      </c>
      <c r="B1356" s="19" t="s">
        <v>7987</v>
      </c>
      <c r="C1356" s="60" t="s">
        <v>1998</v>
      </c>
      <c r="D1356" s="60" t="s">
        <v>7988</v>
      </c>
      <c r="E1356" s="62" t="s">
        <v>7989</v>
      </c>
      <c r="F1356" s="23" t="s">
        <v>7990</v>
      </c>
      <c r="G1356" s="24" t="s">
        <v>750</v>
      </c>
      <c r="H1356" s="25" t="s">
        <v>31</v>
      </c>
      <c r="I1356" s="34"/>
      <c r="J1356" s="35" t="s">
        <v>7991</v>
      </c>
      <c r="K1356" s="27" t="s">
        <v>50</v>
      </c>
      <c r="L1356" s="13" t="s">
        <v>7992</v>
      </c>
      <c r="M1356" s="26" t="str">
        <f>VLOOKUP(E1356,'MTS 2026 registrations'!B:B,1,false)</f>
        <v>#N/A</v>
      </c>
      <c r="N1356" s="26" t="str">
        <f>VLOOKUP(B1356,'MTS 2026 registrations'!A:A,1,false)</f>
        <v>#N/A</v>
      </c>
      <c r="O1356" s="38" t="str">
        <f t="shared" si="9"/>
        <v>Marked</v>
      </c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</row>
    <row r="1357" ht="12.75" customHeight="1">
      <c r="A1357" s="19" t="str">
        <f t="shared" si="8"/>
        <v>Pim Adams asr</v>
      </c>
      <c r="B1357" s="19" t="s">
        <v>7993</v>
      </c>
      <c r="C1357" s="20" t="s">
        <v>1998</v>
      </c>
      <c r="D1357" s="20" t="s">
        <v>7994</v>
      </c>
      <c r="E1357" s="21" t="s">
        <v>7995</v>
      </c>
      <c r="F1357" s="23" t="s">
        <v>7996</v>
      </c>
      <c r="G1357" s="42" t="s">
        <v>69</v>
      </c>
      <c r="H1357" s="25" t="s">
        <v>47</v>
      </c>
      <c r="I1357" s="26"/>
      <c r="J1357" s="35" t="s">
        <v>7997</v>
      </c>
      <c r="K1357" s="27" t="s">
        <v>50</v>
      </c>
      <c r="L1357" s="13" t="s">
        <v>7998</v>
      </c>
      <c r="M1357" s="26" t="str">
        <f>VLOOKUP(E1357,'MTS 2026 registrations'!B:B,1,false)</f>
        <v>#N/A</v>
      </c>
      <c r="N1357" s="26" t="str">
        <f>VLOOKUP(B1357,'MTS 2026 registrations'!A:A,1,false)</f>
        <v>#N/A</v>
      </c>
      <c r="O1357" s="38" t="str">
        <f t="shared" si="9"/>
        <v>Marked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</row>
    <row r="1358" ht="12.75" customHeight="1">
      <c r="A1358" s="19" t="str">
        <f t="shared" si="8"/>
        <v>Pim Wubben Embedded Engineering (Embedded Acoustics)</v>
      </c>
      <c r="B1358" s="19" t="s">
        <v>7999</v>
      </c>
      <c r="C1358" s="29" t="s">
        <v>1998</v>
      </c>
      <c r="D1358" s="29" t="s">
        <v>8000</v>
      </c>
      <c r="E1358" s="31" t="s">
        <v>8001</v>
      </c>
      <c r="F1358" s="33" t="s">
        <v>8002</v>
      </c>
      <c r="G1358" s="32" t="s">
        <v>46</v>
      </c>
      <c r="H1358" s="25" t="s">
        <v>47</v>
      </c>
      <c r="I1358" s="34"/>
      <c r="J1358" s="35" t="s">
        <v>8003</v>
      </c>
      <c r="K1358" s="27" t="s">
        <v>50</v>
      </c>
      <c r="L1358" s="13" t="s">
        <v>8004</v>
      </c>
      <c r="M1358" s="26" t="str">
        <f>VLOOKUP(E1358,'MTS 2026 registrations'!B:B,1,false)</f>
        <v>#N/A</v>
      </c>
      <c r="N1358" s="26" t="str">
        <f>VLOOKUP(B1358,'MTS 2026 registrations'!A:A,1,false)</f>
        <v>#N/A</v>
      </c>
      <c r="O1358" s="38" t="str">
        <f t="shared" si="9"/>
        <v>Marked</v>
      </c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</row>
    <row r="1359" ht="12.75" customHeight="1">
      <c r="A1359" s="19" t="str">
        <f t="shared" si="8"/>
        <v>Pim Hollestelle lumolabs</v>
      </c>
      <c r="B1359" s="19" t="s">
        <v>8005</v>
      </c>
      <c r="C1359" s="20" t="s">
        <v>1998</v>
      </c>
      <c r="D1359" s="20" t="s">
        <v>8006</v>
      </c>
      <c r="E1359" s="21" t="s">
        <v>8007</v>
      </c>
      <c r="F1359" s="23" t="s">
        <v>7325</v>
      </c>
      <c r="G1359" s="24" t="s">
        <v>163</v>
      </c>
      <c r="H1359" s="25" t="s">
        <v>164</v>
      </c>
      <c r="I1359" s="34"/>
      <c r="J1359" s="35" t="s">
        <v>8008</v>
      </c>
      <c r="K1359" s="27" t="s">
        <v>50</v>
      </c>
      <c r="L1359" s="13" t="s">
        <v>8009</v>
      </c>
      <c r="M1359" s="26" t="str">
        <f>VLOOKUP(E1359,'MTS 2026 registrations'!B:B,1,false)</f>
        <v>#N/A</v>
      </c>
      <c r="N1359" s="26" t="str">
        <f>VLOOKUP(B1359,'MTS 2026 registrations'!A:A,1,false)</f>
        <v>#N/A</v>
      </c>
      <c r="O1359" s="38" t="str">
        <f t="shared" si="9"/>
        <v>Marked</v>
      </c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</row>
    <row r="1360" ht="12.75" customHeight="1">
      <c r="A1360" s="19" t="str">
        <f t="shared" si="8"/>
        <v>Pooria Pahlavan SHM Next</v>
      </c>
      <c r="B1360" s="19" t="s">
        <v>8010</v>
      </c>
      <c r="C1360" s="29" t="s">
        <v>8011</v>
      </c>
      <c r="D1360" s="29" t="s">
        <v>8012</v>
      </c>
      <c r="E1360" s="31" t="s">
        <v>8013</v>
      </c>
      <c r="F1360" s="33" t="s">
        <v>2256</v>
      </c>
      <c r="G1360" s="24" t="s">
        <v>46</v>
      </c>
      <c r="H1360" s="25" t="s">
        <v>47</v>
      </c>
      <c r="I1360" s="34"/>
      <c r="J1360" s="35" t="s">
        <v>8014</v>
      </c>
      <c r="K1360" s="27" t="s">
        <v>50</v>
      </c>
      <c r="L1360" s="13" t="s">
        <v>8015</v>
      </c>
      <c r="M1360" s="26" t="str">
        <f>VLOOKUP(E1360,'MTS 2026 registrations'!B:B,1,false)</f>
        <v>#N/A</v>
      </c>
      <c r="N1360" s="26" t="str">
        <f>VLOOKUP(B1360,'MTS 2026 registrations'!A:A,1,false)</f>
        <v>#N/A</v>
      </c>
      <c r="O1360" s="38" t="str">
        <f t="shared" si="9"/>
        <v>Marked</v>
      </c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</row>
    <row r="1361" ht="12.75" customHeight="1">
      <c r="A1361" s="19" t="str">
        <f t="shared" si="8"/>
        <v>Pratap Thapa aqysta</v>
      </c>
      <c r="B1361" s="19" t="s">
        <v>8016</v>
      </c>
      <c r="C1361" s="20" t="s">
        <v>8017</v>
      </c>
      <c r="D1361" s="20" t="s">
        <v>8018</v>
      </c>
      <c r="E1361" s="31" t="s">
        <v>8019</v>
      </c>
      <c r="F1361" s="23" t="s">
        <v>6590</v>
      </c>
      <c r="G1361" s="32" t="s">
        <v>46</v>
      </c>
      <c r="H1361" s="25" t="s">
        <v>47</v>
      </c>
      <c r="I1361" s="26"/>
      <c r="J1361" s="35" t="s">
        <v>8020</v>
      </c>
      <c r="K1361" s="27" t="s">
        <v>50</v>
      </c>
      <c r="L1361" s="13" t="s">
        <v>8021</v>
      </c>
      <c r="M1361" s="26" t="str">
        <f>VLOOKUP(E1361,'MTS 2026 registrations'!B:B,1,false)</f>
        <v>#N/A</v>
      </c>
      <c r="N1361" s="26" t="str">
        <f>VLOOKUP(B1361,'MTS 2026 registrations'!A:A,1,false)</f>
        <v>#N/A</v>
      </c>
      <c r="O1361" s="38" t="str">
        <f t="shared" si="9"/>
        <v>Marked</v>
      </c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</row>
    <row r="1362" ht="12.75" customHeight="1">
      <c r="A1362" s="19" t="str">
        <f t="shared" si="8"/>
        <v>Priya Gajadhar Hymonic</v>
      </c>
      <c r="B1362" s="19" t="s">
        <v>8022</v>
      </c>
      <c r="C1362" s="108" t="s">
        <v>8023</v>
      </c>
      <c r="D1362" s="108" t="s">
        <v>8024</v>
      </c>
      <c r="E1362" s="31" t="s">
        <v>8025</v>
      </c>
      <c r="F1362" s="23" t="s">
        <v>8026</v>
      </c>
      <c r="G1362" s="32" t="s">
        <v>46</v>
      </c>
      <c r="H1362" s="25" t="s">
        <v>31</v>
      </c>
      <c r="I1362" s="34"/>
      <c r="J1362" s="35" t="s">
        <v>8027</v>
      </c>
      <c r="K1362" s="27" t="s">
        <v>50</v>
      </c>
      <c r="L1362" s="13" t="s">
        <v>8028</v>
      </c>
      <c r="M1362" s="26" t="str">
        <f>VLOOKUP(E1362,'MTS 2026 registrations'!B:B,1,false)</f>
        <v>#N/A</v>
      </c>
      <c r="N1362" s="26" t="str">
        <f>VLOOKUP(B1362,'MTS 2026 registrations'!A:A,1,false)</f>
        <v>#N/A</v>
      </c>
      <c r="O1362" s="38" t="str">
        <f t="shared" si="9"/>
        <v>Marked</v>
      </c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</row>
    <row r="1363" ht="12.75" customHeight="1">
      <c r="A1363" s="19" t="str">
        <f t="shared" si="8"/>
        <v>Puck van de Bovenkamp tudelft</v>
      </c>
      <c r="B1363" s="19" t="s">
        <v>8029</v>
      </c>
      <c r="C1363" s="20" t="s">
        <v>8030</v>
      </c>
      <c r="D1363" s="20" t="s">
        <v>8031</v>
      </c>
      <c r="E1363" s="21" t="s">
        <v>8032</v>
      </c>
      <c r="F1363" s="52" t="s">
        <v>184</v>
      </c>
      <c r="G1363" s="32" t="s">
        <v>43</v>
      </c>
      <c r="H1363" s="25" t="s">
        <v>139</v>
      </c>
      <c r="I1363" s="26"/>
      <c r="J1363" s="35" t="s">
        <v>8033</v>
      </c>
      <c r="K1363" s="27" t="s">
        <v>50</v>
      </c>
      <c r="L1363" s="27" t="s">
        <v>8034</v>
      </c>
      <c r="M1363" s="26" t="str">
        <f>VLOOKUP(E1363,'MTS 2026 registrations'!B:B,1,false)</f>
        <v>#N/A</v>
      </c>
      <c r="N1363" s="26" t="str">
        <f>VLOOKUP(B1363,'MTS 2026 registrations'!A:A,1,false)</f>
        <v>#N/A</v>
      </c>
      <c r="O1363" s="38" t="str">
        <f t="shared" si="9"/>
        <v>Marked</v>
      </c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</row>
    <row r="1364" ht="12.75" customHeight="1">
      <c r="A1364" s="19" t="str">
        <f t="shared" si="8"/>
        <v>Puck van holsteijn hortiheroes</v>
      </c>
      <c r="B1364" s="19" t="s">
        <v>8035</v>
      </c>
      <c r="C1364" s="72" t="s">
        <v>8030</v>
      </c>
      <c r="D1364" s="29" t="s">
        <v>8036</v>
      </c>
      <c r="E1364" s="31" t="s">
        <v>8037</v>
      </c>
      <c r="F1364" s="29" t="s">
        <v>4703</v>
      </c>
      <c r="G1364" s="24" t="s">
        <v>29</v>
      </c>
      <c r="H1364" s="13" t="s">
        <v>213</v>
      </c>
      <c r="I1364" s="34"/>
      <c r="J1364" s="35" t="s">
        <v>8038</v>
      </c>
      <c r="K1364" s="27" t="s">
        <v>50</v>
      </c>
      <c r="L1364" s="13" t="s">
        <v>8039</v>
      </c>
      <c r="M1364" s="26" t="str">
        <f>VLOOKUP(E1364,'MTS 2026 registrations'!B:B,1,false)</f>
        <v>#N/A</v>
      </c>
      <c r="N1364" s="26" t="str">
        <f>VLOOKUP(B1364,'MTS 2026 registrations'!A:A,1,false)</f>
        <v>#N/A</v>
      </c>
      <c r="O1364" s="38" t="str">
        <f t="shared" si="9"/>
        <v>Marked</v>
      </c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</row>
    <row r="1365" ht="12.75" customHeight="1">
      <c r="A1365" s="19" t="str">
        <f t="shared" si="8"/>
        <v>Quentin Dupraz ilavska-vuillermoz</v>
      </c>
      <c r="B1365" s="19" t="s">
        <v>8040</v>
      </c>
      <c r="C1365" s="116" t="s">
        <v>8041</v>
      </c>
      <c r="D1365" s="116" t="s">
        <v>8042</v>
      </c>
      <c r="E1365" s="31" t="s">
        <v>8043</v>
      </c>
      <c r="F1365" s="23" t="s">
        <v>8044</v>
      </c>
      <c r="G1365" s="24" t="s">
        <v>163</v>
      </c>
      <c r="H1365" s="25" t="s">
        <v>164</v>
      </c>
      <c r="I1365" s="23"/>
      <c r="J1365" s="35" t="s">
        <v>8045</v>
      </c>
      <c r="K1365" s="27" t="s">
        <v>50</v>
      </c>
      <c r="L1365" s="13" t="s">
        <v>8046</v>
      </c>
      <c r="M1365" s="26" t="str">
        <f>VLOOKUP(E1365,'MTS 2026 registrations'!B:B,1,false)</f>
        <v>#N/A</v>
      </c>
      <c r="N1365" s="26" t="str">
        <f>VLOOKUP(B1365,'MTS 2026 registrations'!A:A,1,false)</f>
        <v>#N/A</v>
      </c>
      <c r="O1365" s="38" t="str">
        <f t="shared" si="9"/>
        <v>Marked</v>
      </c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  <c r="AD1365" s="34"/>
      <c r="AE1365" s="34"/>
    </row>
    <row r="1366" ht="12.75" customHeight="1">
      <c r="A1366" s="19" t="str">
        <f t="shared" si="8"/>
        <v>Quinten Selhorst ewor</v>
      </c>
      <c r="B1366" s="19" t="s">
        <v>8047</v>
      </c>
      <c r="C1366" s="29" t="s">
        <v>8048</v>
      </c>
      <c r="D1366" s="29" t="s">
        <v>8049</v>
      </c>
      <c r="E1366" s="31" t="s">
        <v>8050</v>
      </c>
      <c r="F1366" s="29" t="s">
        <v>8051</v>
      </c>
      <c r="G1366" s="24" t="s">
        <v>46</v>
      </c>
      <c r="H1366" s="13" t="s">
        <v>213</v>
      </c>
      <c r="I1366" s="34"/>
      <c r="J1366" s="35" t="s">
        <v>8052</v>
      </c>
      <c r="K1366" s="27" t="s">
        <v>50</v>
      </c>
      <c r="L1366" s="13" t="s">
        <v>8053</v>
      </c>
      <c r="M1366" s="26" t="str">
        <f>VLOOKUP(E1366,'MTS 2026 registrations'!B:B,1,false)</f>
        <v>#N/A</v>
      </c>
      <c r="N1366" s="26" t="str">
        <f>VLOOKUP(B1366,'MTS 2026 registrations'!A:A,1,false)</f>
        <v>#N/A</v>
      </c>
      <c r="O1366" s="38" t="str">
        <f t="shared" si="9"/>
        <v>Marked</v>
      </c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</row>
    <row r="1367" ht="12.75" customHeight="1">
      <c r="A1367" s="19" t="str">
        <f t="shared" si="8"/>
        <v>Radena Tsoneva yesdelft</v>
      </c>
      <c r="B1367" s="19" t="s">
        <v>8054</v>
      </c>
      <c r="C1367" s="20" t="s">
        <v>188</v>
      </c>
      <c r="D1367" s="20" t="s">
        <v>8055</v>
      </c>
      <c r="E1367" s="31" t="s">
        <v>8056</v>
      </c>
      <c r="F1367" s="23" t="s">
        <v>2267</v>
      </c>
      <c r="G1367" s="24" t="s">
        <v>29</v>
      </c>
      <c r="H1367" s="25" t="s">
        <v>139</v>
      </c>
      <c r="I1367" s="26"/>
      <c r="J1367" s="35" t="s">
        <v>8057</v>
      </c>
      <c r="K1367" s="27" t="s">
        <v>50</v>
      </c>
      <c r="L1367" s="13" t="s">
        <v>8058</v>
      </c>
      <c r="M1367" s="26" t="str">
        <f>VLOOKUP(E1367,'MTS 2026 registrations'!B:B,1,false)</f>
        <v>#N/A</v>
      </c>
      <c r="N1367" s="26" t="str">
        <f>VLOOKUP(B1367,'MTS 2026 registrations'!A:A,1,false)</f>
        <v>#N/A</v>
      </c>
      <c r="O1367" s="38" t="str">
        <f t="shared" si="9"/>
        <v>Marked</v>
      </c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</row>
    <row r="1368" ht="12.75" customHeight="1">
      <c r="A1368" s="19" t="str">
        <f t="shared" si="8"/>
        <v>Raffaele Romano vertigo-tech</v>
      </c>
      <c r="B1368" s="19" t="s">
        <v>8059</v>
      </c>
      <c r="C1368" s="20" t="s">
        <v>8060</v>
      </c>
      <c r="D1368" s="20" t="s">
        <v>8061</v>
      </c>
      <c r="E1368" s="31" t="s">
        <v>8062</v>
      </c>
      <c r="F1368" s="23" t="s">
        <v>6746</v>
      </c>
      <c r="G1368" s="32" t="s">
        <v>46</v>
      </c>
      <c r="H1368" s="25" t="s">
        <v>47</v>
      </c>
      <c r="I1368" s="26"/>
      <c r="J1368" s="35" t="s">
        <v>8063</v>
      </c>
      <c r="K1368" s="27" t="s">
        <v>50</v>
      </c>
      <c r="L1368" s="13" t="s">
        <v>8064</v>
      </c>
      <c r="M1368" s="26" t="str">
        <f>VLOOKUP(E1368,'MTS 2026 registrations'!B:B,1,false)</f>
        <v>#N/A</v>
      </c>
      <c r="N1368" s="26" t="str">
        <f>VLOOKUP(B1368,'MTS 2026 registrations'!A:A,1,false)</f>
        <v>#N/A</v>
      </c>
      <c r="O1368" s="38" t="str">
        <f t="shared" si="9"/>
        <v>Marked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</row>
    <row r="1369" ht="12.75" customHeight="1">
      <c r="A1369" s="19" t="str">
        <f t="shared" si="8"/>
        <v>Rahul Sharma ARCEON</v>
      </c>
      <c r="B1369" s="19" t="s">
        <v>8065</v>
      </c>
      <c r="C1369" s="29" t="s">
        <v>8066</v>
      </c>
      <c r="D1369" s="29" t="s">
        <v>8067</v>
      </c>
      <c r="E1369" s="31" t="s">
        <v>8068</v>
      </c>
      <c r="F1369" s="33" t="s">
        <v>3732</v>
      </c>
      <c r="G1369" s="32" t="s">
        <v>46</v>
      </c>
      <c r="H1369" s="25" t="s">
        <v>47</v>
      </c>
      <c r="I1369" s="34"/>
      <c r="J1369" s="35" t="s">
        <v>8069</v>
      </c>
      <c r="K1369" s="27" t="s">
        <v>50</v>
      </c>
      <c r="L1369" s="13" t="s">
        <v>8070</v>
      </c>
      <c r="M1369" s="26" t="str">
        <f>VLOOKUP(E1369,'MTS 2026 registrations'!B:B,1,false)</f>
        <v>#N/A</v>
      </c>
      <c r="N1369" s="26" t="str">
        <f>VLOOKUP(B1369,'MTS 2026 registrations'!A:A,1,false)</f>
        <v>#N/A</v>
      </c>
      <c r="O1369" s="38" t="str">
        <f t="shared" si="9"/>
        <v>Marked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</row>
    <row r="1370" ht="12.75" customHeight="1">
      <c r="A1370" s="19" t="str">
        <f t="shared" si="8"/>
        <v>Rahul Shirke arceon</v>
      </c>
      <c r="B1370" s="19" t="s">
        <v>8071</v>
      </c>
      <c r="C1370" s="20" t="s">
        <v>8066</v>
      </c>
      <c r="D1370" s="20" t="s">
        <v>8072</v>
      </c>
      <c r="E1370" s="31" t="s">
        <v>8073</v>
      </c>
      <c r="F1370" s="23" t="s">
        <v>8074</v>
      </c>
      <c r="G1370" s="32" t="s">
        <v>46</v>
      </c>
      <c r="H1370" s="25" t="s">
        <v>47</v>
      </c>
      <c r="I1370" s="26"/>
      <c r="J1370" s="35" t="s">
        <v>8075</v>
      </c>
      <c r="K1370" s="27" t="s">
        <v>50</v>
      </c>
      <c r="L1370" s="13" t="s">
        <v>8076</v>
      </c>
      <c r="M1370" s="26" t="str">
        <f>VLOOKUP(E1370,'MTS 2026 registrations'!B:B,1,false)</f>
        <v>rahul@arceon.nl</v>
      </c>
      <c r="N1370" s="26" t="str">
        <f>VLOOKUP(B1370,'MTS 2026 registrations'!A:A,1,false)</f>
        <v>Rahul Shirke</v>
      </c>
      <c r="O1370" s="38" t="str">
        <f t="shared" si="9"/>
        <v/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</row>
    <row r="1371" ht="12.75" customHeight="1">
      <c r="A1371" s="19" t="str">
        <f t="shared" si="8"/>
        <v>Ralf Meijer MangoStone</v>
      </c>
      <c r="B1371" s="19" t="s">
        <v>8077</v>
      </c>
      <c r="C1371" s="29" t="s">
        <v>2814</v>
      </c>
      <c r="D1371" s="29" t="s">
        <v>1731</v>
      </c>
      <c r="E1371" s="31" t="s">
        <v>8078</v>
      </c>
      <c r="F1371" s="33" t="s">
        <v>7337</v>
      </c>
      <c r="G1371" s="24" t="s">
        <v>46</v>
      </c>
      <c r="H1371" s="25" t="s">
        <v>47</v>
      </c>
      <c r="I1371" s="34"/>
      <c r="J1371" s="35" t="s">
        <v>8079</v>
      </c>
      <c r="K1371" s="27" t="s">
        <v>50</v>
      </c>
      <c r="L1371" s="13" t="s">
        <v>8080</v>
      </c>
      <c r="M1371" s="26" t="str">
        <f>VLOOKUP(E1371,'MTS 2026 registrations'!B:B,1,false)</f>
        <v>#N/A</v>
      </c>
      <c r="N1371" s="26" t="str">
        <f>VLOOKUP(B1371,'MTS 2026 registrations'!A:A,1,false)</f>
        <v>#N/A</v>
      </c>
      <c r="O1371" s="38" t="str">
        <f t="shared" si="9"/>
        <v>Marked</v>
      </c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</row>
    <row r="1372" ht="12.75" customHeight="1">
      <c r="A1372" s="19" t="str">
        <f t="shared" si="8"/>
        <v>Ralph Krook shoresystems</v>
      </c>
      <c r="B1372" s="19" t="s">
        <v>8081</v>
      </c>
      <c r="C1372" s="20" t="s">
        <v>2819</v>
      </c>
      <c r="D1372" s="20" t="s">
        <v>8082</v>
      </c>
      <c r="E1372" s="31" t="s">
        <v>8083</v>
      </c>
      <c r="F1372" s="23" t="s">
        <v>4943</v>
      </c>
      <c r="G1372" s="32" t="s">
        <v>46</v>
      </c>
      <c r="H1372" s="25" t="s">
        <v>47</v>
      </c>
      <c r="I1372" s="34"/>
      <c r="J1372" s="35" t="s">
        <v>8084</v>
      </c>
      <c r="K1372" s="27" t="s">
        <v>50</v>
      </c>
      <c r="L1372" s="13" t="s">
        <v>8085</v>
      </c>
      <c r="M1372" s="26" t="str">
        <f>VLOOKUP(E1372,'MTS 2026 registrations'!B:B,1,false)</f>
        <v>#N/A</v>
      </c>
      <c r="N1372" s="26" t="str">
        <f>VLOOKUP(B1372,'MTS 2026 registrations'!A:A,1,false)</f>
        <v>#N/A</v>
      </c>
      <c r="O1372" s="38" t="str">
        <f t="shared" si="9"/>
        <v>Marked</v>
      </c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</row>
    <row r="1373" ht="12.75" customHeight="1">
      <c r="A1373" s="19" t="str">
        <f t="shared" si="8"/>
        <v>Ramon Da Re nurtio</v>
      </c>
      <c r="B1373" s="19" t="s">
        <v>8086</v>
      </c>
      <c r="C1373" s="20" t="s">
        <v>8087</v>
      </c>
      <c r="D1373" s="20" t="s">
        <v>8088</v>
      </c>
      <c r="E1373" s="21" t="s">
        <v>8089</v>
      </c>
      <c r="F1373" s="23" t="s">
        <v>5497</v>
      </c>
      <c r="G1373" s="32" t="s">
        <v>46</v>
      </c>
      <c r="H1373" s="25" t="s">
        <v>47</v>
      </c>
      <c r="I1373" s="34"/>
      <c r="J1373" s="35" t="s">
        <v>8090</v>
      </c>
      <c r="K1373" s="27" t="s">
        <v>50</v>
      </c>
      <c r="L1373" s="13" t="s">
        <v>8091</v>
      </c>
      <c r="M1373" s="26" t="str">
        <f>VLOOKUP(E1373,'MTS 2026 registrations'!B:B,1,false)</f>
        <v>#N/A</v>
      </c>
      <c r="N1373" s="26" t="str">
        <f>VLOOKUP(B1373,'MTS 2026 registrations'!A:A,1,false)</f>
        <v>#N/A</v>
      </c>
      <c r="O1373" s="38" t="str">
        <f t="shared" si="9"/>
        <v>Marked</v>
      </c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</row>
    <row r="1374" ht="12.75" customHeight="1">
      <c r="A1374" s="19" t="str">
        <f t="shared" si="8"/>
        <v>Randolf Nijsse impactequity</v>
      </c>
      <c r="B1374" s="19" t="s">
        <v>8092</v>
      </c>
      <c r="C1374" s="20" t="s">
        <v>8093</v>
      </c>
      <c r="D1374" s="20" t="s">
        <v>8094</v>
      </c>
      <c r="E1374" s="21" t="s">
        <v>8095</v>
      </c>
      <c r="F1374" s="23" t="s">
        <v>8096</v>
      </c>
      <c r="G1374" s="24" t="s">
        <v>163</v>
      </c>
      <c r="H1374" s="13" t="s">
        <v>213</v>
      </c>
      <c r="I1374" s="34"/>
      <c r="J1374" s="35" t="s">
        <v>8097</v>
      </c>
      <c r="K1374" s="27" t="s">
        <v>50</v>
      </c>
      <c r="L1374" s="13" t="s">
        <v>8098</v>
      </c>
      <c r="M1374" s="26" t="str">
        <f>VLOOKUP(E1374,'MTS 2026 registrations'!B:B,1,false)</f>
        <v>#N/A</v>
      </c>
      <c r="N1374" s="26" t="str">
        <f>VLOOKUP(B1374,'MTS 2026 registrations'!A:A,1,false)</f>
        <v>#N/A</v>
      </c>
      <c r="O1374" s="38" t="str">
        <f t="shared" si="9"/>
        <v>Marked</v>
      </c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</row>
    <row r="1375" ht="12.75" customHeight="1">
      <c r="A1375" s="19" t="str">
        <f t="shared" si="8"/>
        <v>Ras test Lalmy yesdelft</v>
      </c>
      <c r="B1375" s="19" t="s">
        <v>8099</v>
      </c>
      <c r="C1375" s="116" t="s">
        <v>8100</v>
      </c>
      <c r="D1375" s="20" t="s">
        <v>8101</v>
      </c>
      <c r="E1375" s="21" t="s">
        <v>8102</v>
      </c>
      <c r="F1375" s="23" t="s">
        <v>2267</v>
      </c>
      <c r="G1375" s="24" t="s">
        <v>29</v>
      </c>
      <c r="H1375" s="25" t="s">
        <v>139</v>
      </c>
      <c r="I1375" s="26"/>
      <c r="J1375" s="35" t="s">
        <v>8103</v>
      </c>
      <c r="K1375" s="27" t="s">
        <v>50</v>
      </c>
      <c r="L1375" s="13" t="s">
        <v>8104</v>
      </c>
      <c r="M1375" s="26" t="str">
        <f>VLOOKUP(E1375,'MTS 2026 registrations'!B:B,1,false)</f>
        <v>#N/A</v>
      </c>
      <c r="N1375" s="26" t="str">
        <f>VLOOKUP(B1375,'MTS 2026 registrations'!A:A,1,false)</f>
        <v>#N/A</v>
      </c>
      <c r="O1375" s="38" t="str">
        <f t="shared" si="9"/>
        <v>Marked</v>
      </c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</row>
    <row r="1376" ht="12.75" customHeight="1">
      <c r="A1376" s="19" t="str">
        <f t="shared" si="8"/>
        <v>Raymond Pols craytive</v>
      </c>
      <c r="B1376" s="19" t="s">
        <v>8105</v>
      </c>
      <c r="C1376" s="20" t="s">
        <v>8106</v>
      </c>
      <c r="D1376" s="20" t="s">
        <v>8107</v>
      </c>
      <c r="E1376" s="21" t="s">
        <v>8108</v>
      </c>
      <c r="F1376" s="23" t="s">
        <v>8109</v>
      </c>
      <c r="G1376" s="32" t="s">
        <v>46</v>
      </c>
      <c r="H1376" s="25" t="s">
        <v>47</v>
      </c>
      <c r="I1376" s="26"/>
      <c r="J1376" s="35" t="s">
        <v>8110</v>
      </c>
      <c r="K1376" s="27" t="s">
        <v>50</v>
      </c>
      <c r="L1376" s="13" t="s">
        <v>8111</v>
      </c>
      <c r="M1376" s="26" t="str">
        <f>VLOOKUP(E1376,'MTS 2026 registrations'!B:B,1,false)</f>
        <v>#N/A</v>
      </c>
      <c r="N1376" s="26" t="str">
        <f>VLOOKUP(B1376,'MTS 2026 registrations'!A:A,1,false)</f>
        <v>#N/A</v>
      </c>
      <c r="O1376" s="38" t="str">
        <f t="shared" si="9"/>
        <v>Marked</v>
      </c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</row>
    <row r="1377" ht="12.75" customHeight="1">
      <c r="A1377" s="19" t="str">
        <f t="shared" si="8"/>
        <v>Raymond Projectcampus (Shareworks)</v>
      </c>
      <c r="B1377" s="19" t="s">
        <v>8106</v>
      </c>
      <c r="C1377" s="29" t="s">
        <v>8106</v>
      </c>
      <c r="D1377" s="109"/>
      <c r="E1377" s="31" t="s">
        <v>8112</v>
      </c>
      <c r="F1377" s="33" t="s">
        <v>4783</v>
      </c>
      <c r="G1377" s="32" t="s">
        <v>46</v>
      </c>
      <c r="H1377" s="25" t="s">
        <v>47</v>
      </c>
      <c r="I1377" s="34"/>
      <c r="J1377" s="35" t="s">
        <v>8113</v>
      </c>
      <c r="K1377" s="27" t="s">
        <v>50</v>
      </c>
      <c r="L1377" s="13" t="s">
        <v>8114</v>
      </c>
      <c r="M1377" s="26" t="str">
        <f>VLOOKUP(E1377,'MTS 2026 registrations'!B:B,1,false)</f>
        <v>#N/A</v>
      </c>
      <c r="N1377" s="26" t="str">
        <f>VLOOKUP(B1377,'MTS 2026 registrations'!A:A,1,false)</f>
        <v>#N/A</v>
      </c>
      <c r="O1377" s="38" t="str">
        <f t="shared" si="9"/>
        <v>Marked</v>
      </c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</row>
    <row r="1378" ht="12.75" customHeight="1">
      <c r="A1378" s="19" t="str">
        <f t="shared" si="8"/>
        <v>Rebecca Fasel vshanab</v>
      </c>
      <c r="B1378" s="19" t="s">
        <v>8115</v>
      </c>
      <c r="C1378" s="60" t="s">
        <v>8116</v>
      </c>
      <c r="D1378" s="60" t="s">
        <v>8117</v>
      </c>
      <c r="E1378" s="62" t="s">
        <v>8118</v>
      </c>
      <c r="F1378" s="64" t="s">
        <v>8119</v>
      </c>
      <c r="G1378" s="24" t="s">
        <v>56</v>
      </c>
      <c r="H1378" s="25" t="s">
        <v>139</v>
      </c>
      <c r="I1378" s="34"/>
      <c r="J1378" s="35" t="s">
        <v>8120</v>
      </c>
      <c r="K1378" s="27" t="s">
        <v>50</v>
      </c>
      <c r="L1378" s="13" t="s">
        <v>8121</v>
      </c>
      <c r="M1378" s="26" t="str">
        <f>VLOOKUP(E1378,'MTS 2026 registrations'!B:B,1,false)</f>
        <v>#N/A</v>
      </c>
      <c r="N1378" s="26" t="str">
        <f>VLOOKUP(B1378,'MTS 2026 registrations'!A:A,1,false)</f>
        <v>#N/A</v>
      </c>
      <c r="O1378" s="38" t="str">
        <f t="shared" si="9"/>
        <v>Marked</v>
      </c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</row>
    <row r="1379" ht="12.75" customHeight="1">
      <c r="A1379" s="19" t="str">
        <f t="shared" si="8"/>
        <v>Redouane Hallouzi Reliacon</v>
      </c>
      <c r="B1379" s="19" t="s">
        <v>8122</v>
      </c>
      <c r="C1379" s="29" t="s">
        <v>8123</v>
      </c>
      <c r="D1379" s="29" t="s">
        <v>8124</v>
      </c>
      <c r="E1379" s="31" t="s">
        <v>8125</v>
      </c>
      <c r="F1379" s="33" t="s">
        <v>8126</v>
      </c>
      <c r="G1379" s="24" t="s">
        <v>46</v>
      </c>
      <c r="H1379" s="25" t="s">
        <v>47</v>
      </c>
      <c r="I1379" s="34"/>
      <c r="J1379" s="35" t="s">
        <v>8127</v>
      </c>
      <c r="K1379" s="27" t="s">
        <v>50</v>
      </c>
      <c r="L1379" s="13" t="s">
        <v>8128</v>
      </c>
      <c r="M1379" s="26" t="str">
        <f>VLOOKUP(E1379,'MTS 2026 registrations'!B:B,1,false)</f>
        <v>#N/A</v>
      </c>
      <c r="N1379" s="26" t="str">
        <f>VLOOKUP(B1379,'MTS 2026 registrations'!A:A,1,false)</f>
        <v>#N/A</v>
      </c>
      <c r="O1379" s="38" t="str">
        <f t="shared" si="9"/>
        <v>Marked</v>
      </c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</row>
    <row r="1380" ht="12.75" customHeight="1">
      <c r="A1380" s="19" t="str">
        <f t="shared" si="8"/>
        <v>Regina The zorgkeuzelab</v>
      </c>
      <c r="B1380" s="19" t="s">
        <v>8129</v>
      </c>
      <c r="C1380" s="20" t="s">
        <v>8130</v>
      </c>
      <c r="D1380" s="20" t="s">
        <v>8131</v>
      </c>
      <c r="E1380" s="21" t="s">
        <v>8132</v>
      </c>
      <c r="F1380" s="23" t="s">
        <v>6456</v>
      </c>
      <c r="G1380" s="32" t="s">
        <v>46</v>
      </c>
      <c r="H1380" s="25" t="s">
        <v>47</v>
      </c>
      <c r="I1380" s="26"/>
      <c r="J1380" s="35" t="s">
        <v>8133</v>
      </c>
      <c r="K1380" s="27" t="s">
        <v>50</v>
      </c>
      <c r="L1380" s="13" t="s">
        <v>8134</v>
      </c>
      <c r="M1380" s="26" t="str">
        <f>VLOOKUP(E1380,'MTS 2026 registrations'!B:B,1,false)</f>
        <v>#N/A</v>
      </c>
      <c r="N1380" s="26" t="str">
        <f>VLOOKUP(B1380,'MTS 2026 registrations'!A:A,1,false)</f>
        <v>#N/A</v>
      </c>
      <c r="O1380" s="38" t="str">
        <f t="shared" si="9"/>
        <v>Marked</v>
      </c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</row>
    <row r="1381" ht="12.75" customHeight="1">
      <c r="A1381" s="19" t="str">
        <f t="shared" si="8"/>
        <v>Reinier van Dijk parapy</v>
      </c>
      <c r="B1381" s="19" t="s">
        <v>8135</v>
      </c>
      <c r="C1381" s="20" t="s">
        <v>1369</v>
      </c>
      <c r="D1381" s="20" t="s">
        <v>830</v>
      </c>
      <c r="E1381" s="21" t="s">
        <v>8136</v>
      </c>
      <c r="F1381" s="23" t="s">
        <v>8137</v>
      </c>
      <c r="G1381" s="32" t="s">
        <v>46</v>
      </c>
      <c r="H1381" s="25" t="s">
        <v>47</v>
      </c>
      <c r="I1381" s="34"/>
      <c r="J1381" s="35" t="s">
        <v>8138</v>
      </c>
      <c r="K1381" s="27" t="s">
        <v>50</v>
      </c>
      <c r="L1381" s="13" t="s">
        <v>8139</v>
      </c>
      <c r="M1381" s="26" t="str">
        <f>VLOOKUP(E1381,'MTS 2026 registrations'!B:B,1,false)</f>
        <v>#N/A</v>
      </c>
      <c r="N1381" s="26" t="str">
        <f>VLOOKUP(B1381,'MTS 2026 registrations'!A:A,1,false)</f>
        <v>#N/A</v>
      </c>
      <c r="O1381" s="38" t="str">
        <f t="shared" si="9"/>
        <v>Marked</v>
      </c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</row>
    <row r="1382" ht="12.75" customHeight="1">
      <c r="A1382" s="19" t="str">
        <f t="shared" si="8"/>
        <v>Reinoud Feenstra elementalwatermakers</v>
      </c>
      <c r="B1382" s="19" t="s">
        <v>8140</v>
      </c>
      <c r="C1382" s="20" t="s">
        <v>8141</v>
      </c>
      <c r="D1382" s="20" t="s">
        <v>8142</v>
      </c>
      <c r="E1382" s="21" t="s">
        <v>8143</v>
      </c>
      <c r="F1382" s="23" t="s">
        <v>8144</v>
      </c>
      <c r="G1382" s="32" t="s">
        <v>46</v>
      </c>
      <c r="H1382" s="25" t="s">
        <v>47</v>
      </c>
      <c r="I1382" s="34"/>
      <c r="J1382" s="35" t="s">
        <v>8145</v>
      </c>
      <c r="K1382" s="27" t="s">
        <v>50</v>
      </c>
      <c r="L1382" s="13" t="s">
        <v>8146</v>
      </c>
      <c r="M1382" s="26" t="str">
        <f>VLOOKUP(E1382,'MTS 2026 registrations'!B:B,1,false)</f>
        <v>#N/A</v>
      </c>
      <c r="N1382" s="26" t="str">
        <f>VLOOKUP(B1382,'MTS 2026 registrations'!A:A,1,false)</f>
        <v>#N/A</v>
      </c>
      <c r="O1382" s="38" t="str">
        <f t="shared" si="9"/>
        <v>Marked</v>
      </c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</row>
    <row r="1383" ht="12.75" customHeight="1">
      <c r="A1383" s="19" t="str">
        <f t="shared" si="8"/>
        <v>Reinout vander Meulen Type22</v>
      </c>
      <c r="B1383" s="19" t="s">
        <v>8147</v>
      </c>
      <c r="C1383" s="29" t="s">
        <v>8148</v>
      </c>
      <c r="D1383" s="29" t="s">
        <v>8149</v>
      </c>
      <c r="E1383" s="62" t="s">
        <v>8150</v>
      </c>
      <c r="F1383" s="50" t="s">
        <v>3623</v>
      </c>
      <c r="G1383" s="32" t="s">
        <v>46</v>
      </c>
      <c r="H1383" s="25" t="s">
        <v>139</v>
      </c>
      <c r="I1383" s="13" t="s">
        <v>188</v>
      </c>
      <c r="J1383" s="35" t="s">
        <v>8151</v>
      </c>
      <c r="K1383" s="27" t="s">
        <v>50</v>
      </c>
      <c r="L1383" s="13" t="s">
        <v>8152</v>
      </c>
      <c r="M1383" s="26" t="str">
        <f>VLOOKUP(E1383,'MTS 2026 registrations'!B:B,1,false)</f>
        <v>#N/A</v>
      </c>
      <c r="N1383" s="26" t="str">
        <f>VLOOKUP(B1383,'MTS 2026 registrations'!A:A,1,false)</f>
        <v>#N/A</v>
      </c>
      <c r="O1383" s="38" t="str">
        <f t="shared" si="9"/>
        <v>Marked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</row>
    <row r="1384" ht="12.75" customHeight="1">
      <c r="A1384" s="19" t="str">
        <f t="shared" si="8"/>
        <v>Reinout van der Meulen tiincapital</v>
      </c>
      <c r="B1384" s="19" t="s">
        <v>8153</v>
      </c>
      <c r="C1384" s="20" t="s">
        <v>8148</v>
      </c>
      <c r="D1384" s="20" t="s">
        <v>4646</v>
      </c>
      <c r="E1384" s="21" t="s">
        <v>8154</v>
      </c>
      <c r="F1384" s="23" t="s">
        <v>8155</v>
      </c>
      <c r="G1384" s="24" t="s">
        <v>163</v>
      </c>
      <c r="H1384" s="25" t="s">
        <v>164</v>
      </c>
      <c r="I1384" s="34"/>
      <c r="J1384" s="35" t="s">
        <v>8156</v>
      </c>
      <c r="K1384" s="27" t="s">
        <v>50</v>
      </c>
      <c r="L1384" s="13" t="s">
        <v>8157</v>
      </c>
      <c r="M1384" s="26" t="str">
        <f>VLOOKUP(E1384,'MTS 2026 registrations'!B:B,1,false)</f>
        <v>#N/A</v>
      </c>
      <c r="N1384" s="26" t="str">
        <f>VLOOKUP(B1384,'MTS 2026 registrations'!A:A,1,false)</f>
        <v>#N/A</v>
      </c>
      <c r="O1384" s="38" t="str">
        <f t="shared" si="9"/>
        <v>Marked</v>
      </c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</row>
    <row r="1385" ht="12.75" customHeight="1">
      <c r="A1385" s="19" t="str">
        <f t="shared" si="8"/>
        <v>Reinout Capital tincapital</v>
      </c>
      <c r="B1385" s="19" t="s">
        <v>8158</v>
      </c>
      <c r="C1385" s="29" t="s">
        <v>8148</v>
      </c>
      <c r="D1385" s="29" t="s">
        <v>3615</v>
      </c>
      <c r="E1385" s="30" t="s">
        <v>8159</v>
      </c>
      <c r="F1385" s="29" t="s">
        <v>3617</v>
      </c>
      <c r="G1385" s="32" t="s">
        <v>163</v>
      </c>
      <c r="H1385" s="13" t="s">
        <v>45</v>
      </c>
      <c r="I1385" s="34"/>
      <c r="J1385" s="35" t="s">
        <v>8160</v>
      </c>
      <c r="K1385" s="27" t="s">
        <v>50</v>
      </c>
      <c r="L1385" s="13" t="s">
        <v>8161</v>
      </c>
      <c r="M1385" s="26" t="str">
        <f>VLOOKUP(E1385,'MTS 2026 registrations'!B:B,1,false)</f>
        <v>#N/A</v>
      </c>
      <c r="N1385" s="26" t="str">
        <f>VLOOKUP(B1385,'MTS 2026 registrations'!A:A,1,false)</f>
        <v>#N/A</v>
      </c>
      <c r="O1385" s="38" t="str">
        <f t="shared" si="9"/>
        <v>Marked</v>
      </c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</row>
    <row r="1386" ht="12.75" customHeight="1">
      <c r="A1386" s="19" t="str">
        <f t="shared" si="8"/>
        <v>Remco Westerbeek invest-nl</v>
      </c>
      <c r="B1386" s="19" t="s">
        <v>8162</v>
      </c>
      <c r="C1386" s="20" t="s">
        <v>8163</v>
      </c>
      <c r="D1386" s="20" t="s">
        <v>8164</v>
      </c>
      <c r="E1386" s="21" t="s">
        <v>8165</v>
      </c>
      <c r="F1386" s="23" t="s">
        <v>1648</v>
      </c>
      <c r="G1386" s="24" t="s">
        <v>163</v>
      </c>
      <c r="H1386" s="25" t="s">
        <v>164</v>
      </c>
      <c r="I1386" s="34"/>
      <c r="J1386" s="35" t="s">
        <v>8166</v>
      </c>
      <c r="K1386" s="27" t="s">
        <v>50</v>
      </c>
      <c r="L1386" s="13" t="s">
        <v>8167</v>
      </c>
      <c r="M1386" s="26" t="str">
        <f>VLOOKUP(E1386,'MTS 2026 registrations'!B:B,1,false)</f>
        <v>#N/A</v>
      </c>
      <c r="N1386" s="26" t="str">
        <f>VLOOKUP(B1386,'MTS 2026 registrations'!A:A,1,false)</f>
        <v>#N/A</v>
      </c>
      <c r="O1386" s="38" t="str">
        <f t="shared" si="9"/>
        <v>Marked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</row>
    <row r="1387" ht="12.75" customHeight="1">
      <c r="A1387" s="19" t="str">
        <f t="shared" si="8"/>
        <v>Remco Huijser Binkies3D (Canibal game studios)</v>
      </c>
      <c r="B1387" s="19" t="s">
        <v>8168</v>
      </c>
      <c r="C1387" s="29" t="s">
        <v>8163</v>
      </c>
      <c r="D1387" s="29" t="s">
        <v>8169</v>
      </c>
      <c r="E1387" s="31" t="s">
        <v>8170</v>
      </c>
      <c r="F1387" s="33" t="s">
        <v>5842</v>
      </c>
      <c r="G1387" s="32" t="s">
        <v>46</v>
      </c>
      <c r="H1387" s="25" t="s">
        <v>47</v>
      </c>
      <c r="I1387" s="34"/>
      <c r="J1387" s="35" t="s">
        <v>8171</v>
      </c>
      <c r="K1387" s="27" t="s">
        <v>50</v>
      </c>
      <c r="L1387" s="13" t="s">
        <v>8172</v>
      </c>
      <c r="M1387" s="26" t="str">
        <f>VLOOKUP(E1387,'MTS 2026 registrations'!B:B,1,false)</f>
        <v>#N/A</v>
      </c>
      <c r="N1387" s="26" t="str">
        <f>VLOOKUP(B1387,'MTS 2026 registrations'!A:A,1,false)</f>
        <v>#N/A</v>
      </c>
      <c r="O1387" s="38" t="str">
        <f t="shared" si="9"/>
        <v>Marked</v>
      </c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</row>
    <row r="1388" ht="12.75" customHeight="1">
      <c r="A1388" s="19" t="str">
        <f t="shared" si="8"/>
        <v>Remco Veenbrink videowindow</v>
      </c>
      <c r="B1388" s="19" t="s">
        <v>8173</v>
      </c>
      <c r="C1388" s="20" t="s">
        <v>8163</v>
      </c>
      <c r="D1388" s="20" t="s">
        <v>8174</v>
      </c>
      <c r="E1388" s="204" t="s">
        <v>8175</v>
      </c>
      <c r="F1388" s="23" t="s">
        <v>7068</v>
      </c>
      <c r="G1388" s="32" t="s">
        <v>46</v>
      </c>
      <c r="H1388" s="25" t="s">
        <v>47</v>
      </c>
      <c r="I1388" s="26"/>
      <c r="J1388" s="35" t="s">
        <v>8176</v>
      </c>
      <c r="K1388" s="27" t="s">
        <v>50</v>
      </c>
      <c r="L1388" s="13" t="s">
        <v>8177</v>
      </c>
      <c r="M1388" s="26" t="str">
        <f>VLOOKUP(E1388,'MTS 2026 registrations'!B:B,1,false)</f>
        <v>#N/A</v>
      </c>
      <c r="N1388" s="26" t="str">
        <f>VLOOKUP(B1388,'MTS 2026 registrations'!A:A,1,false)</f>
        <v>#N/A</v>
      </c>
      <c r="O1388" s="38" t="str">
        <f t="shared" si="9"/>
        <v>Marked</v>
      </c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</row>
    <row r="1389" ht="12.75" customHeight="1">
      <c r="A1389" s="19" t="str">
        <f t="shared" si="8"/>
        <v>Remko Slotema Plotwise (Calendar42)</v>
      </c>
      <c r="B1389" s="19" t="s">
        <v>8178</v>
      </c>
      <c r="C1389" s="29" t="s">
        <v>8179</v>
      </c>
      <c r="D1389" s="29" t="s">
        <v>8180</v>
      </c>
      <c r="E1389" s="31" t="s">
        <v>8181</v>
      </c>
      <c r="F1389" s="33" t="s">
        <v>8182</v>
      </c>
      <c r="G1389" s="24" t="s">
        <v>46</v>
      </c>
      <c r="H1389" s="25" t="s">
        <v>47</v>
      </c>
      <c r="I1389" s="34"/>
      <c r="J1389" s="35" t="s">
        <v>8183</v>
      </c>
      <c r="K1389" s="27" t="s">
        <v>50</v>
      </c>
      <c r="L1389" s="13" t="s">
        <v>8184</v>
      </c>
      <c r="M1389" s="26" t="str">
        <f>VLOOKUP(E1389,'MTS 2026 registrations'!B:B,1,false)</f>
        <v>#N/A</v>
      </c>
      <c r="N1389" s="26" t="str">
        <f>VLOOKUP(B1389,'MTS 2026 registrations'!A:A,1,false)</f>
        <v>#N/A</v>
      </c>
      <c r="O1389" s="38" t="str">
        <f t="shared" si="9"/>
        <v>Marked</v>
      </c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</row>
    <row r="1390" ht="12.75" customHeight="1">
      <c r="A1390" s="19" t="str">
        <f t="shared" si="8"/>
        <v>RenÃ© Elstgeest deLight Interactive Solutions</v>
      </c>
      <c r="B1390" s="19" t="s">
        <v>8185</v>
      </c>
      <c r="C1390" s="29" t="s">
        <v>8186</v>
      </c>
      <c r="D1390" s="29" t="s">
        <v>8187</v>
      </c>
      <c r="E1390" s="62" t="s">
        <v>8188</v>
      </c>
      <c r="F1390" s="50" t="s">
        <v>8189</v>
      </c>
      <c r="G1390" s="32" t="s">
        <v>46</v>
      </c>
      <c r="H1390" s="25" t="s">
        <v>139</v>
      </c>
      <c r="I1390" s="34"/>
      <c r="J1390" s="35" t="s">
        <v>8190</v>
      </c>
      <c r="K1390" s="27" t="s">
        <v>50</v>
      </c>
      <c r="L1390" s="13" t="s">
        <v>8191</v>
      </c>
      <c r="M1390" s="26" t="str">
        <f>VLOOKUP(E1390,'MTS 2026 registrations'!B:B,1,false)</f>
        <v>#N/A</v>
      </c>
      <c r="N1390" s="26" t="str">
        <f>VLOOKUP(B1390,'MTS 2026 registrations'!A:A,1,false)</f>
        <v>#N/A</v>
      </c>
      <c r="O1390" s="38" t="str">
        <f t="shared" si="9"/>
        <v>Marked</v>
      </c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</row>
    <row r="1391" ht="12.75" customHeight="1">
      <c r="A1391" s="19" t="str">
        <f t="shared" si="8"/>
        <v>Renate Langhout Lansingerland</v>
      </c>
      <c r="B1391" s="19" t="s">
        <v>8192</v>
      </c>
      <c r="C1391" s="134" t="s">
        <v>8193</v>
      </c>
      <c r="D1391" s="102" t="s">
        <v>8194</v>
      </c>
      <c r="E1391" s="48" t="s">
        <v>8195</v>
      </c>
      <c r="F1391" s="135" t="s">
        <v>8196</v>
      </c>
      <c r="G1391" s="42" t="s">
        <v>56</v>
      </c>
      <c r="H1391" s="25" t="s">
        <v>139</v>
      </c>
      <c r="I1391" s="34"/>
      <c r="J1391" s="35" t="s">
        <v>8197</v>
      </c>
      <c r="K1391" s="27" t="s">
        <v>50</v>
      </c>
      <c r="L1391" s="13" t="s">
        <v>8198</v>
      </c>
      <c r="M1391" s="26" t="str">
        <f>VLOOKUP(E1391,'MTS 2026 registrations'!B:B,1,false)</f>
        <v>#N/A</v>
      </c>
      <c r="N1391" s="26" t="str">
        <f>VLOOKUP(B1391,'MTS 2026 registrations'!A:A,1,false)</f>
        <v>#N/A</v>
      </c>
      <c r="O1391" s="38" t="str">
        <f t="shared" si="9"/>
        <v>Marked</v>
      </c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</row>
    <row r="1392" ht="12.75" customHeight="1">
      <c r="A1392" s="19" t="str">
        <f t="shared" si="8"/>
        <v>Rene Buck bciglobal</v>
      </c>
      <c r="B1392" s="19" t="s">
        <v>8199</v>
      </c>
      <c r="C1392" s="29" t="s">
        <v>8200</v>
      </c>
      <c r="D1392" s="29" t="s">
        <v>8201</v>
      </c>
      <c r="E1392" s="30" t="s">
        <v>8202</v>
      </c>
      <c r="F1392" s="29" t="s">
        <v>8203</v>
      </c>
      <c r="G1392" s="32" t="s">
        <v>1306</v>
      </c>
      <c r="H1392" s="13" t="s">
        <v>213</v>
      </c>
      <c r="I1392" s="34"/>
      <c r="J1392" s="35" t="s">
        <v>8204</v>
      </c>
      <c r="K1392" s="27" t="s">
        <v>50</v>
      </c>
      <c r="L1392" s="13" t="s">
        <v>8205</v>
      </c>
      <c r="M1392" s="26" t="str">
        <f>VLOOKUP(E1392,'MTS 2026 registrations'!B:B,1,false)</f>
        <v>#N/A</v>
      </c>
      <c r="N1392" s="26" t="str">
        <f>VLOOKUP(B1392,'MTS 2026 registrations'!A:A,1,false)</f>
        <v>#N/A</v>
      </c>
      <c r="O1392" s="38" t="str">
        <f t="shared" si="9"/>
        <v>Marked</v>
      </c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</row>
    <row r="1393" ht="12.75" customHeight="1">
      <c r="A1393" s="19" t="str">
        <f t="shared" si="8"/>
        <v>Rene Tensen tensengroep</v>
      </c>
      <c r="B1393" s="19" t="s">
        <v>8206</v>
      </c>
      <c r="C1393" s="20" t="s">
        <v>8200</v>
      </c>
      <c r="D1393" s="20" t="s">
        <v>8207</v>
      </c>
      <c r="E1393" s="21" t="s">
        <v>8208</v>
      </c>
      <c r="F1393" s="23" t="s">
        <v>8209</v>
      </c>
      <c r="G1393" s="24" t="s">
        <v>225</v>
      </c>
      <c r="H1393" s="25" t="s">
        <v>47</v>
      </c>
      <c r="I1393" s="34"/>
      <c r="J1393" s="35" t="s">
        <v>8210</v>
      </c>
      <c r="K1393" s="27" t="s">
        <v>50</v>
      </c>
      <c r="L1393" s="13" t="s">
        <v>8211</v>
      </c>
      <c r="M1393" s="26" t="str">
        <f>VLOOKUP(E1393,'MTS 2026 registrations'!B:B,1,false)</f>
        <v>#N/A</v>
      </c>
      <c r="N1393" s="26" t="str">
        <f>VLOOKUP(B1393,'MTS 2026 registrations'!A:A,1,false)</f>
        <v>#N/A</v>
      </c>
      <c r="O1393" s="38" t="str">
        <f t="shared" si="9"/>
        <v>Marked</v>
      </c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</row>
    <row r="1394" ht="12.75" customHeight="1">
      <c r="A1394" s="19" t="str">
        <f t="shared" si="8"/>
        <v>Rene Savelsberg setventures</v>
      </c>
      <c r="B1394" s="19" t="s">
        <v>8212</v>
      </c>
      <c r="C1394" s="20" t="s">
        <v>8200</v>
      </c>
      <c r="D1394" s="20" t="s">
        <v>8213</v>
      </c>
      <c r="E1394" s="21" t="s">
        <v>8214</v>
      </c>
      <c r="F1394" s="23" t="s">
        <v>2722</v>
      </c>
      <c r="G1394" s="24" t="s">
        <v>163</v>
      </c>
      <c r="H1394" s="25" t="s">
        <v>164</v>
      </c>
      <c r="I1394" s="34"/>
      <c r="J1394" s="35" t="s">
        <v>8215</v>
      </c>
      <c r="K1394" s="27" t="s">
        <v>50</v>
      </c>
      <c r="L1394" s="13" t="s">
        <v>8216</v>
      </c>
      <c r="M1394" s="26" t="str">
        <f>VLOOKUP(E1394,'MTS 2026 registrations'!B:B,1,false)</f>
        <v>#N/A</v>
      </c>
      <c r="N1394" s="26" t="str">
        <f>VLOOKUP(B1394,'MTS 2026 registrations'!A:A,1,false)</f>
        <v>#N/A</v>
      </c>
      <c r="O1394" s="38" t="str">
        <f t="shared" si="9"/>
        <v>Marked</v>
      </c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</row>
    <row r="1395" ht="12.75" customHeight="1">
      <c r="A1395" s="19" t="str">
        <f t="shared" si="8"/>
        <v>Reuben Moore Liion Power B.V.</v>
      </c>
      <c r="B1395" s="19" t="s">
        <v>8217</v>
      </c>
      <c r="C1395" s="13" t="s">
        <v>8218</v>
      </c>
      <c r="D1395" s="13" t="s">
        <v>8219</v>
      </c>
      <c r="E1395" s="60" t="s">
        <v>8220</v>
      </c>
      <c r="F1395" s="60" t="s">
        <v>3346</v>
      </c>
      <c r="G1395" s="32" t="s">
        <v>46</v>
      </c>
      <c r="H1395" s="25" t="s">
        <v>47</v>
      </c>
      <c r="I1395" s="34"/>
      <c r="J1395" s="35" t="s">
        <v>8221</v>
      </c>
      <c r="K1395" s="27" t="s">
        <v>50</v>
      </c>
      <c r="L1395" s="13" t="s">
        <v>8222</v>
      </c>
      <c r="M1395" s="26" t="str">
        <f>VLOOKUP(E1395,'MTS 2026 registrations'!B:B,1,false)</f>
        <v>#N/A</v>
      </c>
      <c r="N1395" s="26" t="str">
        <f>VLOOKUP(B1395,'MTS 2026 registrations'!A:A,1,false)</f>
        <v>#N/A</v>
      </c>
      <c r="O1395" s="38" t="str">
        <f t="shared" si="9"/>
        <v>Marked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</row>
    <row r="1396" ht="12.75" customHeight="1">
      <c r="A1396" s="19" t="str">
        <f t="shared" si="8"/>
        <v>Reza Lotfi innoboom</v>
      </c>
      <c r="B1396" s="19" t="s">
        <v>8223</v>
      </c>
      <c r="C1396" s="20" t="s">
        <v>8224</v>
      </c>
      <c r="D1396" s="20" t="s">
        <v>7753</v>
      </c>
      <c r="E1396" s="94" t="s">
        <v>8225</v>
      </c>
      <c r="F1396" s="23" t="s">
        <v>3233</v>
      </c>
      <c r="G1396" s="32" t="s">
        <v>46</v>
      </c>
      <c r="H1396" s="25" t="s">
        <v>47</v>
      </c>
      <c r="I1396" s="34"/>
      <c r="J1396" s="35" t="s">
        <v>8226</v>
      </c>
      <c r="K1396" s="27" t="s">
        <v>50</v>
      </c>
      <c r="L1396" s="13" t="s">
        <v>8227</v>
      </c>
      <c r="M1396" s="26" t="str">
        <f>VLOOKUP(E1396,'MTS 2026 registrations'!B:B,1,false)</f>
        <v>#N/A</v>
      </c>
      <c r="N1396" s="26" t="str">
        <f>VLOOKUP(B1396,'MTS 2026 registrations'!A:A,1,false)</f>
        <v>#N/A</v>
      </c>
      <c r="O1396" s="38" t="str">
        <f t="shared" si="9"/>
        <v>Marked</v>
      </c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</row>
    <row r="1397" ht="12.75" customHeight="1">
      <c r="A1397" s="19" t="str">
        <f t="shared" si="8"/>
        <v>Rianne Wolfs laevo</v>
      </c>
      <c r="B1397" s="19" t="s">
        <v>8228</v>
      </c>
      <c r="C1397" s="20" t="s">
        <v>2013</v>
      </c>
      <c r="D1397" s="20" t="s">
        <v>8229</v>
      </c>
      <c r="E1397" s="21" t="s">
        <v>8230</v>
      </c>
      <c r="F1397" s="23" t="s">
        <v>8231</v>
      </c>
      <c r="G1397" s="32" t="s">
        <v>46</v>
      </c>
      <c r="H1397" s="25" t="s">
        <v>47</v>
      </c>
      <c r="I1397" s="23"/>
      <c r="J1397" s="35" t="s">
        <v>8232</v>
      </c>
      <c r="K1397" s="27" t="s">
        <v>50</v>
      </c>
      <c r="L1397" s="13" t="s">
        <v>8233</v>
      </c>
      <c r="M1397" s="26" t="str">
        <f>VLOOKUP(E1397,'MTS 2026 registrations'!B:B,1,false)</f>
        <v>#N/A</v>
      </c>
      <c r="N1397" s="26" t="str">
        <f>VLOOKUP(B1397,'MTS 2026 registrations'!A:A,1,false)</f>
        <v>#N/A</v>
      </c>
      <c r="O1397" s="38" t="str">
        <f t="shared" si="9"/>
        <v>Marked</v>
      </c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34"/>
      <c r="AE1397" s="34"/>
    </row>
    <row r="1398" ht="12.75" customHeight="1">
      <c r="A1398" s="19" t="str">
        <f t="shared" si="8"/>
        <v>Rianne van de Sande nl.ey</v>
      </c>
      <c r="B1398" s="19" t="s">
        <v>8234</v>
      </c>
      <c r="C1398" s="20" t="s">
        <v>2013</v>
      </c>
      <c r="D1398" s="20" t="s">
        <v>8235</v>
      </c>
      <c r="E1398" s="21" t="s">
        <v>8236</v>
      </c>
      <c r="F1398" s="23" t="s">
        <v>8237</v>
      </c>
      <c r="G1398" s="42" t="s">
        <v>69</v>
      </c>
      <c r="H1398" s="25" t="s">
        <v>47</v>
      </c>
      <c r="I1398" s="34"/>
      <c r="J1398" s="35" t="s">
        <v>8238</v>
      </c>
      <c r="K1398" s="27" t="s">
        <v>50</v>
      </c>
      <c r="L1398" s="13" t="s">
        <v>8239</v>
      </c>
      <c r="M1398" s="26" t="str">
        <f>VLOOKUP(E1398,'MTS 2026 registrations'!B:B,1,false)</f>
        <v>rianne.van.de.sande@nl.ey.com</v>
      </c>
      <c r="N1398" s="26" t="str">
        <f>VLOOKUP(B1398,'MTS 2026 registrations'!A:A,1,false)</f>
        <v>Rianne van de Sande</v>
      </c>
      <c r="O1398" s="38" t="str">
        <f t="shared" si="9"/>
        <v/>
      </c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</row>
    <row r="1399" ht="12.75" customHeight="1">
      <c r="A1399" s="19" t="str">
        <f t="shared" si="8"/>
        <v>Riccardo Sarijoen JP Motorcycles</v>
      </c>
      <c r="B1399" s="19" t="s">
        <v>8240</v>
      </c>
      <c r="C1399" s="29" t="s">
        <v>8241</v>
      </c>
      <c r="D1399" s="29" t="s">
        <v>8242</v>
      </c>
      <c r="E1399" s="62" t="s">
        <v>8243</v>
      </c>
      <c r="F1399" s="60" t="s">
        <v>923</v>
      </c>
      <c r="G1399" s="32" t="s">
        <v>46</v>
      </c>
      <c r="H1399" s="25" t="s">
        <v>139</v>
      </c>
      <c r="I1399" s="34"/>
      <c r="J1399" s="35" t="s">
        <v>8244</v>
      </c>
      <c r="K1399" s="27" t="s">
        <v>50</v>
      </c>
      <c r="L1399" s="13" t="s">
        <v>8245</v>
      </c>
      <c r="M1399" s="26" t="str">
        <f>VLOOKUP(E1399,'MTS 2026 registrations'!B:B,1,false)</f>
        <v>#N/A</v>
      </c>
      <c r="N1399" s="26" t="str">
        <f>VLOOKUP(B1399,'MTS 2026 registrations'!A:A,1,false)</f>
        <v>#N/A</v>
      </c>
      <c r="O1399" s="38" t="str">
        <f t="shared" si="9"/>
        <v>Marked</v>
      </c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</row>
    <row r="1400" ht="12.75" customHeight="1">
      <c r="A1400" s="19" t="str">
        <f t="shared" si="8"/>
        <v>Richard Spijkers gmail</v>
      </c>
      <c r="B1400" s="19" t="s">
        <v>8246</v>
      </c>
      <c r="C1400" s="43" t="s">
        <v>1451</v>
      </c>
      <c r="D1400" s="43" t="s">
        <v>8247</v>
      </c>
      <c r="E1400" s="31" t="s">
        <v>8248</v>
      </c>
      <c r="F1400" s="33" t="s">
        <v>6728</v>
      </c>
      <c r="G1400" s="51" t="s">
        <v>163</v>
      </c>
      <c r="H1400" s="25" t="s">
        <v>139</v>
      </c>
      <c r="I1400" s="34"/>
      <c r="J1400" s="35" t="s">
        <v>8249</v>
      </c>
      <c r="K1400" s="27" t="s">
        <v>50</v>
      </c>
      <c r="L1400" s="25" t="s">
        <v>8250</v>
      </c>
      <c r="M1400" s="26" t="str">
        <f>VLOOKUP(E1400,'MTS 2026 registrations'!B:B,1,false)</f>
        <v>#N/A</v>
      </c>
      <c r="N1400" s="26" t="str">
        <f>VLOOKUP(B1400,'MTS 2026 registrations'!A:A,1,false)</f>
        <v>#N/A</v>
      </c>
      <c r="O1400" s="38" t="str">
        <f t="shared" si="9"/>
        <v>Marked</v>
      </c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</row>
    <row r="1401" ht="12.75" customHeight="1">
      <c r="A1401" s="19" t="str">
        <f t="shared" si="8"/>
        <v>Richard Goossens tudelft</v>
      </c>
      <c r="B1401" s="19" t="s">
        <v>8251</v>
      </c>
      <c r="C1401" s="60" t="s">
        <v>1451</v>
      </c>
      <c r="D1401" s="60" t="s">
        <v>8252</v>
      </c>
      <c r="E1401" s="31" t="s">
        <v>8253</v>
      </c>
      <c r="F1401" s="64" t="s">
        <v>184</v>
      </c>
      <c r="G1401" s="42" t="s">
        <v>43</v>
      </c>
      <c r="H1401" s="25" t="s">
        <v>139</v>
      </c>
      <c r="I1401" s="34"/>
      <c r="J1401" s="35" t="s">
        <v>8254</v>
      </c>
      <c r="K1401" s="27" t="s">
        <v>50</v>
      </c>
      <c r="L1401" s="13" t="s">
        <v>8255</v>
      </c>
      <c r="M1401" s="26" t="str">
        <f>VLOOKUP(E1401,'MTS 2026 registrations'!B:B,1,false)</f>
        <v>#N/A</v>
      </c>
      <c r="N1401" s="26" t="str">
        <f>VLOOKUP(B1401,'MTS 2026 registrations'!A:A,1,false)</f>
        <v>#N/A</v>
      </c>
      <c r="O1401" s="38" t="str">
        <f t="shared" si="9"/>
        <v>Marked</v>
      </c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</row>
    <row r="1402" ht="12.75" customHeight="1">
      <c r="A1402" s="19" t="str">
        <f t="shared" si="8"/>
        <v>Richard Stronkman Greetinq, PublicSonar, Iconic Works</v>
      </c>
      <c r="B1402" s="19" t="s">
        <v>8256</v>
      </c>
      <c r="C1402" s="29" t="s">
        <v>1451</v>
      </c>
      <c r="D1402" s="29" t="s">
        <v>8257</v>
      </c>
      <c r="E1402" s="62" t="s">
        <v>8258</v>
      </c>
      <c r="F1402" s="50" t="s">
        <v>8259</v>
      </c>
      <c r="G1402" s="32" t="s">
        <v>46</v>
      </c>
      <c r="H1402" s="25" t="s">
        <v>139</v>
      </c>
      <c r="I1402" s="34"/>
      <c r="J1402" s="35" t="s">
        <v>8260</v>
      </c>
      <c r="K1402" s="27" t="s">
        <v>50</v>
      </c>
      <c r="L1402" s="13" t="s">
        <v>8261</v>
      </c>
      <c r="M1402" s="26" t="str">
        <f>VLOOKUP(E1402,'MTS 2026 registrations'!B:B,1,false)</f>
        <v>#N/A</v>
      </c>
      <c r="N1402" s="26" t="str">
        <f>VLOOKUP(B1402,'MTS 2026 registrations'!A:A,1,false)</f>
        <v>#N/A</v>
      </c>
      <c r="O1402" s="38" t="str">
        <f t="shared" si="9"/>
        <v>Marked</v>
      </c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</row>
    <row r="1403" ht="12.75" customHeight="1">
      <c r="A1403" s="19" t="str">
        <f t="shared" si="8"/>
        <v>Richard van der Linde Lacquey Robot Grasping Solutions</v>
      </c>
      <c r="B1403" s="19" t="s">
        <v>8262</v>
      </c>
      <c r="C1403" s="29" t="s">
        <v>1451</v>
      </c>
      <c r="D1403" s="29" t="s">
        <v>8263</v>
      </c>
      <c r="E1403" s="80" t="s">
        <v>8264</v>
      </c>
      <c r="F1403" s="33" t="s">
        <v>838</v>
      </c>
      <c r="G1403" s="32" t="s">
        <v>46</v>
      </c>
      <c r="H1403" s="25" t="s">
        <v>47</v>
      </c>
      <c r="I1403" s="34"/>
      <c r="J1403" s="35" t="s">
        <v>8265</v>
      </c>
      <c r="K1403" s="27" t="s">
        <v>50</v>
      </c>
      <c r="L1403" s="13" t="s">
        <v>8266</v>
      </c>
      <c r="M1403" s="26" t="str">
        <f>VLOOKUP(E1403,'MTS 2026 registrations'!B:B,1,false)</f>
        <v>#N/A</v>
      </c>
      <c r="N1403" s="26" t="str">
        <f>VLOOKUP(B1403,'MTS 2026 registrations'!A:A,1,false)</f>
        <v>#N/A</v>
      </c>
      <c r="O1403" s="38" t="str">
        <f t="shared" si="9"/>
        <v>Marked</v>
      </c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</row>
    <row r="1404" ht="12.75" customHeight="1">
      <c r="A1404" s="19" t="str">
        <f t="shared" si="8"/>
        <v>Richard van der Pluym nl.ey</v>
      </c>
      <c r="B1404" s="19" t="s">
        <v>8267</v>
      </c>
      <c r="C1404" s="20" t="s">
        <v>8268</v>
      </c>
      <c r="D1404" s="20" t="s">
        <v>8269</v>
      </c>
      <c r="E1404" s="21" t="s">
        <v>8270</v>
      </c>
      <c r="F1404" s="23" t="s">
        <v>8237</v>
      </c>
      <c r="G1404" s="42" t="s">
        <v>69</v>
      </c>
      <c r="H1404" s="25" t="s">
        <v>47</v>
      </c>
      <c r="I1404" s="34"/>
      <c r="J1404" s="35" t="s">
        <v>8271</v>
      </c>
      <c r="K1404" s="27" t="s">
        <v>50</v>
      </c>
      <c r="L1404" s="13" t="s">
        <v>8272</v>
      </c>
      <c r="M1404" s="26" t="str">
        <f>VLOOKUP(E1404,'MTS 2026 registrations'!B:B,1,false)</f>
        <v>#N/A</v>
      </c>
      <c r="N1404" s="26" t="str">
        <f>VLOOKUP(B1404,'MTS 2026 registrations'!A:A,1,false)</f>
        <v>#N/A</v>
      </c>
      <c r="O1404" s="38" t="str">
        <f t="shared" si="9"/>
        <v>Marked</v>
      </c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</row>
    <row r="1405" ht="12.75" customHeight="1">
      <c r="A1405" s="19" t="str">
        <f t="shared" si="8"/>
        <v>Rick Fransen pzh</v>
      </c>
      <c r="B1405" s="19" t="s">
        <v>8273</v>
      </c>
      <c r="C1405" s="20" t="s">
        <v>2028</v>
      </c>
      <c r="D1405" s="20" t="s">
        <v>8274</v>
      </c>
      <c r="E1405" s="21" t="s">
        <v>8275</v>
      </c>
      <c r="F1405" s="23" t="s">
        <v>1532</v>
      </c>
      <c r="G1405" s="24" t="s">
        <v>323</v>
      </c>
      <c r="H1405" s="25" t="s">
        <v>139</v>
      </c>
      <c r="I1405" s="23"/>
      <c r="J1405" s="35" t="s">
        <v>8276</v>
      </c>
      <c r="K1405" s="27" t="s">
        <v>50</v>
      </c>
      <c r="L1405" s="13" t="s">
        <v>8277</v>
      </c>
      <c r="M1405" s="26" t="str">
        <f>VLOOKUP(E1405,'MTS 2026 registrations'!B:B,1,false)</f>
        <v>#N/A</v>
      </c>
      <c r="N1405" s="26" t="str">
        <f>VLOOKUP(B1405,'MTS 2026 registrations'!A:A,1,false)</f>
        <v>#N/A</v>
      </c>
      <c r="O1405" s="38" t="str">
        <f t="shared" si="9"/>
        <v>Marked</v>
      </c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34"/>
      <c r="AE1405" s="34"/>
    </row>
    <row r="1406" ht="12.75" customHeight="1">
      <c r="A1406" s="19" t="str">
        <f t="shared" si="8"/>
        <v>Rick Bonants tudelft</v>
      </c>
      <c r="B1406" s="19" t="s">
        <v>8278</v>
      </c>
      <c r="C1406" s="29" t="s">
        <v>2028</v>
      </c>
      <c r="D1406" s="29" t="s">
        <v>8279</v>
      </c>
      <c r="E1406" s="31" t="s">
        <v>8280</v>
      </c>
      <c r="F1406" s="29" t="s">
        <v>184</v>
      </c>
      <c r="G1406" s="32" t="s">
        <v>43</v>
      </c>
      <c r="H1406" s="13" t="s">
        <v>213</v>
      </c>
      <c r="I1406" s="34"/>
      <c r="J1406" s="35" t="s">
        <v>8281</v>
      </c>
      <c r="K1406" s="27" t="s">
        <v>50</v>
      </c>
      <c r="L1406" s="13" t="s">
        <v>8282</v>
      </c>
      <c r="M1406" s="26" t="str">
        <f>VLOOKUP(E1406,'MTS 2026 registrations'!B:B,1,false)</f>
        <v>#N/A</v>
      </c>
      <c r="N1406" s="26" t="str">
        <f>VLOOKUP(B1406,'MTS 2026 registrations'!A:A,1,false)</f>
        <v>#N/A</v>
      </c>
      <c r="O1406" s="38" t="str">
        <f t="shared" si="9"/>
        <v>Marked</v>
      </c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</row>
    <row r="1407" ht="12.75" customHeight="1">
      <c r="A1407" s="19" t="str">
        <f t="shared" si="8"/>
        <v>Rick Lenssen e-trailer</v>
      </c>
      <c r="B1407" s="19" t="s">
        <v>8283</v>
      </c>
      <c r="C1407" s="20" t="s">
        <v>2028</v>
      </c>
      <c r="D1407" s="20" t="s">
        <v>8284</v>
      </c>
      <c r="E1407" s="21" t="s">
        <v>8285</v>
      </c>
      <c r="F1407" s="23" t="s">
        <v>3812</v>
      </c>
      <c r="G1407" s="32" t="s">
        <v>46</v>
      </c>
      <c r="H1407" s="25" t="s">
        <v>47</v>
      </c>
      <c r="I1407" s="34"/>
      <c r="J1407" s="35" t="s">
        <v>8286</v>
      </c>
      <c r="K1407" s="27" t="s">
        <v>50</v>
      </c>
      <c r="L1407" s="13" t="s">
        <v>8287</v>
      </c>
      <c r="M1407" s="26" t="str">
        <f>VLOOKUP(E1407,'MTS 2026 registrations'!B:B,1,false)</f>
        <v>#N/A</v>
      </c>
      <c r="N1407" s="26" t="str">
        <f>VLOOKUP(B1407,'MTS 2026 registrations'!A:A,1,false)</f>
        <v>#N/A</v>
      </c>
      <c r="O1407" s="38" t="str">
        <f t="shared" si="9"/>
        <v>Marked</v>
      </c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</row>
    <row r="1408" ht="12.75" customHeight="1">
      <c r="A1408" s="19" t="str">
        <f t="shared" si="8"/>
        <v>Riemer Smink forward.one</v>
      </c>
      <c r="B1408" s="19" t="s">
        <v>8288</v>
      </c>
      <c r="C1408" s="20" t="s">
        <v>8289</v>
      </c>
      <c r="D1408" s="20" t="s">
        <v>8290</v>
      </c>
      <c r="E1408" s="21" t="s">
        <v>8291</v>
      </c>
      <c r="F1408" s="23" t="s">
        <v>3486</v>
      </c>
      <c r="G1408" s="24" t="s">
        <v>163</v>
      </c>
      <c r="H1408" s="25" t="s">
        <v>164</v>
      </c>
      <c r="I1408" s="34"/>
      <c r="J1408" s="35" t="s">
        <v>8292</v>
      </c>
      <c r="K1408" s="27" t="s">
        <v>50</v>
      </c>
      <c r="L1408" s="13" t="s">
        <v>8293</v>
      </c>
      <c r="M1408" s="26" t="str">
        <f>VLOOKUP(E1408,'MTS 2026 registrations'!B:B,1,false)</f>
        <v>#N/A</v>
      </c>
      <c r="N1408" s="26" t="str">
        <f>VLOOKUP(B1408,'MTS 2026 registrations'!A:A,1,false)</f>
        <v>#N/A</v>
      </c>
      <c r="O1408" s="38" t="str">
        <f t="shared" si="9"/>
        <v>Marked</v>
      </c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</row>
    <row r="1409" ht="12.75" customHeight="1">
      <c r="A1409" s="19" t="str">
        <f t="shared" si="8"/>
        <v>Rien Kamman Source</v>
      </c>
      <c r="B1409" s="19" t="s">
        <v>8294</v>
      </c>
      <c r="C1409" s="29" t="s">
        <v>8295</v>
      </c>
      <c r="D1409" s="29" t="s">
        <v>8296</v>
      </c>
      <c r="E1409" s="31" t="s">
        <v>8297</v>
      </c>
      <c r="F1409" s="33" t="s">
        <v>4624</v>
      </c>
      <c r="G1409" s="24" t="s">
        <v>46</v>
      </c>
      <c r="H1409" s="25" t="s">
        <v>47</v>
      </c>
      <c r="I1409" s="34"/>
      <c r="J1409" s="35" t="s">
        <v>8298</v>
      </c>
      <c r="K1409" s="27" t="s">
        <v>50</v>
      </c>
      <c r="L1409" s="13" t="s">
        <v>8299</v>
      </c>
      <c r="M1409" s="26" t="str">
        <f>VLOOKUP(E1409,'MTS 2026 registrations'!B:B,1,false)</f>
        <v>#N/A</v>
      </c>
      <c r="N1409" s="26" t="str">
        <f>VLOOKUP(B1409,'MTS 2026 registrations'!A:A,1,false)</f>
        <v>#N/A</v>
      </c>
      <c r="O1409" s="38" t="str">
        <f t="shared" si="9"/>
        <v>Marked</v>
      </c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</row>
    <row r="1410" ht="12.75" customHeight="1">
      <c r="A1410" s="19" t="str">
        <f t="shared" si="8"/>
        <v>Rik Roeske rvo</v>
      </c>
      <c r="B1410" s="19" t="s">
        <v>8300</v>
      </c>
      <c r="C1410" s="20" t="s">
        <v>1014</v>
      </c>
      <c r="D1410" s="20" t="s">
        <v>8301</v>
      </c>
      <c r="E1410" s="21" t="s">
        <v>8302</v>
      </c>
      <c r="F1410" s="23" t="s">
        <v>689</v>
      </c>
      <c r="G1410" s="42" t="s">
        <v>69</v>
      </c>
      <c r="H1410" s="25" t="s">
        <v>47</v>
      </c>
      <c r="I1410" s="34"/>
      <c r="J1410" s="35" t="s">
        <v>8303</v>
      </c>
      <c r="K1410" s="27" t="s">
        <v>50</v>
      </c>
      <c r="L1410" s="27" t="s">
        <v>8304</v>
      </c>
      <c r="M1410" s="26" t="str">
        <f>VLOOKUP(E1410,'MTS 2026 registrations'!B:B,1,false)</f>
        <v>#N/A</v>
      </c>
      <c r="N1410" s="26" t="str">
        <f>VLOOKUP(B1410,'MTS 2026 registrations'!A:A,1,false)</f>
        <v>#N/A</v>
      </c>
      <c r="O1410" s="38" t="str">
        <f t="shared" si="9"/>
        <v>Marked</v>
      </c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</row>
    <row r="1411" ht="12.75" customHeight="1">
      <c r="A1411" s="19" t="str">
        <f t="shared" si="8"/>
        <v>Riley Barendse baruni</v>
      </c>
      <c r="B1411" s="19" t="s">
        <v>8305</v>
      </c>
      <c r="C1411" s="20" t="s">
        <v>8306</v>
      </c>
      <c r="D1411" s="20" t="s">
        <v>8307</v>
      </c>
      <c r="E1411" s="21" t="s">
        <v>8308</v>
      </c>
      <c r="F1411" s="23" t="s">
        <v>8309</v>
      </c>
      <c r="G1411" s="24" t="s">
        <v>163</v>
      </c>
      <c r="H1411" s="25" t="s">
        <v>164</v>
      </c>
      <c r="I1411" s="26"/>
      <c r="J1411" s="35" t="s">
        <v>8310</v>
      </c>
      <c r="K1411" s="27" t="s">
        <v>50</v>
      </c>
      <c r="L1411" s="13" t="s">
        <v>8311</v>
      </c>
      <c r="M1411" s="26" t="str">
        <f>VLOOKUP(E1411,'MTS 2026 registrations'!B:B,1,false)</f>
        <v>#N/A</v>
      </c>
      <c r="N1411" s="26" t="str">
        <f>VLOOKUP(B1411,'MTS 2026 registrations'!A:A,1,false)</f>
        <v>#N/A</v>
      </c>
      <c r="O1411" s="38" t="str">
        <f t="shared" si="9"/>
        <v>Marked</v>
      </c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34"/>
      <c r="AE1411" s="34"/>
    </row>
    <row r="1412" ht="12.75" customHeight="1">
      <c r="A1412" s="19" t="str">
        <f t="shared" si="8"/>
        <v>Rinke Zonneveld invest-nl</v>
      </c>
      <c r="B1412" s="19" t="s">
        <v>8312</v>
      </c>
      <c r="C1412" s="20" t="s">
        <v>8313</v>
      </c>
      <c r="D1412" s="20" t="s">
        <v>8314</v>
      </c>
      <c r="E1412" s="21" t="s">
        <v>8315</v>
      </c>
      <c r="F1412" s="23" t="s">
        <v>1648</v>
      </c>
      <c r="G1412" s="42" t="s">
        <v>69</v>
      </c>
      <c r="H1412" s="25" t="s">
        <v>139</v>
      </c>
      <c r="I1412" s="34"/>
      <c r="J1412" s="35" t="s">
        <v>8316</v>
      </c>
      <c r="K1412" s="27" t="s">
        <v>50</v>
      </c>
      <c r="L1412" s="13" t="s">
        <v>8317</v>
      </c>
      <c r="M1412" s="26" t="str">
        <f>VLOOKUP(E1412,'MTS 2026 registrations'!B:B,1,false)</f>
        <v>#N/A</v>
      </c>
      <c r="N1412" s="26" t="str">
        <f>VLOOKUP(B1412,'MTS 2026 registrations'!A:A,1,false)</f>
        <v>#N/A</v>
      </c>
      <c r="O1412" s="38" t="str">
        <f t="shared" si="9"/>
        <v>Marked</v>
      </c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</row>
    <row r="1413" ht="12.75" customHeight="1">
      <c r="A1413" s="19" t="str">
        <f t="shared" si="8"/>
        <v>Rinze de Vries noria.earth</v>
      </c>
      <c r="B1413" s="19" t="s">
        <v>8318</v>
      </c>
      <c r="C1413" s="20" t="s">
        <v>8319</v>
      </c>
      <c r="D1413" s="20" t="s">
        <v>105</v>
      </c>
      <c r="E1413" s="21" t="s">
        <v>8320</v>
      </c>
      <c r="F1413" s="23" t="s">
        <v>3524</v>
      </c>
      <c r="G1413" s="32" t="s">
        <v>46</v>
      </c>
      <c r="H1413" s="25" t="s">
        <v>47</v>
      </c>
      <c r="I1413" s="34"/>
      <c r="J1413" s="35" t="s">
        <v>8321</v>
      </c>
      <c r="K1413" s="27" t="s">
        <v>50</v>
      </c>
      <c r="L1413" s="13" t="s">
        <v>8322</v>
      </c>
      <c r="M1413" s="26" t="str">
        <f>VLOOKUP(E1413,'MTS 2026 registrations'!B:B,1,false)</f>
        <v>#N/A</v>
      </c>
      <c r="N1413" s="26" t="str">
        <f>VLOOKUP(B1413,'MTS 2026 registrations'!A:A,1,false)</f>
        <v>#N/A</v>
      </c>
      <c r="O1413" s="38" t="str">
        <f t="shared" si="9"/>
        <v>Marked</v>
      </c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</row>
    <row r="1414" ht="12.75" customHeight="1">
      <c r="A1414" s="19" t="str">
        <f t="shared" si="8"/>
        <v>Rob van Mierlo moore-drv</v>
      </c>
      <c r="B1414" s="19" t="s">
        <v>8323</v>
      </c>
      <c r="C1414" s="29" t="s">
        <v>8324</v>
      </c>
      <c r="D1414" s="29" t="s">
        <v>8325</v>
      </c>
      <c r="E1414" s="31" t="s">
        <v>8326</v>
      </c>
      <c r="F1414" s="29" t="s">
        <v>5042</v>
      </c>
      <c r="G1414" s="32" t="s">
        <v>163</v>
      </c>
      <c r="H1414" s="13" t="s">
        <v>213</v>
      </c>
      <c r="I1414" s="34"/>
      <c r="J1414" s="35" t="s">
        <v>8327</v>
      </c>
      <c r="K1414" s="27" t="s">
        <v>50</v>
      </c>
      <c r="L1414" s="13" t="s">
        <v>8328</v>
      </c>
      <c r="M1414" s="26" t="str">
        <f>VLOOKUP(E1414,'MTS 2026 registrations'!B:B,1,false)</f>
        <v>#N/A</v>
      </c>
      <c r="N1414" s="26" t="str">
        <f>VLOOKUP(B1414,'MTS 2026 registrations'!A:A,1,false)</f>
        <v>#N/A</v>
      </c>
      <c r="O1414" s="38" t="str">
        <f t="shared" si="9"/>
        <v>Marked</v>
      </c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</row>
    <row r="1415" ht="12.75" customHeight="1">
      <c r="A1415" s="19" t="str">
        <f t="shared" si="8"/>
        <v>Rob van Straten Skytree (Giaura)</v>
      </c>
      <c r="B1415" s="19" t="s">
        <v>8329</v>
      </c>
      <c r="C1415" s="29" t="s">
        <v>8324</v>
      </c>
      <c r="D1415" s="29" t="s">
        <v>8330</v>
      </c>
      <c r="E1415" s="31" t="s">
        <v>8331</v>
      </c>
      <c r="F1415" s="33" t="s">
        <v>3253</v>
      </c>
      <c r="G1415" s="24" t="s">
        <v>46</v>
      </c>
      <c r="H1415" s="25" t="s">
        <v>47</v>
      </c>
      <c r="I1415" s="34"/>
      <c r="J1415" s="35" t="s">
        <v>8332</v>
      </c>
      <c r="K1415" s="27" t="s">
        <v>50</v>
      </c>
      <c r="L1415" s="13" t="s">
        <v>8333</v>
      </c>
      <c r="M1415" s="26" t="str">
        <f>VLOOKUP(E1415,'MTS 2026 registrations'!B:B,1,false)</f>
        <v>#N/A</v>
      </c>
      <c r="N1415" s="26" t="str">
        <f>VLOOKUP(B1415,'MTS 2026 registrations'!A:A,1,false)</f>
        <v>#N/A</v>
      </c>
      <c r="O1415" s="38" t="str">
        <f t="shared" si="9"/>
        <v>Marked</v>
      </c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</row>
    <row r="1416" ht="12.75" customHeight="1">
      <c r="A1416" s="19" t="str">
        <f t="shared" si="8"/>
        <v>Rob Steenbrink stonemax</v>
      </c>
      <c r="B1416" s="19" t="s">
        <v>8334</v>
      </c>
      <c r="C1416" s="29" t="s">
        <v>8324</v>
      </c>
      <c r="D1416" s="29" t="s">
        <v>8335</v>
      </c>
      <c r="E1416" s="30" t="s">
        <v>8336</v>
      </c>
      <c r="F1416" s="29" t="s">
        <v>8337</v>
      </c>
      <c r="G1416" s="32" t="s">
        <v>1306</v>
      </c>
      <c r="H1416" s="13" t="s">
        <v>213</v>
      </c>
      <c r="I1416" s="34"/>
      <c r="J1416" s="35" t="s">
        <v>8338</v>
      </c>
      <c r="K1416" s="27" t="s">
        <v>50</v>
      </c>
      <c r="L1416" s="13" t="s">
        <v>8339</v>
      </c>
      <c r="M1416" s="26" t="str">
        <f>VLOOKUP(E1416,'MTS 2026 registrations'!B:B,1,false)</f>
        <v>#N/A</v>
      </c>
      <c r="N1416" s="26" t="str">
        <f>VLOOKUP(B1416,'MTS 2026 registrations'!A:A,1,false)</f>
        <v>#N/A</v>
      </c>
      <c r="O1416" s="38" t="str">
        <f t="shared" si="9"/>
        <v>Marked</v>
      </c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</row>
    <row r="1417" ht="12.75" customHeight="1">
      <c r="A1417" s="19" t="str">
        <f t="shared" si="8"/>
        <v>Robbert van Putten cyberhydra</v>
      </c>
      <c r="B1417" s="19" t="s">
        <v>8340</v>
      </c>
      <c r="C1417" s="20" t="s">
        <v>8341</v>
      </c>
      <c r="D1417" s="20" t="s">
        <v>8342</v>
      </c>
      <c r="E1417" s="31" t="s">
        <v>8343</v>
      </c>
      <c r="F1417" s="23" t="s">
        <v>4668</v>
      </c>
      <c r="G1417" s="32" t="s">
        <v>46</v>
      </c>
      <c r="H1417" s="25" t="s">
        <v>47</v>
      </c>
      <c r="I1417" s="26"/>
      <c r="J1417" s="35" t="s">
        <v>8344</v>
      </c>
      <c r="K1417" s="27" t="s">
        <v>50</v>
      </c>
      <c r="L1417" s="13" t="s">
        <v>8345</v>
      </c>
      <c r="M1417" s="26" t="str">
        <f>VLOOKUP(E1417,'MTS 2026 registrations'!B:B,1,false)</f>
        <v>#N/A</v>
      </c>
      <c r="N1417" s="26" t="str">
        <f>VLOOKUP(B1417,'MTS 2026 registrations'!A:A,1,false)</f>
        <v>#N/A</v>
      </c>
      <c r="O1417" s="38" t="str">
        <f t="shared" si="9"/>
        <v>Marked</v>
      </c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</row>
    <row r="1418" ht="12.75" customHeight="1">
      <c r="A1418" s="19" t="str">
        <f t="shared" si="8"/>
        <v>Robbert Lut rabobank</v>
      </c>
      <c r="B1418" s="19" t="s">
        <v>8346</v>
      </c>
      <c r="C1418" s="20" t="s">
        <v>8341</v>
      </c>
      <c r="D1418" s="20" t="s">
        <v>8347</v>
      </c>
      <c r="E1418" s="21" t="s">
        <v>8348</v>
      </c>
      <c r="F1418" s="23" t="s">
        <v>137</v>
      </c>
      <c r="G1418" s="42" t="s">
        <v>69</v>
      </c>
      <c r="H1418" s="13" t="s">
        <v>213</v>
      </c>
      <c r="I1418" s="34"/>
      <c r="J1418" s="35" t="s">
        <v>8349</v>
      </c>
      <c r="K1418" s="27" t="s">
        <v>50</v>
      </c>
      <c r="L1418" s="13" t="s">
        <v>8350</v>
      </c>
      <c r="M1418" s="26" t="str">
        <f>VLOOKUP(E1418,'MTS 2026 registrations'!B:B,1,false)</f>
        <v>#N/A</v>
      </c>
      <c r="N1418" s="26" t="str">
        <f>VLOOKUP(B1418,'MTS 2026 registrations'!A:A,1,false)</f>
        <v>#N/A</v>
      </c>
      <c r="O1418" s="38" t="str">
        <f t="shared" si="9"/>
        <v>Marked</v>
      </c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</row>
    <row r="1419" ht="12.75" customHeight="1">
      <c r="A1419" s="19" t="str">
        <f t="shared" si="8"/>
        <v>Robbert Smit presencedisplays</v>
      </c>
      <c r="B1419" s="19" t="s">
        <v>8351</v>
      </c>
      <c r="C1419" s="20" t="s">
        <v>8341</v>
      </c>
      <c r="D1419" s="20" t="s">
        <v>521</v>
      </c>
      <c r="E1419" s="21" t="s">
        <v>8352</v>
      </c>
      <c r="F1419" s="23" t="s">
        <v>8353</v>
      </c>
      <c r="G1419" s="32" t="s">
        <v>46</v>
      </c>
      <c r="H1419" s="25" t="s">
        <v>47</v>
      </c>
      <c r="I1419" s="34"/>
      <c r="J1419" s="35" t="s">
        <v>8354</v>
      </c>
      <c r="K1419" s="27" t="s">
        <v>50</v>
      </c>
      <c r="L1419" s="13" t="s">
        <v>8355</v>
      </c>
      <c r="M1419" s="26" t="str">
        <f>VLOOKUP(E1419,'MTS 2026 registrations'!B:B,1,false)</f>
        <v>#N/A</v>
      </c>
      <c r="N1419" s="26" t="str">
        <f>VLOOKUP(B1419,'MTS 2026 registrations'!A:A,1,false)</f>
        <v>#N/A</v>
      </c>
      <c r="O1419" s="38" t="str">
        <f t="shared" si="9"/>
        <v>Marked</v>
      </c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</row>
    <row r="1420" ht="12.75" customHeight="1">
      <c r="A1420" s="19" t="str">
        <f t="shared" si="8"/>
        <v>Robbert Ledeboer Independent</v>
      </c>
      <c r="B1420" s="19" t="s">
        <v>8356</v>
      </c>
      <c r="C1420" s="116" t="s">
        <v>8341</v>
      </c>
      <c r="D1420" s="116" t="s">
        <v>8357</v>
      </c>
      <c r="E1420" s="112" t="s">
        <v>8358</v>
      </c>
      <c r="F1420" s="66" t="s">
        <v>1209</v>
      </c>
      <c r="G1420" s="24" t="s">
        <v>225</v>
      </c>
      <c r="H1420" s="25" t="s">
        <v>47</v>
      </c>
      <c r="I1420" s="34"/>
      <c r="J1420" s="35" t="s">
        <v>8359</v>
      </c>
      <c r="K1420" s="27" t="s">
        <v>50</v>
      </c>
      <c r="L1420" s="13" t="s">
        <v>8360</v>
      </c>
      <c r="M1420" s="26" t="str">
        <f>VLOOKUP(E1420,'MTS 2026 registrations'!B:B,1,false)</f>
        <v>#N/A</v>
      </c>
      <c r="N1420" s="26" t="str">
        <f>VLOOKUP(B1420,'MTS 2026 registrations'!A:A,1,false)</f>
        <v>#N/A</v>
      </c>
      <c r="O1420" s="38" t="str">
        <f t="shared" si="9"/>
        <v>Marked</v>
      </c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</row>
    <row r="1421" ht="12.75" customHeight="1">
      <c r="A1421" s="19" t="str">
        <f t="shared" si="8"/>
        <v>Robbert van Geldrop BackupAgent</v>
      </c>
      <c r="B1421" s="19" t="s">
        <v>8361</v>
      </c>
      <c r="C1421" s="29" t="s">
        <v>8341</v>
      </c>
      <c r="D1421" s="29" t="s">
        <v>8362</v>
      </c>
      <c r="E1421" s="62" t="s">
        <v>8363</v>
      </c>
      <c r="F1421" s="50" t="s">
        <v>8364</v>
      </c>
      <c r="G1421" s="32" t="s">
        <v>46</v>
      </c>
      <c r="H1421" s="25" t="s">
        <v>139</v>
      </c>
      <c r="I1421" s="13" t="s">
        <v>188</v>
      </c>
      <c r="J1421" s="35" t="s">
        <v>8365</v>
      </c>
      <c r="K1421" s="27" t="s">
        <v>50</v>
      </c>
      <c r="L1421" s="13" t="s">
        <v>8366</v>
      </c>
      <c r="M1421" s="26" t="str">
        <f>VLOOKUP(E1421,'MTS 2026 registrations'!B:B,1,false)</f>
        <v>#N/A</v>
      </c>
      <c r="N1421" s="26" t="str">
        <f>VLOOKUP(B1421,'MTS 2026 registrations'!A:A,1,false)</f>
        <v>#N/A</v>
      </c>
      <c r="O1421" s="38" t="str">
        <f t="shared" si="9"/>
        <v>Marked</v>
      </c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</row>
    <row r="1422" ht="12.75" customHeight="1">
      <c r="A1422" s="19" t="str">
        <f t="shared" si="8"/>
        <v>Robert Al erasmusmc</v>
      </c>
      <c r="B1422" s="19" t="s">
        <v>8367</v>
      </c>
      <c r="C1422" s="138" t="s">
        <v>8368</v>
      </c>
      <c r="D1422" s="138" t="s">
        <v>8369</v>
      </c>
      <c r="E1422" s="31" t="s">
        <v>8370</v>
      </c>
      <c r="F1422" s="75" t="s">
        <v>4303</v>
      </c>
      <c r="G1422" s="24" t="s">
        <v>43</v>
      </c>
      <c r="H1422" s="25" t="s">
        <v>139</v>
      </c>
      <c r="I1422" s="34"/>
      <c r="J1422" s="35" t="s">
        <v>8371</v>
      </c>
      <c r="K1422" s="27" t="s">
        <v>50</v>
      </c>
      <c r="L1422" s="13" t="s">
        <v>8372</v>
      </c>
      <c r="M1422" s="26" t="str">
        <f>VLOOKUP(E1422,'MTS 2026 registrations'!B:B,1,false)</f>
        <v>#N/A</v>
      </c>
      <c r="N1422" s="26" t="str">
        <f>VLOOKUP(B1422,'MTS 2026 registrations'!A:A,1,false)</f>
        <v>#N/A</v>
      </c>
      <c r="O1422" s="38" t="str">
        <f t="shared" si="9"/>
        <v>Marked</v>
      </c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</row>
    <row r="1423" ht="12.75" customHeight="1">
      <c r="A1423" s="19" t="str">
        <f t="shared" si="8"/>
        <v>Robert Crone dronesforwork</v>
      </c>
      <c r="B1423" s="19" t="s">
        <v>8373</v>
      </c>
      <c r="C1423" s="20" t="s">
        <v>8368</v>
      </c>
      <c r="D1423" s="20" t="s">
        <v>7180</v>
      </c>
      <c r="E1423" s="31" t="s">
        <v>8374</v>
      </c>
      <c r="F1423" s="23" t="s">
        <v>6859</v>
      </c>
      <c r="G1423" s="32" t="s">
        <v>46</v>
      </c>
      <c r="H1423" s="25" t="s">
        <v>47</v>
      </c>
      <c r="I1423" s="34"/>
      <c r="J1423" s="35" t="s">
        <v>8375</v>
      </c>
      <c r="K1423" s="27" t="s">
        <v>50</v>
      </c>
      <c r="L1423" s="13" t="s">
        <v>8376</v>
      </c>
      <c r="M1423" s="26" t="str">
        <f>VLOOKUP(E1423,'MTS 2026 registrations'!B:B,1,false)</f>
        <v>#N/A</v>
      </c>
      <c r="N1423" s="26" t="str">
        <f>VLOOKUP(B1423,'MTS 2026 registrations'!A:A,1,false)</f>
        <v>#N/A</v>
      </c>
      <c r="O1423" s="38" t="str">
        <f t="shared" si="9"/>
        <v>Marked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</row>
    <row r="1424" ht="12.75" customHeight="1">
      <c r="A1424" s="19" t="str">
        <f t="shared" si="8"/>
        <v>Robert Carleke Ikea Ventures</v>
      </c>
      <c r="B1424" s="19" t="s">
        <v>8377</v>
      </c>
      <c r="C1424" s="29" t="s">
        <v>8368</v>
      </c>
      <c r="D1424" s="29" t="s">
        <v>8378</v>
      </c>
      <c r="E1424" s="30" t="s">
        <v>8379</v>
      </c>
      <c r="F1424" s="72" t="s">
        <v>8380</v>
      </c>
      <c r="G1424" s="32" t="s">
        <v>163</v>
      </c>
      <c r="H1424" s="13" t="s">
        <v>213</v>
      </c>
      <c r="I1424" s="34"/>
      <c r="J1424" s="35" t="s">
        <v>8381</v>
      </c>
      <c r="K1424" s="27" t="s">
        <v>50</v>
      </c>
      <c r="L1424" s="13" t="s">
        <v>8382</v>
      </c>
      <c r="M1424" s="26" t="str">
        <f>VLOOKUP(E1424,'MTS 2026 registrations'!B:B,1,false)</f>
        <v>#N/A</v>
      </c>
      <c r="N1424" s="26" t="str">
        <f>VLOOKUP(B1424,'MTS 2026 registrations'!A:A,1,false)</f>
        <v>#N/A</v>
      </c>
      <c r="O1424" s="38" t="str">
        <f t="shared" si="9"/>
        <v>Marked</v>
      </c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</row>
    <row r="1425" ht="12.75" customHeight="1">
      <c r="A1425" s="19" t="str">
        <f t="shared" si="8"/>
        <v>robert schneider damen</v>
      </c>
      <c r="B1425" s="19" t="s">
        <v>8383</v>
      </c>
      <c r="C1425" s="29" t="s">
        <v>8384</v>
      </c>
      <c r="D1425" s="29" t="s">
        <v>8385</v>
      </c>
      <c r="E1425" s="30" t="s">
        <v>8386</v>
      </c>
      <c r="F1425" s="29" t="s">
        <v>2744</v>
      </c>
      <c r="G1425" s="32" t="s">
        <v>56</v>
      </c>
      <c r="H1425" s="13" t="s">
        <v>213</v>
      </c>
      <c r="I1425" s="36" t="s">
        <v>8387</v>
      </c>
      <c r="J1425" s="35" t="s">
        <v>8388</v>
      </c>
      <c r="K1425" s="27" t="s">
        <v>50</v>
      </c>
      <c r="L1425" s="13" t="s">
        <v>8389</v>
      </c>
      <c r="M1425" s="26" t="str">
        <f>VLOOKUP(E1425,'MTS 2026 registrations'!B:B,1,false)</f>
        <v>#N/A</v>
      </c>
      <c r="N1425" s="26" t="str">
        <f>VLOOKUP(B1425,'MTS 2026 registrations'!A:A,1,false)</f>
        <v>#N/A</v>
      </c>
      <c r="O1425" s="38" t="str">
        <f t="shared" si="9"/>
        <v>Marked</v>
      </c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</row>
    <row r="1426" ht="12.75" customHeight="1">
      <c r="A1426" s="19" t="str">
        <f t="shared" si="8"/>
        <v>Robert van der Heijden Alliander</v>
      </c>
      <c r="B1426" s="19" t="s">
        <v>8390</v>
      </c>
      <c r="C1426" s="102" t="s">
        <v>8368</v>
      </c>
      <c r="D1426" s="102" t="s">
        <v>8391</v>
      </c>
      <c r="E1426" s="48" t="s">
        <v>8392</v>
      </c>
      <c r="F1426" s="49" t="s">
        <v>8393</v>
      </c>
      <c r="G1426" s="24" t="s">
        <v>56</v>
      </c>
      <c r="H1426" s="25" t="s">
        <v>139</v>
      </c>
      <c r="I1426" s="25"/>
      <c r="J1426" s="35" t="s">
        <v>8394</v>
      </c>
      <c r="K1426" s="27" t="s">
        <v>50</v>
      </c>
      <c r="L1426" s="13" t="s">
        <v>8395</v>
      </c>
      <c r="M1426" s="26" t="str">
        <f>VLOOKUP(E1426,'MTS 2026 registrations'!B:B,1,false)</f>
        <v>robert.van.der.heijden@alliander.com</v>
      </c>
      <c r="N1426" s="26" t="str">
        <f>VLOOKUP(B1426,'MTS 2026 registrations'!A:A,1,false)</f>
        <v>Robert van der Heijden</v>
      </c>
      <c r="O1426" s="38" t="str">
        <f t="shared" si="9"/>
        <v/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</row>
    <row r="1427" ht="12.75" customHeight="1">
      <c r="A1427" s="19" t="str">
        <f t="shared" si="8"/>
        <v>Robert Werner dawnaerospace</v>
      </c>
      <c r="B1427" s="19" t="s">
        <v>8396</v>
      </c>
      <c r="C1427" s="20" t="s">
        <v>8368</v>
      </c>
      <c r="D1427" s="20" t="s">
        <v>8397</v>
      </c>
      <c r="E1427" s="21" t="s">
        <v>8398</v>
      </c>
      <c r="F1427" s="23" t="s">
        <v>5848</v>
      </c>
      <c r="G1427" s="32" t="s">
        <v>46</v>
      </c>
      <c r="H1427" s="110" t="s">
        <v>47</v>
      </c>
      <c r="I1427" s="34"/>
      <c r="J1427" s="35" t="s">
        <v>8399</v>
      </c>
      <c r="K1427" s="27" t="s">
        <v>50</v>
      </c>
      <c r="L1427" s="13" t="s">
        <v>8400</v>
      </c>
      <c r="M1427" s="26" t="str">
        <f>VLOOKUP(E1427,'MTS 2026 registrations'!B:B,1,false)</f>
        <v>#N/A</v>
      </c>
      <c r="N1427" s="26" t="str">
        <f>VLOOKUP(B1427,'MTS 2026 registrations'!A:A,1,false)</f>
        <v>#N/A</v>
      </c>
      <c r="O1427" s="38" t="str">
        <f t="shared" si="9"/>
        <v>Marked</v>
      </c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</row>
    <row r="1428" ht="12.75" customHeight="1">
      <c r="A1428" s="19" t="str">
        <f t="shared" si="8"/>
        <v>Robert Vrancken gradyent</v>
      </c>
      <c r="B1428" s="19" t="s">
        <v>8401</v>
      </c>
      <c r="C1428" s="29" t="s">
        <v>8368</v>
      </c>
      <c r="D1428" s="121" t="s">
        <v>8402</v>
      </c>
      <c r="E1428" s="30" t="s">
        <v>8403</v>
      </c>
      <c r="F1428" s="29" t="s">
        <v>964</v>
      </c>
      <c r="G1428" s="24" t="s">
        <v>46</v>
      </c>
      <c r="H1428" s="13" t="s">
        <v>213</v>
      </c>
      <c r="I1428" s="34"/>
      <c r="J1428" s="35" t="s">
        <v>8404</v>
      </c>
      <c r="K1428" s="27" t="s">
        <v>50</v>
      </c>
      <c r="L1428" s="13" t="s">
        <v>8405</v>
      </c>
      <c r="M1428" s="26" t="str">
        <f>VLOOKUP(E1428,'MTS 2026 registrations'!B:B,1,false)</f>
        <v>#N/A</v>
      </c>
      <c r="N1428" s="26" t="str">
        <f>VLOOKUP(B1428,'MTS 2026 registrations'!A:A,1,false)</f>
        <v>#N/A</v>
      </c>
      <c r="O1428" s="38" t="str">
        <f t="shared" si="9"/>
        <v>Marked</v>
      </c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</row>
    <row r="1429" ht="12.75" customHeight="1">
      <c r="A1429" s="19" t="str">
        <f t="shared" si="8"/>
        <v>Robert Tans rotterdam</v>
      </c>
      <c r="B1429" s="19" t="s">
        <v>8406</v>
      </c>
      <c r="C1429" s="60" t="s">
        <v>8368</v>
      </c>
      <c r="D1429" s="60" t="s">
        <v>8407</v>
      </c>
      <c r="E1429" s="62" t="s">
        <v>8408</v>
      </c>
      <c r="F1429" s="64" t="s">
        <v>1597</v>
      </c>
      <c r="G1429" s="32" t="s">
        <v>323</v>
      </c>
      <c r="H1429" s="25" t="s">
        <v>139</v>
      </c>
      <c r="I1429" s="34"/>
      <c r="J1429" s="35" t="s">
        <v>8409</v>
      </c>
      <c r="K1429" s="27" t="s">
        <v>50</v>
      </c>
      <c r="L1429" s="13" t="s">
        <v>8410</v>
      </c>
      <c r="M1429" s="26" t="str">
        <f>VLOOKUP(E1429,'MTS 2026 registrations'!B:B,1,false)</f>
        <v>#N/A</v>
      </c>
      <c r="N1429" s="26" t="str">
        <f>VLOOKUP(B1429,'MTS 2026 registrations'!A:A,1,false)</f>
        <v>#N/A</v>
      </c>
      <c r="O1429" s="38" t="str">
        <f t="shared" si="9"/>
        <v>Marked</v>
      </c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</row>
    <row r="1430" ht="12.75" customHeight="1">
      <c r="A1430" s="19" t="str">
        <f t="shared" si="8"/>
        <v>Robin van Boxsel forward.one</v>
      </c>
      <c r="B1430" s="19" t="s">
        <v>8411</v>
      </c>
      <c r="C1430" s="20" t="s">
        <v>8412</v>
      </c>
      <c r="D1430" s="20" t="s">
        <v>8413</v>
      </c>
      <c r="E1430" s="21" t="s">
        <v>8414</v>
      </c>
      <c r="F1430" s="23" t="s">
        <v>3486</v>
      </c>
      <c r="G1430" s="24" t="s">
        <v>163</v>
      </c>
      <c r="H1430" s="25" t="s">
        <v>164</v>
      </c>
      <c r="I1430" s="34"/>
      <c r="J1430" s="35" t="s">
        <v>8415</v>
      </c>
      <c r="K1430" s="27" t="s">
        <v>50</v>
      </c>
      <c r="L1430" s="13" t="s">
        <v>8416</v>
      </c>
      <c r="M1430" s="26" t="str">
        <f>VLOOKUP(E1430,'MTS 2026 registrations'!B:B,1,false)</f>
        <v>#N/A</v>
      </c>
      <c r="N1430" s="26" t="str">
        <f>VLOOKUP(B1430,'MTS 2026 registrations'!A:A,1,false)</f>
        <v>#N/A</v>
      </c>
      <c r="O1430" s="38" t="str">
        <f t="shared" si="9"/>
        <v>Marked</v>
      </c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</row>
    <row r="1431" ht="12.75" customHeight="1">
      <c r="A1431" s="19" t="str">
        <f t="shared" si="8"/>
        <v>Robin van Scheijndel hightechxl</v>
      </c>
      <c r="B1431" s="19" t="s">
        <v>8417</v>
      </c>
      <c r="C1431" s="29" t="s">
        <v>8412</v>
      </c>
      <c r="D1431" s="29" t="s">
        <v>8418</v>
      </c>
      <c r="E1431" s="30" t="s">
        <v>8419</v>
      </c>
      <c r="F1431" s="29" t="s">
        <v>2553</v>
      </c>
      <c r="G1431" s="32" t="s">
        <v>29</v>
      </c>
      <c r="H1431" s="13" t="s">
        <v>213</v>
      </c>
      <c r="I1431" s="34"/>
      <c r="J1431" s="35" t="s">
        <v>8420</v>
      </c>
      <c r="K1431" s="27" t="s">
        <v>50</v>
      </c>
      <c r="L1431" s="13" t="s">
        <v>8421</v>
      </c>
      <c r="M1431" s="26" t="str">
        <f>VLOOKUP(E1431,'MTS 2026 registrations'!B:B,1,false)</f>
        <v>#N/A</v>
      </c>
      <c r="N1431" s="26" t="str">
        <f>VLOOKUP(B1431,'MTS 2026 registrations'!A:A,1,false)</f>
        <v>#N/A</v>
      </c>
      <c r="O1431" s="38" t="str">
        <f t="shared" si="9"/>
        <v>Marked</v>
      </c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</row>
    <row r="1432" ht="12.75" customHeight="1">
      <c r="A1432" s="19" t="str">
        <f t="shared" si="8"/>
        <v>Robin Jones manometric</v>
      </c>
      <c r="B1432" s="19" t="s">
        <v>8422</v>
      </c>
      <c r="C1432" s="20" t="s">
        <v>8412</v>
      </c>
      <c r="D1432" s="20" t="s">
        <v>8423</v>
      </c>
      <c r="E1432" s="21" t="s">
        <v>8424</v>
      </c>
      <c r="F1432" s="23" t="s">
        <v>7961</v>
      </c>
      <c r="G1432" s="32" t="s">
        <v>46</v>
      </c>
      <c r="H1432" s="25" t="s">
        <v>47</v>
      </c>
      <c r="I1432" s="34"/>
      <c r="J1432" s="35" t="s">
        <v>8425</v>
      </c>
      <c r="K1432" s="27" t="s">
        <v>50</v>
      </c>
      <c r="L1432" s="13" t="s">
        <v>8426</v>
      </c>
      <c r="M1432" s="26" t="str">
        <f>VLOOKUP(E1432,'MTS 2026 registrations'!B:B,1,false)</f>
        <v>#N/A</v>
      </c>
      <c r="N1432" s="26" t="str">
        <f>VLOOKUP(B1432,'MTS 2026 registrations'!A:A,1,false)</f>
        <v>#N/A</v>
      </c>
      <c r="O1432" s="38" t="str">
        <f t="shared" si="9"/>
        <v>Marked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</row>
    <row r="1433" ht="12.75" customHeight="1">
      <c r="A1433" s="19" t="str">
        <f t="shared" si="8"/>
        <v>Robin Goudappel Independent</v>
      </c>
      <c r="B1433" s="19" t="s">
        <v>8427</v>
      </c>
      <c r="C1433" s="116" t="s">
        <v>8412</v>
      </c>
      <c r="D1433" s="116" t="s">
        <v>8428</v>
      </c>
      <c r="E1433" s="131" t="s">
        <v>8429</v>
      </c>
      <c r="F1433" s="49" t="s">
        <v>1209</v>
      </c>
      <c r="G1433" s="24" t="s">
        <v>225</v>
      </c>
      <c r="H1433" s="25" t="s">
        <v>47</v>
      </c>
      <c r="I1433" s="34"/>
      <c r="J1433" s="35" t="s">
        <v>8430</v>
      </c>
      <c r="K1433" s="27" t="s">
        <v>50</v>
      </c>
      <c r="L1433" s="13" t="s">
        <v>8431</v>
      </c>
      <c r="M1433" s="26" t="str">
        <f>VLOOKUP(E1433,'MTS 2026 registrations'!B:B,1,false)</f>
        <v>#N/A</v>
      </c>
      <c r="N1433" s="26" t="str">
        <f>VLOOKUP(B1433,'MTS 2026 registrations'!A:A,1,false)</f>
        <v>Robin Goudappel</v>
      </c>
      <c r="O1433" s="38" t="str">
        <f t="shared" si="9"/>
        <v/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</row>
    <row r="1434" ht="12.75" customHeight="1">
      <c r="A1434" s="19" t="str">
        <f t="shared" si="8"/>
        <v>Robin Langerak nl.ey</v>
      </c>
      <c r="B1434" s="19" t="s">
        <v>8432</v>
      </c>
      <c r="C1434" s="20" t="s">
        <v>8433</v>
      </c>
      <c r="D1434" s="20" t="s">
        <v>8434</v>
      </c>
      <c r="E1434" s="21" t="s">
        <v>8435</v>
      </c>
      <c r="F1434" s="23" t="s">
        <v>8237</v>
      </c>
      <c r="G1434" s="42" t="s">
        <v>69</v>
      </c>
      <c r="H1434" s="25" t="s">
        <v>47</v>
      </c>
      <c r="I1434" s="34"/>
      <c r="J1434" s="35" t="s">
        <v>8436</v>
      </c>
      <c r="K1434" s="27" t="s">
        <v>50</v>
      </c>
      <c r="L1434" s="13" t="s">
        <v>8437</v>
      </c>
      <c r="M1434" s="26" t="str">
        <f>VLOOKUP(E1434,'MTS 2026 registrations'!B:B,1,false)</f>
        <v>#N/A</v>
      </c>
      <c r="N1434" s="26" t="str">
        <f>VLOOKUP(B1434,'MTS 2026 registrations'!A:A,1,false)</f>
        <v>#N/A</v>
      </c>
      <c r="O1434" s="38" t="str">
        <f t="shared" si="9"/>
        <v>Marked</v>
      </c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</row>
    <row r="1435" ht="12.75" customHeight="1">
      <c r="A1435" s="19" t="str">
        <f t="shared" si="8"/>
        <v>roderick rodenburg rosemanlabs</v>
      </c>
      <c r="B1435" s="19" t="s">
        <v>8438</v>
      </c>
      <c r="C1435" s="29" t="s">
        <v>8439</v>
      </c>
      <c r="D1435" s="29" t="s">
        <v>8440</v>
      </c>
      <c r="E1435" s="30" t="s">
        <v>8441</v>
      </c>
      <c r="F1435" s="29" t="s">
        <v>5404</v>
      </c>
      <c r="G1435" s="32" t="s">
        <v>46</v>
      </c>
      <c r="H1435" s="13" t="s">
        <v>213</v>
      </c>
      <c r="I1435" s="34"/>
      <c r="J1435" s="35" t="s">
        <v>8442</v>
      </c>
      <c r="K1435" s="27" t="s">
        <v>50</v>
      </c>
      <c r="L1435" s="13" t="s">
        <v>8443</v>
      </c>
      <c r="M1435" s="26" t="str">
        <f>VLOOKUP(E1435,'MTS 2026 registrations'!B:B,1,false)</f>
        <v>#N/A</v>
      </c>
      <c r="N1435" s="26" t="str">
        <f>VLOOKUP(B1435,'MTS 2026 registrations'!A:A,1,false)</f>
        <v>#N/A</v>
      </c>
      <c r="O1435" s="38" t="str">
        <f t="shared" si="9"/>
        <v>Marked</v>
      </c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</row>
    <row r="1436" ht="12.75" customHeight="1">
      <c r="A1436" s="19" t="str">
        <f t="shared" si="8"/>
        <v>Roderick Ruinard invesdor</v>
      </c>
      <c r="B1436" s="19" t="s">
        <v>8444</v>
      </c>
      <c r="C1436" s="20" t="s">
        <v>8445</v>
      </c>
      <c r="D1436" s="20" t="s">
        <v>8446</v>
      </c>
      <c r="E1436" s="21" t="s">
        <v>8447</v>
      </c>
      <c r="F1436" s="23" t="s">
        <v>8448</v>
      </c>
      <c r="G1436" s="24" t="s">
        <v>163</v>
      </c>
      <c r="H1436" s="25" t="s">
        <v>164</v>
      </c>
      <c r="I1436" s="34"/>
      <c r="J1436" s="35" t="s">
        <v>8449</v>
      </c>
      <c r="K1436" s="27" t="s">
        <v>50</v>
      </c>
      <c r="L1436" s="13" t="s">
        <v>8450</v>
      </c>
      <c r="M1436" s="26" t="str">
        <f>VLOOKUP(E1436,'MTS 2026 registrations'!B:B,1,false)</f>
        <v>roderick.ruinard@invesdor.com</v>
      </c>
      <c r="N1436" s="26" t="str">
        <f>VLOOKUP(B1436,'MTS 2026 registrations'!A:A,1,false)</f>
        <v>Roderick Ruinard</v>
      </c>
      <c r="O1436" s="38" t="str">
        <f t="shared" si="9"/>
        <v/>
      </c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</row>
    <row r="1437" ht="12.75" customHeight="1">
      <c r="A1437" s="19" t="str">
        <f t="shared" si="8"/>
        <v>Roel Eerkens t-minus</v>
      </c>
      <c r="B1437" s="19" t="s">
        <v>8451</v>
      </c>
      <c r="C1437" s="20" t="s">
        <v>1456</v>
      </c>
      <c r="D1437" s="20" t="s">
        <v>8452</v>
      </c>
      <c r="E1437" s="31" t="s">
        <v>8453</v>
      </c>
      <c r="F1437" s="23" t="s">
        <v>4552</v>
      </c>
      <c r="G1437" s="32" t="s">
        <v>46</v>
      </c>
      <c r="H1437" s="25" t="s">
        <v>47</v>
      </c>
      <c r="I1437" s="34"/>
      <c r="J1437" s="35" t="s">
        <v>8454</v>
      </c>
      <c r="K1437" s="27" t="s">
        <v>50</v>
      </c>
      <c r="L1437" s="13" t="s">
        <v>8455</v>
      </c>
      <c r="M1437" s="26" t="str">
        <f>VLOOKUP(E1437,'MTS 2026 registrations'!B:B,1,false)</f>
        <v>#N/A</v>
      </c>
      <c r="N1437" s="26" t="str">
        <f>VLOOKUP(B1437,'MTS 2026 registrations'!A:A,1,false)</f>
        <v>#N/A</v>
      </c>
      <c r="O1437" s="38" t="str">
        <f t="shared" si="9"/>
        <v>Marked</v>
      </c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</row>
    <row r="1438" ht="12.75" customHeight="1">
      <c r="A1438" s="19" t="str">
        <f t="shared" si="8"/>
        <v>Roel Dekkers noaber</v>
      </c>
      <c r="B1438" s="19" t="s">
        <v>8456</v>
      </c>
      <c r="C1438" s="20" t="s">
        <v>1456</v>
      </c>
      <c r="D1438" s="20" t="s">
        <v>8457</v>
      </c>
      <c r="E1438" s="21" t="s">
        <v>8458</v>
      </c>
      <c r="F1438" s="23" t="s">
        <v>8459</v>
      </c>
      <c r="G1438" s="24" t="s">
        <v>163</v>
      </c>
      <c r="H1438" s="25" t="s">
        <v>164</v>
      </c>
      <c r="I1438" s="34"/>
      <c r="J1438" s="35" t="s">
        <v>8460</v>
      </c>
      <c r="K1438" s="27" t="s">
        <v>50</v>
      </c>
      <c r="L1438" s="13" t="s">
        <v>8461</v>
      </c>
      <c r="M1438" s="26" t="str">
        <f>VLOOKUP(E1438,'MTS 2026 registrations'!B:B,1,false)</f>
        <v>#N/A</v>
      </c>
      <c r="N1438" s="26" t="str">
        <f>VLOOKUP(B1438,'MTS 2026 registrations'!A:A,1,false)</f>
        <v>#N/A</v>
      </c>
      <c r="O1438" s="38" t="str">
        <f t="shared" si="9"/>
        <v>Marked</v>
      </c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</row>
    <row r="1439" ht="12.75" customHeight="1">
      <c r="A1439" s="19" t="str">
        <f t="shared" si="8"/>
        <v>Roel Reijnen Type22</v>
      </c>
      <c r="B1439" s="19" t="s">
        <v>8462</v>
      </c>
      <c r="C1439" s="29" t="s">
        <v>1456</v>
      </c>
      <c r="D1439" s="29" t="s">
        <v>8463</v>
      </c>
      <c r="E1439" s="62" t="s">
        <v>8464</v>
      </c>
      <c r="F1439" s="50" t="s">
        <v>3623</v>
      </c>
      <c r="G1439" s="32" t="s">
        <v>46</v>
      </c>
      <c r="H1439" s="25" t="s">
        <v>139</v>
      </c>
      <c r="I1439" s="13" t="s">
        <v>188</v>
      </c>
      <c r="J1439" s="35" t="s">
        <v>8465</v>
      </c>
      <c r="K1439" s="27" t="s">
        <v>50</v>
      </c>
      <c r="L1439" s="13" t="s">
        <v>8466</v>
      </c>
      <c r="M1439" s="26" t="str">
        <f>VLOOKUP(E1439,'MTS 2026 registrations'!B:B,1,false)</f>
        <v>#N/A</v>
      </c>
      <c r="N1439" s="26" t="str">
        <f>VLOOKUP(B1439,'MTS 2026 registrations'!A:A,1,false)</f>
        <v>#N/A</v>
      </c>
      <c r="O1439" s="38" t="str">
        <f t="shared" si="9"/>
        <v>Marked</v>
      </c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</row>
    <row r="1440" ht="12.75" customHeight="1">
      <c r="A1440" s="19" t="str">
        <f t="shared" si="8"/>
        <v>Roel Willemse VEMS BV</v>
      </c>
      <c r="B1440" s="19" t="s">
        <v>8467</v>
      </c>
      <c r="C1440" s="108" t="s">
        <v>1456</v>
      </c>
      <c r="D1440" s="108" t="s">
        <v>8468</v>
      </c>
      <c r="E1440" s="62" t="s">
        <v>8469</v>
      </c>
      <c r="F1440" s="23" t="s">
        <v>8470</v>
      </c>
      <c r="G1440" s="32" t="s">
        <v>46</v>
      </c>
      <c r="H1440" s="25" t="s">
        <v>31</v>
      </c>
      <c r="I1440" s="23"/>
      <c r="J1440" s="35" t="s">
        <v>8471</v>
      </c>
      <c r="K1440" s="27" t="s">
        <v>50</v>
      </c>
      <c r="L1440" s="13" t="s">
        <v>8472</v>
      </c>
      <c r="M1440" s="26" t="str">
        <f>VLOOKUP(E1440,'MTS 2026 registrations'!B:B,1,false)</f>
        <v>#N/A</v>
      </c>
      <c r="N1440" s="26" t="str">
        <f>VLOOKUP(B1440,'MTS 2026 registrations'!A:A,1,false)</f>
        <v>#N/A</v>
      </c>
      <c r="O1440" s="38" t="str">
        <f t="shared" si="9"/>
        <v>Marked</v>
      </c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</row>
    <row r="1441" ht="12.75" customHeight="1">
      <c r="A1441" s="19" t="str">
        <f t="shared" si="8"/>
        <v>Roel Lakmaker Independent</v>
      </c>
      <c r="B1441" s="19" t="s">
        <v>8473</v>
      </c>
      <c r="C1441" s="116" t="s">
        <v>1456</v>
      </c>
      <c r="D1441" s="116" t="s">
        <v>8474</v>
      </c>
      <c r="E1441" s="112" t="s">
        <v>8475</v>
      </c>
      <c r="F1441" s="66" t="s">
        <v>1209</v>
      </c>
      <c r="G1441" s="24" t="s">
        <v>225</v>
      </c>
      <c r="H1441" s="25" t="s">
        <v>47</v>
      </c>
      <c r="I1441" s="34"/>
      <c r="J1441" s="35" t="s">
        <v>8476</v>
      </c>
      <c r="K1441" s="27" t="s">
        <v>50</v>
      </c>
      <c r="L1441" s="13" t="s">
        <v>8477</v>
      </c>
      <c r="M1441" s="26" t="str">
        <f>VLOOKUP(E1441,'MTS 2026 registrations'!B:B,1,false)</f>
        <v>#N/A</v>
      </c>
      <c r="N1441" s="26" t="str">
        <f>VLOOKUP(B1441,'MTS 2026 registrations'!A:A,1,false)</f>
        <v>#N/A</v>
      </c>
      <c r="O1441" s="38" t="str">
        <f t="shared" si="9"/>
        <v>Marked</v>
      </c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</row>
    <row r="1442" ht="12.75" customHeight="1">
      <c r="A1442" s="19" t="str">
        <f t="shared" si="8"/>
        <v>Roelof Segers heineken</v>
      </c>
      <c r="B1442" s="19" t="s">
        <v>8478</v>
      </c>
      <c r="C1442" s="29" t="s">
        <v>8479</v>
      </c>
      <c r="D1442" s="29" t="s">
        <v>8480</v>
      </c>
      <c r="E1442" s="30" t="s">
        <v>8481</v>
      </c>
      <c r="F1442" s="29" t="s">
        <v>8482</v>
      </c>
      <c r="G1442" s="32" t="s">
        <v>56</v>
      </c>
      <c r="H1442" s="13" t="s">
        <v>213</v>
      </c>
      <c r="I1442" s="34"/>
      <c r="J1442" s="35" t="s">
        <v>8483</v>
      </c>
      <c r="K1442" s="27" t="s">
        <v>50</v>
      </c>
      <c r="L1442" s="13" t="s">
        <v>8484</v>
      </c>
      <c r="M1442" s="26" t="str">
        <f>VLOOKUP(E1442,'MTS 2026 registrations'!B:B,1,false)</f>
        <v>#N/A</v>
      </c>
      <c r="N1442" s="26" t="str">
        <f>VLOOKUP(B1442,'MTS 2026 registrations'!A:A,1,false)</f>
        <v>#N/A</v>
      </c>
      <c r="O1442" s="38" t="str">
        <f t="shared" si="9"/>
        <v>Marked</v>
      </c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</row>
    <row r="1443" ht="12.75" customHeight="1">
      <c r="A1443" s="19" t="str">
        <f t="shared" si="8"/>
        <v>Roelof Vuurboom monroeblue</v>
      </c>
      <c r="B1443" s="19" t="s">
        <v>8485</v>
      </c>
      <c r="C1443" s="20" t="s">
        <v>8479</v>
      </c>
      <c r="D1443" s="20" t="s">
        <v>8486</v>
      </c>
      <c r="E1443" s="21" t="s">
        <v>8487</v>
      </c>
      <c r="F1443" s="23" t="s">
        <v>8488</v>
      </c>
      <c r="G1443" s="24" t="s">
        <v>225</v>
      </c>
      <c r="H1443" s="25" t="s">
        <v>47</v>
      </c>
      <c r="I1443" s="34"/>
      <c r="J1443" s="35" t="s">
        <v>8489</v>
      </c>
      <c r="K1443" s="27" t="s">
        <v>50</v>
      </c>
      <c r="L1443" s="13" t="s">
        <v>8490</v>
      </c>
      <c r="M1443" s="26" t="str">
        <f>VLOOKUP(E1443,'MTS 2026 registrations'!B:B,1,false)</f>
        <v>#N/A</v>
      </c>
      <c r="N1443" s="26" t="str">
        <f>VLOOKUP(B1443,'MTS 2026 registrations'!A:A,1,false)</f>
        <v>#N/A</v>
      </c>
      <c r="O1443" s="38" t="str">
        <f t="shared" si="9"/>
        <v>Marked</v>
      </c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</row>
    <row r="1444" ht="12.75" customHeight="1">
      <c r="A1444" s="19" t="str">
        <f t="shared" si="8"/>
        <v>Roland Ortt tudelft</v>
      </c>
      <c r="B1444" s="19" t="s">
        <v>8491</v>
      </c>
      <c r="C1444" s="43" t="s">
        <v>8492</v>
      </c>
      <c r="D1444" s="43" t="s">
        <v>8493</v>
      </c>
      <c r="E1444" s="31" t="s">
        <v>8494</v>
      </c>
      <c r="F1444" s="33" t="s">
        <v>184</v>
      </c>
      <c r="G1444" s="32" t="s">
        <v>43</v>
      </c>
      <c r="H1444" s="25" t="s">
        <v>139</v>
      </c>
      <c r="I1444" s="34"/>
      <c r="J1444" s="35" t="s">
        <v>8495</v>
      </c>
      <c r="K1444" s="27" t="s">
        <v>50</v>
      </c>
      <c r="L1444" s="25" t="s">
        <v>8496</v>
      </c>
      <c r="M1444" s="26" t="str">
        <f>VLOOKUP(E1444,'MTS 2026 registrations'!B:B,1,false)</f>
        <v>#N/A</v>
      </c>
      <c r="N1444" s="26" t="str">
        <f>VLOOKUP(B1444,'MTS 2026 registrations'!A:A,1,false)</f>
        <v>#N/A</v>
      </c>
      <c r="O1444" s="38" t="str">
        <f t="shared" si="9"/>
        <v>Marked</v>
      </c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</row>
    <row r="1445" ht="12.75" customHeight="1">
      <c r="A1445" s="19" t="str">
        <f t="shared" si="8"/>
        <v>Roland Sars Media Distillery, BackupAgent</v>
      </c>
      <c r="B1445" s="19" t="s">
        <v>8497</v>
      </c>
      <c r="C1445" s="29" t="s">
        <v>8492</v>
      </c>
      <c r="D1445" s="29" t="s">
        <v>8498</v>
      </c>
      <c r="E1445" s="62" t="s">
        <v>8499</v>
      </c>
      <c r="F1445" s="50" t="s">
        <v>8500</v>
      </c>
      <c r="G1445" s="32" t="s">
        <v>46</v>
      </c>
      <c r="H1445" s="25" t="s">
        <v>139</v>
      </c>
      <c r="I1445" s="34"/>
      <c r="J1445" s="35" t="s">
        <v>8501</v>
      </c>
      <c r="K1445" s="27" t="s">
        <v>50</v>
      </c>
      <c r="L1445" s="13" t="s">
        <v>8502</v>
      </c>
      <c r="M1445" s="26" t="str">
        <f>VLOOKUP(E1445,'MTS 2026 registrations'!B:B,1,false)</f>
        <v>#N/A</v>
      </c>
      <c r="N1445" s="26" t="str">
        <f>VLOOKUP(B1445,'MTS 2026 registrations'!A:A,1,false)</f>
        <v>#N/A</v>
      </c>
      <c r="O1445" s="38" t="str">
        <f t="shared" si="9"/>
        <v>Marked</v>
      </c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</row>
    <row r="1446" ht="12.75" customHeight="1">
      <c r="A1446" s="19" t="str">
        <f t="shared" si="8"/>
        <v>Roland Schmehl Kitepower</v>
      </c>
      <c r="B1446" s="19" t="s">
        <v>8503</v>
      </c>
      <c r="C1446" s="20" t="s">
        <v>8492</v>
      </c>
      <c r="D1446" s="20" t="s">
        <v>8504</v>
      </c>
      <c r="E1446" s="31" t="s">
        <v>8505</v>
      </c>
      <c r="F1446" s="52" t="s">
        <v>8506</v>
      </c>
      <c r="G1446" s="32" t="s">
        <v>46</v>
      </c>
      <c r="H1446" s="25" t="s">
        <v>47</v>
      </c>
      <c r="I1446" s="34"/>
      <c r="J1446" s="35" t="s">
        <v>8507</v>
      </c>
      <c r="K1446" s="27" t="s">
        <v>50</v>
      </c>
      <c r="L1446" s="13" t="s">
        <v>8508</v>
      </c>
      <c r="M1446" s="26" t="str">
        <f>VLOOKUP(E1446,'MTS 2026 registrations'!B:B,1,false)</f>
        <v>#N/A</v>
      </c>
      <c r="N1446" s="26" t="str">
        <f>VLOOKUP(B1446,'MTS 2026 registrations'!A:A,1,false)</f>
        <v>#N/A</v>
      </c>
      <c r="O1446" s="38" t="str">
        <f t="shared" si="9"/>
        <v>Marked</v>
      </c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</row>
    <row r="1447" ht="12.75" customHeight="1">
      <c r="A1447" s="19" t="str">
        <f t="shared" si="8"/>
        <v>Roland van Vliet nearfieldinstruments</v>
      </c>
      <c r="B1447" s="19" t="s">
        <v>8509</v>
      </c>
      <c r="C1447" s="60" t="s">
        <v>8492</v>
      </c>
      <c r="D1447" s="60" t="s">
        <v>6750</v>
      </c>
      <c r="E1447" s="62" t="s">
        <v>8510</v>
      </c>
      <c r="F1447" s="64" t="s">
        <v>8511</v>
      </c>
      <c r="G1447" s="42" t="s">
        <v>56</v>
      </c>
      <c r="H1447" s="25" t="s">
        <v>139</v>
      </c>
      <c r="I1447" s="34"/>
      <c r="J1447" s="35" t="s">
        <v>8512</v>
      </c>
      <c r="K1447" s="27" t="s">
        <v>50</v>
      </c>
      <c r="L1447" s="13" t="s">
        <v>8513</v>
      </c>
      <c r="M1447" s="26" t="str">
        <f>VLOOKUP(E1447,'MTS 2026 registrations'!B:B,1,false)</f>
        <v>#N/A</v>
      </c>
      <c r="N1447" s="26" t="str">
        <f>VLOOKUP(B1447,'MTS 2026 registrations'!A:A,1,false)</f>
        <v>#N/A</v>
      </c>
      <c r="O1447" s="38" t="str">
        <f t="shared" si="9"/>
        <v>Marked</v>
      </c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</row>
    <row r="1448" ht="12.75" customHeight="1">
      <c r="A1448" s="19" t="str">
        <f t="shared" si="8"/>
        <v>Roland Zegger Independent</v>
      </c>
      <c r="B1448" s="19" t="s">
        <v>8514</v>
      </c>
      <c r="C1448" s="13" t="s">
        <v>8492</v>
      </c>
      <c r="D1448" s="13" t="s">
        <v>8515</v>
      </c>
      <c r="E1448" s="116" t="s">
        <v>8516</v>
      </c>
      <c r="F1448" s="66" t="s">
        <v>1209</v>
      </c>
      <c r="G1448" s="24" t="s">
        <v>225</v>
      </c>
      <c r="H1448" s="25" t="s">
        <v>47</v>
      </c>
      <c r="I1448" s="34"/>
      <c r="J1448" s="35" t="s">
        <v>8517</v>
      </c>
      <c r="K1448" s="27" t="s">
        <v>50</v>
      </c>
      <c r="L1448" s="13" t="s">
        <v>8518</v>
      </c>
      <c r="M1448" s="26" t="str">
        <f>VLOOKUP(E1448,'MTS 2026 registrations'!B:B,1,false)</f>
        <v>roland.zegger@planet.nl</v>
      </c>
      <c r="N1448" s="26" t="str">
        <f>VLOOKUP(B1448,'MTS 2026 registrations'!A:A,1,false)</f>
        <v>roland zegger</v>
      </c>
      <c r="O1448" s="38" t="str">
        <f t="shared" si="9"/>
        <v/>
      </c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</row>
    <row r="1449" ht="12.75" customHeight="1">
      <c r="A1449" s="19" t="str">
        <f t="shared" si="8"/>
        <v>Rolph Segers Orangequantum</v>
      </c>
      <c r="B1449" s="19" t="s">
        <v>8519</v>
      </c>
      <c r="C1449" s="134" t="s">
        <v>8520</v>
      </c>
      <c r="D1449" s="134" t="s">
        <v>8480</v>
      </c>
      <c r="E1449" s="123" t="s">
        <v>8521</v>
      </c>
      <c r="F1449" s="64" t="s">
        <v>8522</v>
      </c>
      <c r="G1449" s="32"/>
      <c r="H1449" s="25" t="s">
        <v>139</v>
      </c>
      <c r="I1449" s="34"/>
      <c r="J1449" s="35" t="s">
        <v>8523</v>
      </c>
      <c r="K1449" s="27" t="s">
        <v>50</v>
      </c>
      <c r="L1449" s="13" t="s">
        <v>8524</v>
      </c>
      <c r="M1449" s="26" t="str">
        <f>VLOOKUP(E1449,'MTS 2026 registrations'!B:B,1,false)</f>
        <v>#N/A</v>
      </c>
      <c r="N1449" s="26" t="str">
        <f>VLOOKUP(B1449,'MTS 2026 registrations'!A:A,1,false)</f>
        <v>#N/A</v>
      </c>
      <c r="O1449" s="38" t="str">
        <f t="shared" si="9"/>
        <v>Marked</v>
      </c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</row>
    <row r="1450" ht="12.75" customHeight="1">
      <c r="A1450" s="19" t="str">
        <f t="shared" si="8"/>
        <v>Ron Vink denhaag</v>
      </c>
      <c r="B1450" s="19" t="s">
        <v>8525</v>
      </c>
      <c r="C1450" s="72" t="s">
        <v>8526</v>
      </c>
      <c r="D1450" s="72" t="s">
        <v>8527</v>
      </c>
      <c r="E1450" s="30" t="s">
        <v>8528</v>
      </c>
      <c r="F1450" s="29" t="s">
        <v>738</v>
      </c>
      <c r="G1450" s="32" t="s">
        <v>323</v>
      </c>
      <c r="H1450" s="13" t="s">
        <v>45</v>
      </c>
      <c r="I1450" s="34"/>
      <c r="J1450" s="35" t="s">
        <v>8529</v>
      </c>
      <c r="K1450" s="27" t="s">
        <v>50</v>
      </c>
      <c r="L1450" s="13" t="s">
        <v>8530</v>
      </c>
      <c r="M1450" s="26" t="str">
        <f>VLOOKUP(E1450,'MTS 2026 registrations'!B:B,1,false)</f>
        <v>ron.vink@denhaag.nl</v>
      </c>
      <c r="N1450" s="26" t="str">
        <f>VLOOKUP(B1450,'MTS 2026 registrations'!A:A,1,false)</f>
        <v>Ron Vink</v>
      </c>
      <c r="O1450" s="38" t="str">
        <f t="shared" si="9"/>
        <v/>
      </c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</row>
    <row r="1451" ht="12.75" customHeight="1">
      <c r="A1451" s="19" t="str">
        <f t="shared" si="8"/>
        <v>Ronald Visser hhs</v>
      </c>
      <c r="B1451" s="19" t="s">
        <v>8531</v>
      </c>
      <c r="C1451" s="29" t="s">
        <v>2882</v>
      </c>
      <c r="D1451" s="29" t="s">
        <v>1561</v>
      </c>
      <c r="E1451" s="31" t="s">
        <v>8532</v>
      </c>
      <c r="F1451" s="29" t="s">
        <v>2324</v>
      </c>
      <c r="G1451" s="32" t="s">
        <v>43</v>
      </c>
      <c r="H1451" s="13" t="s">
        <v>45</v>
      </c>
      <c r="I1451" s="34"/>
      <c r="J1451" s="35" t="s">
        <v>8533</v>
      </c>
      <c r="K1451" s="27" t="s">
        <v>50</v>
      </c>
      <c r="L1451" s="13" t="s">
        <v>8534</v>
      </c>
      <c r="M1451" s="26" t="str">
        <f>VLOOKUP(E1451,'MTS 2026 registrations'!B:B,1,false)</f>
        <v>#N/A</v>
      </c>
      <c r="N1451" s="26" t="str">
        <f>VLOOKUP(B1451,'MTS 2026 registrations'!A:A,1,false)</f>
        <v>#N/A</v>
      </c>
      <c r="O1451" s="38" t="str">
        <f t="shared" si="9"/>
        <v>Marked</v>
      </c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</row>
    <row r="1452" ht="12.75" customHeight="1">
      <c r="A1452" s="19" t="str">
        <f t="shared" si="8"/>
        <v>Ronald Monster Independent</v>
      </c>
      <c r="B1452" s="19" t="s">
        <v>8535</v>
      </c>
      <c r="C1452" s="137" t="s">
        <v>2882</v>
      </c>
      <c r="D1452" s="137" t="s">
        <v>8536</v>
      </c>
      <c r="E1452" s="205" t="s">
        <v>8537</v>
      </c>
      <c r="F1452" s="206" t="s">
        <v>1209</v>
      </c>
      <c r="G1452" s="24" t="s">
        <v>225</v>
      </c>
      <c r="H1452" s="25" t="s">
        <v>47</v>
      </c>
      <c r="I1452" s="34"/>
      <c r="J1452" s="35" t="s">
        <v>8538</v>
      </c>
      <c r="K1452" s="27" t="s">
        <v>50</v>
      </c>
      <c r="L1452" s="13" t="s">
        <v>8539</v>
      </c>
      <c r="M1452" s="26" t="str">
        <f>VLOOKUP(E1452,'MTS 2026 registrations'!B:B,1,false)</f>
        <v>#N/A</v>
      </c>
      <c r="N1452" s="26" t="str">
        <f>VLOOKUP(B1452,'MTS 2026 registrations'!A:A,1,false)</f>
        <v>#N/A</v>
      </c>
      <c r="O1452" s="38" t="str">
        <f t="shared" si="9"/>
        <v>Marked</v>
      </c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</row>
    <row r="1453" ht="12.75" customHeight="1">
      <c r="A1453" s="19" t="str">
        <f t="shared" si="8"/>
        <v>Ronald Nanninga </v>
      </c>
      <c r="B1453" s="19" t="s">
        <v>8540</v>
      </c>
      <c r="C1453" s="53" t="s">
        <v>2882</v>
      </c>
      <c r="D1453" s="53" t="s">
        <v>8541</v>
      </c>
      <c r="E1453" s="88" t="s">
        <v>8542</v>
      </c>
      <c r="F1453" s="207"/>
      <c r="G1453" s="24" t="s">
        <v>29</v>
      </c>
      <c r="H1453" s="25" t="s">
        <v>47</v>
      </c>
      <c r="I1453" s="13" t="s">
        <v>2026</v>
      </c>
      <c r="J1453" s="35" t="s">
        <v>8543</v>
      </c>
      <c r="K1453" s="27" t="s">
        <v>50</v>
      </c>
      <c r="L1453" s="27" t="s">
        <v>8544</v>
      </c>
      <c r="M1453" s="26" t="str">
        <f>VLOOKUP(E1453,'MTS 2026 registrations'!B:B,1,false)</f>
        <v>#N/A</v>
      </c>
      <c r="N1453" s="26" t="str">
        <f>VLOOKUP(B1453,'MTS 2026 registrations'!A:A,1,false)</f>
        <v>#N/A</v>
      </c>
      <c r="O1453" s="38" t="str">
        <f t="shared" si="9"/>
        <v>Marked</v>
      </c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</row>
    <row r="1454" ht="12.75" customHeight="1">
      <c r="A1454" s="19" t="str">
        <f t="shared" si="8"/>
        <v>Ronald Loggers glassfrogventures</v>
      </c>
      <c r="B1454" s="19" t="s">
        <v>8545</v>
      </c>
      <c r="C1454" s="53" t="s">
        <v>2882</v>
      </c>
      <c r="D1454" s="53" t="s">
        <v>8546</v>
      </c>
      <c r="E1454" s="88" t="s">
        <v>8547</v>
      </c>
      <c r="F1454" s="28" t="s">
        <v>8548</v>
      </c>
      <c r="G1454" s="24" t="s">
        <v>225</v>
      </c>
      <c r="H1454" s="25" t="s">
        <v>47</v>
      </c>
      <c r="I1454" s="34"/>
      <c r="J1454" s="35" t="s">
        <v>8549</v>
      </c>
      <c r="K1454" s="27" t="s">
        <v>50</v>
      </c>
      <c r="L1454" s="13" t="s">
        <v>8550</v>
      </c>
      <c r="M1454" s="26" t="str">
        <f>VLOOKUP(E1454,'MTS 2026 registrations'!B:B,1,false)</f>
        <v>ronald@glassfrogventures.com</v>
      </c>
      <c r="N1454" s="26" t="str">
        <f>VLOOKUP(B1454,'MTS 2026 registrations'!A:A,1,false)</f>
        <v>Ronald Loggers</v>
      </c>
      <c r="O1454" s="38" t="str">
        <f t="shared" si="9"/>
        <v/>
      </c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</row>
    <row r="1455" ht="12.75" customHeight="1">
      <c r="A1455" s="19" t="str">
        <f t="shared" si="8"/>
        <v>Ronald Wissink valuecreationcapital</v>
      </c>
      <c r="B1455" s="19" t="s">
        <v>8551</v>
      </c>
      <c r="C1455" s="53" t="s">
        <v>2882</v>
      </c>
      <c r="D1455" s="53" t="s">
        <v>8552</v>
      </c>
      <c r="E1455" s="191" t="s">
        <v>8553</v>
      </c>
      <c r="F1455" s="28" t="s">
        <v>3140</v>
      </c>
      <c r="G1455" s="24" t="s">
        <v>163</v>
      </c>
      <c r="H1455" s="25" t="s">
        <v>164</v>
      </c>
      <c r="I1455" s="26"/>
      <c r="J1455" s="35" t="s">
        <v>8554</v>
      </c>
      <c r="K1455" s="27" t="s">
        <v>50</v>
      </c>
      <c r="L1455" s="13" t="s">
        <v>8555</v>
      </c>
      <c r="M1455" s="26" t="str">
        <f>VLOOKUP(E1455,'MTS 2026 registrations'!B:B,1,false)</f>
        <v>#N/A</v>
      </c>
      <c r="N1455" s="26" t="str">
        <f>VLOOKUP(B1455,'MTS 2026 registrations'!A:A,1,false)</f>
        <v>#N/A</v>
      </c>
      <c r="O1455" s="38" t="str">
        <f t="shared" si="9"/>
        <v>Marked</v>
      </c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</row>
    <row r="1456" ht="12.75" customHeight="1">
      <c r="A1456" s="19" t="str">
        <f t="shared" si="8"/>
        <v>Ronald van Raaij rabobank</v>
      </c>
      <c r="B1456" s="19" t="s">
        <v>8556</v>
      </c>
      <c r="C1456" s="124" t="s">
        <v>8557</v>
      </c>
      <c r="D1456" s="124" t="s">
        <v>8558</v>
      </c>
      <c r="E1456" s="208" t="s">
        <v>8559</v>
      </c>
      <c r="F1456" s="121" t="s">
        <v>137</v>
      </c>
      <c r="G1456" s="42" t="s">
        <v>69</v>
      </c>
      <c r="H1456" s="13" t="s">
        <v>45</v>
      </c>
      <c r="I1456" s="34"/>
      <c r="J1456" s="35" t="s">
        <v>8560</v>
      </c>
      <c r="K1456" s="27" t="s">
        <v>50</v>
      </c>
      <c r="L1456" s="13" t="s">
        <v>8561</v>
      </c>
      <c r="M1456" s="26" t="str">
        <f>VLOOKUP(E1456,'MTS 2026 registrations'!B:B,1,false)</f>
        <v>#N/A</v>
      </c>
      <c r="N1456" s="26" t="str">
        <f>VLOOKUP(B1456,'MTS 2026 registrations'!A:A,1,false)</f>
        <v>#N/A</v>
      </c>
      <c r="O1456" s="38" t="str">
        <f t="shared" si="9"/>
        <v>Marked</v>
      </c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</row>
    <row r="1457" ht="12.75" customHeight="1">
      <c r="A1457" s="19" t="str">
        <f t="shared" si="8"/>
        <v>Rory Heltzel-Groenen rotterdam</v>
      </c>
      <c r="B1457" s="19" t="s">
        <v>8562</v>
      </c>
      <c r="C1457" s="193" t="s">
        <v>8563</v>
      </c>
      <c r="D1457" s="193" t="s">
        <v>8564</v>
      </c>
      <c r="E1457" s="105" t="s">
        <v>8565</v>
      </c>
      <c r="F1457" s="209" t="s">
        <v>1597</v>
      </c>
      <c r="G1457" s="32" t="s">
        <v>323</v>
      </c>
      <c r="H1457" s="25" t="s">
        <v>139</v>
      </c>
      <c r="I1457" s="34"/>
      <c r="J1457" s="35" t="s">
        <v>8566</v>
      </c>
      <c r="K1457" s="27" t="s">
        <v>50</v>
      </c>
      <c r="L1457" s="13" t="s">
        <v>8567</v>
      </c>
      <c r="M1457" s="26" t="str">
        <f>VLOOKUP(E1457,'MTS 2026 registrations'!B:B,1,false)</f>
        <v>#N/A</v>
      </c>
      <c r="N1457" s="26" t="str">
        <f>VLOOKUP(B1457,'MTS 2026 registrations'!A:A,1,false)</f>
        <v>#N/A</v>
      </c>
      <c r="O1457" s="38" t="str">
        <f t="shared" si="9"/>
        <v>Marked</v>
      </c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</row>
    <row r="1458" ht="12.75" customHeight="1">
      <c r="A1458" s="19" t="str">
        <f t="shared" si="8"/>
        <v>Rory Deen imsystems</v>
      </c>
      <c r="B1458" s="19" t="s">
        <v>8568</v>
      </c>
      <c r="C1458" s="53" t="s">
        <v>8563</v>
      </c>
      <c r="D1458" s="53" t="s">
        <v>8569</v>
      </c>
      <c r="E1458" s="88" t="s">
        <v>8570</v>
      </c>
      <c r="F1458" s="28" t="s">
        <v>7194</v>
      </c>
      <c r="G1458" s="32" t="s">
        <v>46</v>
      </c>
      <c r="H1458" s="25" t="s">
        <v>47</v>
      </c>
      <c r="I1458" s="34"/>
      <c r="J1458" s="35" t="s">
        <v>8571</v>
      </c>
      <c r="K1458" s="27" t="s">
        <v>50</v>
      </c>
      <c r="L1458" s="13" t="s">
        <v>8572</v>
      </c>
      <c r="M1458" s="26" t="str">
        <f>VLOOKUP(E1458,'MTS 2026 registrations'!B:B,1,false)</f>
        <v>#N/A</v>
      </c>
      <c r="N1458" s="26" t="str">
        <f>VLOOKUP(B1458,'MTS 2026 registrations'!A:A,1,false)</f>
        <v>#N/A</v>
      </c>
      <c r="O1458" s="38" t="str">
        <f t="shared" si="9"/>
        <v>Marked</v>
      </c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</row>
    <row r="1459" ht="12.75" customHeight="1">
      <c r="A1459" s="19" t="str">
        <f t="shared" si="8"/>
        <v>Rosa Kuipers-Dirven tudelft</v>
      </c>
      <c r="B1459" s="19" t="s">
        <v>8573</v>
      </c>
      <c r="C1459" s="193" t="s">
        <v>8574</v>
      </c>
      <c r="D1459" s="193" t="s">
        <v>8575</v>
      </c>
      <c r="E1459" s="105" t="s">
        <v>8576</v>
      </c>
      <c r="F1459" s="209" t="s">
        <v>184</v>
      </c>
      <c r="G1459" s="42" t="s">
        <v>43</v>
      </c>
      <c r="H1459" s="25" t="s">
        <v>139</v>
      </c>
      <c r="I1459" s="34"/>
      <c r="J1459" s="35" t="s">
        <v>8577</v>
      </c>
      <c r="K1459" s="27" t="s">
        <v>50</v>
      </c>
      <c r="L1459" s="13" t="s">
        <v>8578</v>
      </c>
      <c r="M1459" s="26" t="str">
        <f>VLOOKUP(E1459,'MTS 2026 registrations'!B:B,1,false)</f>
        <v>#N/A</v>
      </c>
      <c r="N1459" s="26" t="str">
        <f>VLOOKUP(B1459,'MTS 2026 registrations'!A:A,1,false)</f>
        <v>#N/A</v>
      </c>
      <c r="O1459" s="38" t="str">
        <f t="shared" si="9"/>
        <v>Marked</v>
      </c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</row>
    <row r="1460" ht="12.75" customHeight="1">
      <c r="A1460" s="19" t="str">
        <f t="shared" si="8"/>
        <v>Rostislav Riabchikov foundamental</v>
      </c>
      <c r="B1460" s="19" t="s">
        <v>8579</v>
      </c>
      <c r="C1460" s="53" t="s">
        <v>8580</v>
      </c>
      <c r="D1460" s="53" t="s">
        <v>8581</v>
      </c>
      <c r="E1460" s="88" t="s">
        <v>8582</v>
      </c>
      <c r="F1460" s="28" t="s">
        <v>8583</v>
      </c>
      <c r="G1460" s="24" t="s">
        <v>163</v>
      </c>
      <c r="H1460" s="25" t="s">
        <v>164</v>
      </c>
      <c r="I1460" s="34"/>
      <c r="J1460" s="35" t="s">
        <v>8584</v>
      </c>
      <c r="K1460" s="27" t="s">
        <v>50</v>
      </c>
      <c r="L1460" s="13" t="s">
        <v>8585</v>
      </c>
      <c r="M1460" s="26" t="str">
        <f>VLOOKUP(E1460,'MTS 2026 registrations'!B:B,1,false)</f>
        <v>#N/A</v>
      </c>
      <c r="N1460" s="26" t="str">
        <f>VLOOKUP(B1460,'MTS 2026 registrations'!A:A,1,false)</f>
        <v>#N/A</v>
      </c>
      <c r="O1460" s="38" t="str">
        <f t="shared" si="9"/>
        <v>Marked</v>
      </c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</row>
    <row r="1461" ht="12.75" customHeight="1">
      <c r="A1461" s="19" t="str">
        <f t="shared" si="8"/>
        <v>Roy Kok smart-ship</v>
      </c>
      <c r="B1461" s="19" t="s">
        <v>8586</v>
      </c>
      <c r="C1461" s="53" t="s">
        <v>8587</v>
      </c>
      <c r="D1461" s="53" t="s">
        <v>421</v>
      </c>
      <c r="E1461" s="105" t="s">
        <v>8588</v>
      </c>
      <c r="F1461" s="28" t="s">
        <v>3836</v>
      </c>
      <c r="G1461" s="32" t="s">
        <v>46</v>
      </c>
      <c r="H1461" s="25" t="s">
        <v>47</v>
      </c>
      <c r="I1461" s="34"/>
      <c r="J1461" s="35" t="s">
        <v>8589</v>
      </c>
      <c r="K1461" s="27" t="s">
        <v>50</v>
      </c>
      <c r="L1461" s="13" t="s">
        <v>8590</v>
      </c>
      <c r="M1461" s="26" t="str">
        <f>VLOOKUP(E1461,'MTS 2026 registrations'!B:B,1,false)</f>
        <v>#N/A</v>
      </c>
      <c r="N1461" s="26" t="str">
        <f>VLOOKUP(B1461,'MTS 2026 registrations'!A:A,1,false)</f>
        <v>#N/A</v>
      </c>
      <c r="O1461" s="38" t="str">
        <f t="shared" si="9"/>
        <v>Marked</v>
      </c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</row>
    <row r="1462" ht="12.75" customHeight="1">
      <c r="A1462" s="19" t="str">
        <f t="shared" si="8"/>
        <v>Roy Campe Actiflow</v>
      </c>
      <c r="B1462" s="19" t="s">
        <v>8591</v>
      </c>
      <c r="C1462" s="121" t="s">
        <v>8587</v>
      </c>
      <c r="D1462" s="121" t="s">
        <v>8592</v>
      </c>
      <c r="E1462" s="105" t="s">
        <v>8593</v>
      </c>
      <c r="F1462" s="210" t="s">
        <v>8594</v>
      </c>
      <c r="G1462" s="32" t="s">
        <v>46</v>
      </c>
      <c r="H1462" s="25" t="s">
        <v>47</v>
      </c>
      <c r="I1462" s="34"/>
      <c r="J1462" s="35" t="s">
        <v>8595</v>
      </c>
      <c r="K1462" s="27" t="s">
        <v>50</v>
      </c>
      <c r="L1462" s="13" t="s">
        <v>8596</v>
      </c>
      <c r="M1462" s="26" t="str">
        <f>VLOOKUP(E1462,'MTS 2026 registrations'!B:B,1,false)</f>
        <v>#N/A</v>
      </c>
      <c r="N1462" s="26" t="str">
        <f>VLOOKUP(B1462,'MTS 2026 registrations'!A:A,1,false)</f>
        <v>#N/A</v>
      </c>
      <c r="O1462" s="38" t="str">
        <f t="shared" si="9"/>
        <v>Marked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</row>
    <row r="1463" ht="12.75" customHeight="1">
      <c r="A1463" s="19" t="str">
        <f t="shared" si="8"/>
        <v>Roy de Weerd Rockstart</v>
      </c>
      <c r="B1463" s="19" t="s">
        <v>8597</v>
      </c>
      <c r="C1463" s="137" t="s">
        <v>8587</v>
      </c>
      <c r="D1463" s="137" t="s">
        <v>8598</v>
      </c>
      <c r="E1463" s="140" t="s">
        <v>8599</v>
      </c>
      <c r="F1463" s="95" t="s">
        <v>8600</v>
      </c>
      <c r="G1463" s="24" t="s">
        <v>29</v>
      </c>
      <c r="H1463" s="13" t="s">
        <v>57</v>
      </c>
      <c r="I1463" s="34"/>
      <c r="J1463" s="35" t="s">
        <v>8601</v>
      </c>
      <c r="K1463" s="27" t="s">
        <v>50</v>
      </c>
      <c r="L1463" s="13" t="s">
        <v>8602</v>
      </c>
      <c r="M1463" s="26" t="str">
        <f>VLOOKUP(E1463,'MTS 2026 registrations'!B:B,1,false)</f>
        <v>#N/A</v>
      </c>
      <c r="N1463" s="26" t="str">
        <f>VLOOKUP(B1463,'MTS 2026 registrations'!A:A,1,false)</f>
        <v>#N/A</v>
      </c>
      <c r="O1463" s="38" t="str">
        <f t="shared" si="9"/>
        <v>Marked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</row>
    <row r="1464" ht="12.75" customHeight="1">
      <c r="A1464" s="19" t="str">
        <f t="shared" si="8"/>
        <v>Roy de Wal nl.ey</v>
      </c>
      <c r="B1464" s="19" t="s">
        <v>8603</v>
      </c>
      <c r="C1464" s="53" t="s">
        <v>8604</v>
      </c>
      <c r="D1464" s="53" t="s">
        <v>8605</v>
      </c>
      <c r="E1464" s="88" t="s">
        <v>8606</v>
      </c>
      <c r="F1464" s="28" t="s">
        <v>8237</v>
      </c>
      <c r="G1464" s="42" t="s">
        <v>69</v>
      </c>
      <c r="H1464" s="25" t="s">
        <v>139</v>
      </c>
      <c r="I1464" s="34"/>
      <c r="J1464" s="35" t="s">
        <v>8607</v>
      </c>
      <c r="K1464" s="27" t="s">
        <v>50</v>
      </c>
      <c r="L1464" s="13" t="s">
        <v>8608</v>
      </c>
      <c r="M1464" s="26" t="str">
        <f>VLOOKUP(E1464,'MTS 2026 registrations'!B:B,1,false)</f>
        <v>#N/A</v>
      </c>
      <c r="N1464" s="26" t="str">
        <f>VLOOKUP(B1464,'MTS 2026 registrations'!A:A,1,false)</f>
        <v>#N/A</v>
      </c>
      <c r="O1464" s="38" t="str">
        <f t="shared" si="9"/>
        <v>Marked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</row>
    <row r="1465" ht="12.75" customHeight="1">
      <c r="A1465" s="19" t="str">
        <f t="shared" si="8"/>
        <v>Roya Shademan Green Motion Technologies</v>
      </c>
      <c r="B1465" s="19" t="s">
        <v>8609</v>
      </c>
      <c r="C1465" s="121" t="s">
        <v>8610</v>
      </c>
      <c r="D1465" s="121" t="s">
        <v>8611</v>
      </c>
      <c r="E1465" s="105" t="s">
        <v>8612</v>
      </c>
      <c r="F1465" s="210" t="s">
        <v>1137</v>
      </c>
      <c r="G1465" s="32" t="s">
        <v>46</v>
      </c>
      <c r="H1465" s="25" t="s">
        <v>47</v>
      </c>
      <c r="I1465" s="34"/>
      <c r="J1465" s="35" t="s">
        <v>8613</v>
      </c>
      <c r="K1465" s="27" t="s">
        <v>50</v>
      </c>
      <c r="L1465" s="13" t="s">
        <v>8614</v>
      </c>
      <c r="M1465" s="26" t="str">
        <f>VLOOKUP(E1465,'MTS 2026 registrations'!B:B,1,false)</f>
        <v>#N/A</v>
      </c>
      <c r="N1465" s="26" t="str">
        <f>VLOOKUP(B1465,'MTS 2026 registrations'!A:A,1,false)</f>
        <v>#N/A</v>
      </c>
      <c r="O1465" s="38" t="str">
        <f t="shared" si="9"/>
        <v>Marked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</row>
    <row r="1466" ht="12.75" customHeight="1">
      <c r="A1466" s="19" t="str">
        <f t="shared" si="8"/>
        <v>Rozemarijn Visser Jaide</v>
      </c>
      <c r="B1466" s="19" t="s">
        <v>8615</v>
      </c>
      <c r="C1466" s="121" t="s">
        <v>8616</v>
      </c>
      <c r="D1466" s="121" t="s">
        <v>1561</v>
      </c>
      <c r="E1466" s="105" t="s">
        <v>8617</v>
      </c>
      <c r="F1466" s="210" t="s">
        <v>8618</v>
      </c>
      <c r="G1466" s="24" t="s">
        <v>46</v>
      </c>
      <c r="H1466" s="25" t="s">
        <v>47</v>
      </c>
      <c r="I1466" s="34"/>
      <c r="J1466" s="35" t="s">
        <v>8619</v>
      </c>
      <c r="K1466" s="27" t="s">
        <v>50</v>
      </c>
      <c r="L1466" s="13" t="s">
        <v>8620</v>
      </c>
      <c r="M1466" s="26" t="str">
        <f>VLOOKUP(E1466,'MTS 2026 registrations'!B:B,1,false)</f>
        <v>#N/A</v>
      </c>
      <c r="N1466" s="26" t="str">
        <f>VLOOKUP(B1466,'MTS 2026 registrations'!A:A,1,false)</f>
        <v>#N/A</v>
      </c>
      <c r="O1466" s="38" t="str">
        <f t="shared" si="9"/>
        <v>Marked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</row>
    <row r="1467" ht="12.75" customHeight="1">
      <c r="A1467" s="19" t="str">
        <f t="shared" si="8"/>
        <v>Ruben van Eijnatten Greetinq</v>
      </c>
      <c r="B1467" s="19" t="s">
        <v>8621</v>
      </c>
      <c r="C1467" s="121" t="s">
        <v>1374</v>
      </c>
      <c r="D1467" s="121" t="s">
        <v>8622</v>
      </c>
      <c r="E1467" s="105" t="s">
        <v>8623</v>
      </c>
      <c r="F1467" s="210" t="s">
        <v>8624</v>
      </c>
      <c r="G1467" s="24" t="s">
        <v>46</v>
      </c>
      <c r="H1467" s="25" t="s">
        <v>47</v>
      </c>
      <c r="I1467" s="34"/>
      <c r="J1467" s="35" t="s">
        <v>8625</v>
      </c>
      <c r="K1467" s="27" t="s">
        <v>50</v>
      </c>
      <c r="L1467" s="13" t="s">
        <v>8626</v>
      </c>
      <c r="M1467" s="26" t="str">
        <f>VLOOKUP(E1467,'MTS 2026 registrations'!B:B,1,false)</f>
        <v>#N/A</v>
      </c>
      <c r="N1467" s="26" t="str">
        <f>VLOOKUP(B1467,'MTS 2026 registrations'!A:A,1,false)</f>
        <v>#N/A</v>
      </c>
      <c r="O1467" s="38" t="str">
        <f t="shared" si="9"/>
        <v>Marked</v>
      </c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</row>
    <row r="1468" ht="12.75" customHeight="1">
      <c r="A1468" s="19" t="str">
        <f t="shared" si="8"/>
        <v>Ruben Brinckmann TNO</v>
      </c>
      <c r="B1468" s="19" t="s">
        <v>8627</v>
      </c>
      <c r="C1468" s="205" t="s">
        <v>1374</v>
      </c>
      <c r="D1468" s="121" t="s">
        <v>8628</v>
      </c>
      <c r="E1468" s="140" t="s">
        <v>8629</v>
      </c>
      <c r="F1468" s="124" t="s">
        <v>2484</v>
      </c>
      <c r="G1468" s="144"/>
      <c r="H1468" s="13" t="s">
        <v>45</v>
      </c>
      <c r="I1468" s="34"/>
      <c r="J1468" s="35" t="s">
        <v>8630</v>
      </c>
      <c r="K1468" s="27" t="s">
        <v>50</v>
      </c>
      <c r="L1468" s="13" t="s">
        <v>8631</v>
      </c>
      <c r="M1468" s="26" t="str">
        <f>VLOOKUP(E1468,'MTS 2026 registrations'!B:B,1,false)</f>
        <v>#N/A</v>
      </c>
      <c r="N1468" s="26" t="str">
        <f>VLOOKUP(B1468,'MTS 2026 registrations'!A:A,1,false)</f>
        <v>#N/A</v>
      </c>
      <c r="O1468" s="38" t="str">
        <f t="shared" si="9"/>
        <v>Marked</v>
      </c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</row>
    <row r="1469" ht="12.75" customHeight="1">
      <c r="A1469" s="19" t="str">
        <f t="shared" si="8"/>
        <v>Ruben Dekker Ailixr - No-code AI Builder</v>
      </c>
      <c r="B1469" s="19" t="s">
        <v>8632</v>
      </c>
      <c r="C1469" s="211" t="s">
        <v>1374</v>
      </c>
      <c r="D1469" s="211" t="s">
        <v>779</v>
      </c>
      <c r="E1469" s="191" t="s">
        <v>8633</v>
      </c>
      <c r="F1469" s="28" t="s">
        <v>8634</v>
      </c>
      <c r="G1469" s="32" t="s">
        <v>46</v>
      </c>
      <c r="H1469" s="25" t="s">
        <v>31</v>
      </c>
      <c r="I1469" s="23"/>
      <c r="J1469" s="35" t="s">
        <v>8635</v>
      </c>
      <c r="K1469" s="27" t="s">
        <v>50</v>
      </c>
      <c r="L1469" s="13" t="s">
        <v>8636</v>
      </c>
      <c r="M1469" s="26" t="str">
        <f>VLOOKUP(E1469,'MTS 2026 registrations'!B:B,1,false)</f>
        <v>#N/A</v>
      </c>
      <c r="N1469" s="26" t="str">
        <f>VLOOKUP(B1469,'MTS 2026 registrations'!A:A,1,false)</f>
        <v>#N/A</v>
      </c>
      <c r="O1469" s="38" t="str">
        <f t="shared" si="9"/>
        <v>Marked</v>
      </c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23"/>
      <c r="AE1469" s="23"/>
    </row>
    <row r="1470" ht="12.75" customHeight="1">
      <c r="A1470" s="19" t="str">
        <f t="shared" si="8"/>
        <v>Ruben Rodriguez lexarpartners</v>
      </c>
      <c r="B1470" s="19" t="s">
        <v>8637</v>
      </c>
      <c r="C1470" s="53" t="s">
        <v>1374</v>
      </c>
      <c r="D1470" s="53" t="s">
        <v>8638</v>
      </c>
      <c r="E1470" s="88" t="s">
        <v>8639</v>
      </c>
      <c r="F1470" s="28" t="s">
        <v>8640</v>
      </c>
      <c r="G1470" s="24" t="s">
        <v>163</v>
      </c>
      <c r="H1470" s="25" t="s">
        <v>164</v>
      </c>
      <c r="I1470" s="34"/>
      <c r="J1470" s="35" t="s">
        <v>8641</v>
      </c>
      <c r="K1470" s="27" t="s">
        <v>50</v>
      </c>
      <c r="L1470" s="13" t="s">
        <v>8642</v>
      </c>
      <c r="M1470" s="26" t="str">
        <f>VLOOKUP(E1470,'MTS 2026 registrations'!B:B,1,false)</f>
        <v>#N/A</v>
      </c>
      <c r="N1470" s="26" t="str">
        <f>VLOOKUP(B1470,'MTS 2026 registrations'!A:A,1,false)</f>
        <v>#N/A</v>
      </c>
      <c r="O1470" s="38" t="str">
        <f t="shared" si="9"/>
        <v>Marked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</row>
    <row r="1471" ht="12.75" customHeight="1">
      <c r="A1471" s="19" t="str">
        <f t="shared" si="8"/>
        <v>Ruben Rutgers platformzero</v>
      </c>
      <c r="B1471" s="19" t="s">
        <v>8643</v>
      </c>
      <c r="C1471" s="121" t="s">
        <v>1374</v>
      </c>
      <c r="D1471" s="121" t="s">
        <v>7878</v>
      </c>
      <c r="E1471" s="140" t="s">
        <v>8644</v>
      </c>
      <c r="F1471" s="121" t="s">
        <v>3589</v>
      </c>
      <c r="G1471" s="32" t="s">
        <v>69</v>
      </c>
      <c r="H1471" s="13" t="s">
        <v>45</v>
      </c>
      <c r="I1471" s="34"/>
      <c r="J1471" s="35" t="s">
        <v>8645</v>
      </c>
      <c r="K1471" s="27" t="s">
        <v>50</v>
      </c>
      <c r="L1471" s="13" t="s">
        <v>8646</v>
      </c>
      <c r="M1471" s="26" t="str">
        <f>VLOOKUP(E1471,'MTS 2026 registrations'!B:B,1,false)</f>
        <v>ruben@platformzero.co</v>
      </c>
      <c r="N1471" s="26" t="str">
        <f>VLOOKUP(B1471,'MTS 2026 registrations'!A:A,1,false)</f>
        <v>Ruben Rutgers</v>
      </c>
      <c r="O1471" s="38" t="str">
        <f t="shared" si="9"/>
        <v/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</row>
    <row r="1472" ht="12.75" customHeight="1">
      <c r="A1472" s="19" t="str">
        <f t="shared" si="8"/>
        <v>Ruben Geutjens qlayers</v>
      </c>
      <c r="B1472" s="19" t="s">
        <v>8647</v>
      </c>
      <c r="C1472" s="53" t="s">
        <v>1374</v>
      </c>
      <c r="D1472" s="53" t="s">
        <v>8648</v>
      </c>
      <c r="E1472" s="88" t="s">
        <v>8649</v>
      </c>
      <c r="F1472" s="28" t="s">
        <v>6189</v>
      </c>
      <c r="G1472" s="32" t="s">
        <v>46</v>
      </c>
      <c r="H1472" s="25" t="s">
        <v>47</v>
      </c>
      <c r="I1472" s="34"/>
      <c r="J1472" s="35" t="s">
        <v>8650</v>
      </c>
      <c r="K1472" s="27" t="s">
        <v>50</v>
      </c>
      <c r="L1472" s="13" t="s">
        <v>8651</v>
      </c>
      <c r="M1472" s="26" t="str">
        <f>VLOOKUP(E1472,'MTS 2026 registrations'!B:B,1,false)</f>
        <v>#N/A</v>
      </c>
      <c r="N1472" s="26" t="str">
        <f>VLOOKUP(B1472,'MTS 2026 registrations'!A:A,1,false)</f>
        <v>#N/A</v>
      </c>
      <c r="O1472" s="38" t="str">
        <f t="shared" si="9"/>
        <v>Marked</v>
      </c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</row>
    <row r="1473" ht="12.75" customHeight="1">
      <c r="A1473" s="19" t="str">
        <f t="shared" si="8"/>
        <v>Ruben Nieuwenhuis </v>
      </c>
      <c r="B1473" s="19" t="s">
        <v>8652</v>
      </c>
      <c r="C1473" s="167" t="s">
        <v>1374</v>
      </c>
      <c r="D1473" s="167" t="s">
        <v>8653</v>
      </c>
      <c r="E1473" s="212" t="s">
        <v>8654</v>
      </c>
      <c r="F1473" s="213"/>
      <c r="G1473" s="24" t="s">
        <v>29</v>
      </c>
      <c r="H1473" s="25" t="s">
        <v>139</v>
      </c>
      <c r="I1473" s="26"/>
      <c r="J1473" s="35" t="s">
        <v>8655</v>
      </c>
      <c r="K1473" s="27" t="s">
        <v>50</v>
      </c>
      <c r="L1473" s="27" t="s">
        <v>8656</v>
      </c>
      <c r="M1473" s="26" t="str">
        <f>VLOOKUP(E1473,'MTS 2026 registrations'!B:B,1,false)</f>
        <v>#N/A</v>
      </c>
      <c r="N1473" s="26" t="str">
        <f>VLOOKUP(B1473,'MTS 2026 registrations'!A:A,1,false)</f>
        <v>#N/A</v>
      </c>
      <c r="O1473" s="38" t="str">
        <f t="shared" si="9"/>
        <v>Marked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</row>
    <row r="1474" ht="12.75" customHeight="1">
      <c r="A1474" s="19" t="str">
        <f t="shared" si="8"/>
        <v>Rudiger Mees rqradvisors</v>
      </c>
      <c r="B1474" s="19" t="s">
        <v>8657</v>
      </c>
      <c r="C1474" s="53" t="s">
        <v>8658</v>
      </c>
      <c r="D1474" s="53" t="s">
        <v>8659</v>
      </c>
      <c r="E1474" s="88" t="s">
        <v>8660</v>
      </c>
      <c r="F1474" s="28" t="s">
        <v>8661</v>
      </c>
      <c r="G1474" s="24" t="s">
        <v>163</v>
      </c>
      <c r="H1474" s="25" t="s">
        <v>164</v>
      </c>
      <c r="I1474" s="34"/>
      <c r="J1474" s="35" t="s">
        <v>8662</v>
      </c>
      <c r="K1474" s="27" t="s">
        <v>50</v>
      </c>
      <c r="L1474" s="13" t="s">
        <v>8663</v>
      </c>
      <c r="M1474" s="26" t="str">
        <f>VLOOKUP(E1474,'MTS 2026 registrations'!B:B,1,false)</f>
        <v>#N/A</v>
      </c>
      <c r="N1474" s="26" t="str">
        <f>VLOOKUP(B1474,'MTS 2026 registrations'!A:A,1,false)</f>
        <v>#N/A</v>
      </c>
      <c r="O1474" s="38" t="str">
        <f t="shared" si="9"/>
        <v>Marked</v>
      </c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</row>
    <row r="1475" ht="12.75" customHeight="1">
      <c r="A1475" s="19" t="str">
        <f t="shared" si="8"/>
        <v>Rudo Enserink shapewave</v>
      </c>
      <c r="B1475" s="19" t="s">
        <v>8664</v>
      </c>
      <c r="C1475" s="53" t="s">
        <v>8665</v>
      </c>
      <c r="D1475" s="184" t="s">
        <v>8666</v>
      </c>
      <c r="E1475" s="88" t="s">
        <v>8667</v>
      </c>
      <c r="F1475" s="28" t="s">
        <v>4336</v>
      </c>
      <c r="G1475" s="32" t="s">
        <v>46</v>
      </c>
      <c r="H1475" s="25" t="s">
        <v>47</v>
      </c>
      <c r="I1475" s="34"/>
      <c r="J1475" s="35" t="s">
        <v>8668</v>
      </c>
      <c r="K1475" s="27" t="s">
        <v>50</v>
      </c>
      <c r="L1475" s="13" t="s">
        <v>8669</v>
      </c>
      <c r="M1475" s="26" t="str">
        <f>VLOOKUP(E1475,'MTS 2026 registrations'!B:B,1,false)</f>
        <v>#N/A</v>
      </c>
      <c r="N1475" s="26" t="str">
        <f>VLOOKUP(B1475,'MTS 2026 registrations'!A:A,1,false)</f>
        <v>#N/A</v>
      </c>
      <c r="O1475" s="38" t="str">
        <f t="shared" si="9"/>
        <v>Marked</v>
      </c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</row>
    <row r="1476" ht="12.75" customHeight="1">
      <c r="A1476" s="19" t="str">
        <f t="shared" si="8"/>
        <v>Rutger de Graaf deltasync</v>
      </c>
      <c r="B1476" s="19" t="s">
        <v>2903</v>
      </c>
      <c r="C1476" s="116" t="s">
        <v>2898</v>
      </c>
      <c r="D1476" s="20" t="s">
        <v>2904</v>
      </c>
      <c r="E1476" s="21" t="s">
        <v>8670</v>
      </c>
      <c r="F1476" s="23" t="s">
        <v>848</v>
      </c>
      <c r="G1476" s="32" t="s">
        <v>46</v>
      </c>
      <c r="H1476" s="25" t="s">
        <v>47</v>
      </c>
      <c r="I1476" s="34"/>
      <c r="J1476" s="35" t="s">
        <v>8671</v>
      </c>
      <c r="K1476" s="27" t="s">
        <v>50</v>
      </c>
      <c r="L1476" s="13" t="s">
        <v>51</v>
      </c>
      <c r="M1476" s="26" t="str">
        <f>VLOOKUP(E1476,'MTS 2026 registrations'!B:B,1,false)</f>
        <v>#N/A</v>
      </c>
      <c r="N1476" s="26" t="str">
        <f>VLOOKUP(B1476,'MTS 2026 registrations'!A:A,1,false)</f>
        <v>Rutger De Graaf</v>
      </c>
      <c r="O1476" s="38" t="str">
        <f t="shared" si="9"/>
        <v/>
      </c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</row>
    <row r="1477" ht="12.75" customHeight="1">
      <c r="A1477" s="19" t="str">
        <f t="shared" si="8"/>
        <v>Maarten Rutgers tablomonto</v>
      </c>
      <c r="B1477" s="19" t="s">
        <v>8672</v>
      </c>
      <c r="C1477" s="116" t="s">
        <v>261</v>
      </c>
      <c r="D1477" s="20" t="s">
        <v>7878</v>
      </c>
      <c r="E1477" s="21" t="s">
        <v>8673</v>
      </c>
      <c r="F1477" s="23" t="s">
        <v>5720</v>
      </c>
      <c r="G1477" s="24" t="s">
        <v>163</v>
      </c>
      <c r="H1477" s="25" t="s">
        <v>164</v>
      </c>
      <c r="I1477" s="34"/>
      <c r="J1477" s="35" t="s">
        <v>8674</v>
      </c>
      <c r="K1477" s="27" t="s">
        <v>50</v>
      </c>
      <c r="L1477" s="13" t="s">
        <v>8675</v>
      </c>
      <c r="M1477" s="26" t="str">
        <f>VLOOKUP(E1477,'MTS 2026 registrations'!B:B,1,false)</f>
        <v>#N/A</v>
      </c>
      <c r="N1477" s="26" t="str">
        <f>VLOOKUP(B1477,'MTS 2026 registrations'!A:A,1,false)</f>
        <v>#N/A</v>
      </c>
      <c r="O1477" s="38" t="str">
        <f t="shared" si="9"/>
        <v>Marked</v>
      </c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</row>
    <row r="1478" ht="12.75" customHeight="1">
      <c r="A1478" s="19" t="str">
        <f t="shared" si="8"/>
        <v>Ruud Welschen Siemens</v>
      </c>
      <c r="B1478" s="19" t="s">
        <v>8676</v>
      </c>
      <c r="C1478" s="112" t="s">
        <v>1380</v>
      </c>
      <c r="D1478" s="29" t="s">
        <v>8677</v>
      </c>
      <c r="E1478" s="30" t="s">
        <v>8678</v>
      </c>
      <c r="F1478" s="72" t="s">
        <v>2261</v>
      </c>
      <c r="G1478" s="32" t="s">
        <v>56</v>
      </c>
      <c r="H1478" s="13" t="s">
        <v>45</v>
      </c>
      <c r="I1478" s="34"/>
      <c r="J1478" s="35" t="s">
        <v>8679</v>
      </c>
      <c r="K1478" s="27" t="s">
        <v>50</v>
      </c>
      <c r="L1478" s="13" t="s">
        <v>8680</v>
      </c>
      <c r="M1478" s="26" t="str">
        <f>VLOOKUP(E1478,'MTS 2026 registrations'!B:B,1,false)</f>
        <v>#N/A</v>
      </c>
      <c r="N1478" s="26" t="str">
        <f>VLOOKUP(B1478,'MTS 2026 registrations'!A:A,1,false)</f>
        <v>#N/A</v>
      </c>
      <c r="O1478" s="38" t="str">
        <f t="shared" si="9"/>
        <v>Marked</v>
      </c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</row>
    <row r="1479" ht="12.75" customHeight="1">
      <c r="A1479" s="19" t="str">
        <f t="shared" si="8"/>
        <v>Ruud Zandvliet invest-nl</v>
      </c>
      <c r="B1479" s="19" t="s">
        <v>8681</v>
      </c>
      <c r="C1479" s="20" t="s">
        <v>1380</v>
      </c>
      <c r="D1479" s="20" t="s">
        <v>625</v>
      </c>
      <c r="E1479" s="21" t="s">
        <v>8682</v>
      </c>
      <c r="F1479" s="23" t="s">
        <v>1648</v>
      </c>
      <c r="G1479" s="42" t="s">
        <v>69</v>
      </c>
      <c r="H1479" s="13" t="s">
        <v>213</v>
      </c>
      <c r="I1479" s="34"/>
      <c r="J1479" s="35" t="s">
        <v>8683</v>
      </c>
      <c r="K1479" s="27" t="s">
        <v>50</v>
      </c>
      <c r="L1479" s="13" t="s">
        <v>8684</v>
      </c>
      <c r="M1479" s="26" t="str">
        <f>VLOOKUP(E1479,'MTS 2026 registrations'!B:B,1,false)</f>
        <v>#N/A</v>
      </c>
      <c r="N1479" s="26" t="str">
        <f>VLOOKUP(B1479,'MTS 2026 registrations'!A:A,1,false)</f>
        <v>#N/A</v>
      </c>
      <c r="O1479" s="38" t="str">
        <f t="shared" si="9"/>
        <v>Marked</v>
      </c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</row>
    <row r="1480" ht="12.75" customHeight="1">
      <c r="A1480" s="19" t="str">
        <f t="shared" si="8"/>
        <v>Sabina Groenveld portxl</v>
      </c>
      <c r="B1480" s="19" t="s">
        <v>8685</v>
      </c>
      <c r="C1480" s="29" t="s">
        <v>8686</v>
      </c>
      <c r="D1480" s="29" t="s">
        <v>6508</v>
      </c>
      <c r="E1480" s="30" t="s">
        <v>8687</v>
      </c>
      <c r="F1480" s="29" t="s">
        <v>1587</v>
      </c>
      <c r="G1480" s="32" t="s">
        <v>69</v>
      </c>
      <c r="H1480" s="13" t="s">
        <v>45</v>
      </c>
      <c r="I1480" s="34"/>
      <c r="J1480" s="35" t="s">
        <v>8688</v>
      </c>
      <c r="K1480" s="27" t="s">
        <v>50</v>
      </c>
      <c r="L1480" s="13" t="s">
        <v>8689</v>
      </c>
      <c r="M1480" s="26" t="str">
        <f>VLOOKUP(E1480,'MTS 2026 registrations'!B:B,1,false)</f>
        <v>#N/A</v>
      </c>
      <c r="N1480" s="26" t="str">
        <f>VLOOKUP(B1480,'MTS 2026 registrations'!A:A,1,false)</f>
        <v>#N/A</v>
      </c>
      <c r="O1480" s="38" t="str">
        <f t="shared" si="9"/>
        <v>Marked</v>
      </c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</row>
    <row r="1481" ht="12.75" customHeight="1">
      <c r="A1481" s="19" t="str">
        <f t="shared" si="8"/>
        <v>Sabine Kerssens tno</v>
      </c>
      <c r="B1481" s="19" t="s">
        <v>8690</v>
      </c>
      <c r="C1481" s="60" t="s">
        <v>1461</v>
      </c>
      <c r="D1481" s="60" t="s">
        <v>8691</v>
      </c>
      <c r="E1481" s="62" t="s">
        <v>8692</v>
      </c>
      <c r="F1481" s="64" t="s">
        <v>2956</v>
      </c>
      <c r="G1481" s="32" t="s">
        <v>43</v>
      </c>
      <c r="H1481" s="25" t="s">
        <v>139</v>
      </c>
      <c r="I1481" s="34"/>
      <c r="J1481" s="35" t="s">
        <v>8693</v>
      </c>
      <c r="K1481" s="27" t="s">
        <v>50</v>
      </c>
      <c r="L1481" s="13" t="s">
        <v>8694</v>
      </c>
      <c r="M1481" s="26" t="str">
        <f>VLOOKUP(E1481,'MTS 2026 registrations'!B:B,1,false)</f>
        <v>#N/A</v>
      </c>
      <c r="N1481" s="26" t="str">
        <f>VLOOKUP(B1481,'MTS 2026 registrations'!A:A,1,false)</f>
        <v>#N/A</v>
      </c>
      <c r="O1481" s="38" t="str">
        <f t="shared" si="9"/>
        <v>Marked</v>
      </c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</row>
    <row r="1482" ht="12.75" customHeight="1">
      <c r="A1482" s="19" t="str">
        <f t="shared" si="8"/>
        <v>Saied Mohammed Hussaini innoboom</v>
      </c>
      <c r="B1482" s="19" t="s">
        <v>8695</v>
      </c>
      <c r="C1482" s="20" t="s">
        <v>8696</v>
      </c>
      <c r="D1482" s="20" t="s">
        <v>8697</v>
      </c>
      <c r="E1482" s="94" t="s">
        <v>8698</v>
      </c>
      <c r="F1482" s="23" t="s">
        <v>3233</v>
      </c>
      <c r="G1482" s="32" t="s">
        <v>46</v>
      </c>
      <c r="H1482" s="25" t="s">
        <v>47</v>
      </c>
      <c r="I1482" s="34"/>
      <c r="J1482" s="35" t="s">
        <v>8699</v>
      </c>
      <c r="K1482" s="27" t="s">
        <v>50</v>
      </c>
      <c r="L1482" s="13" t="s">
        <v>8700</v>
      </c>
      <c r="M1482" s="26" t="str">
        <f>VLOOKUP(E1482,'MTS 2026 registrations'!B:B,1,false)</f>
        <v>#N/A</v>
      </c>
      <c r="N1482" s="26" t="str">
        <f>VLOOKUP(B1482,'MTS 2026 registrations'!A:A,1,false)</f>
        <v>#N/A</v>
      </c>
      <c r="O1482" s="38" t="str">
        <f t="shared" si="9"/>
        <v>Marked</v>
      </c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</row>
    <row r="1483" ht="12.75" customHeight="1">
      <c r="A1483" s="19" t="str">
        <f t="shared" si="8"/>
        <v>Sal Bosman Delft Circuits</v>
      </c>
      <c r="B1483" s="19" t="s">
        <v>8701</v>
      </c>
      <c r="C1483" s="29" t="s">
        <v>8702</v>
      </c>
      <c r="D1483" s="29" t="s">
        <v>8703</v>
      </c>
      <c r="E1483" s="31" t="s">
        <v>8704</v>
      </c>
      <c r="F1483" s="33" t="s">
        <v>8705</v>
      </c>
      <c r="G1483" s="24" t="s">
        <v>46</v>
      </c>
      <c r="H1483" s="25" t="s">
        <v>47</v>
      </c>
      <c r="I1483" s="34"/>
      <c r="J1483" s="35" t="s">
        <v>8706</v>
      </c>
      <c r="K1483" s="27" t="s">
        <v>50</v>
      </c>
      <c r="L1483" s="13" t="s">
        <v>8707</v>
      </c>
      <c r="M1483" s="26" t="str">
        <f>VLOOKUP(E1483,'MTS 2026 registrations'!B:B,1,false)</f>
        <v>#N/A</v>
      </c>
      <c r="N1483" s="26" t="str">
        <f>VLOOKUP(B1483,'MTS 2026 registrations'!A:A,1,false)</f>
        <v>#N/A</v>
      </c>
      <c r="O1483" s="38" t="str">
        <f t="shared" si="9"/>
        <v>Marked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</row>
    <row r="1484" ht="12.75" customHeight="1">
      <c r="A1484" s="19" t="str">
        <f t="shared" si="8"/>
        <v>Sam van der Schaaf PZH</v>
      </c>
      <c r="B1484" s="19" t="s">
        <v>8708</v>
      </c>
      <c r="C1484" s="102" t="s">
        <v>1385</v>
      </c>
      <c r="D1484" s="102" t="s">
        <v>8709</v>
      </c>
      <c r="E1484" s="48" t="s">
        <v>8710</v>
      </c>
      <c r="F1484" s="135" t="s">
        <v>1628</v>
      </c>
      <c r="G1484" s="42" t="s">
        <v>323</v>
      </c>
      <c r="H1484" s="25" t="s">
        <v>139</v>
      </c>
      <c r="I1484" s="34"/>
      <c r="J1484" s="35" t="s">
        <v>8711</v>
      </c>
      <c r="K1484" s="27" t="s">
        <v>50</v>
      </c>
      <c r="L1484" s="13" t="s">
        <v>8712</v>
      </c>
      <c r="M1484" s="26" t="str">
        <f>VLOOKUP(E1484,'MTS 2026 registrations'!B:B,1,false)</f>
        <v>#N/A</v>
      </c>
      <c r="N1484" s="26" t="str">
        <f>VLOOKUP(B1484,'MTS 2026 registrations'!A:A,1,false)</f>
        <v>#N/A</v>
      </c>
      <c r="O1484" s="38" t="str">
        <f t="shared" si="9"/>
        <v>Marked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</row>
    <row r="1485" ht="12.75" customHeight="1">
      <c r="A1485" s="19" t="str">
        <f t="shared" si="8"/>
        <v>Samir Amghar lansingerland</v>
      </c>
      <c r="B1485" s="19" t="s">
        <v>8713</v>
      </c>
      <c r="C1485" s="138" t="s">
        <v>8714</v>
      </c>
      <c r="D1485" s="138" t="s">
        <v>8715</v>
      </c>
      <c r="E1485" s="139" t="s">
        <v>8716</v>
      </c>
      <c r="F1485" s="75" t="s">
        <v>6609</v>
      </c>
      <c r="G1485" s="24" t="s">
        <v>56</v>
      </c>
      <c r="H1485" s="25" t="s">
        <v>139</v>
      </c>
      <c r="I1485" s="34"/>
      <c r="J1485" s="35" t="s">
        <v>8717</v>
      </c>
      <c r="K1485" s="27" t="s">
        <v>50</v>
      </c>
      <c r="L1485" s="13" t="s">
        <v>8718</v>
      </c>
      <c r="M1485" s="26" t="str">
        <f>VLOOKUP(E1485,'MTS 2026 registrations'!B:B,1,false)</f>
        <v>samir.amghar@lansingerland.nl</v>
      </c>
      <c r="N1485" s="26" t="str">
        <f>VLOOKUP(B1485,'MTS 2026 registrations'!A:A,1,false)</f>
        <v>Samir Amghar</v>
      </c>
      <c r="O1485" s="38" t="str">
        <f t="shared" si="9"/>
        <v/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</row>
    <row r="1486" ht="12.75" customHeight="1">
      <c r="A1486" s="19" t="str">
        <f t="shared" si="8"/>
        <v>Sana Fateh Synano</v>
      </c>
      <c r="B1486" s="19" t="s">
        <v>8719</v>
      </c>
      <c r="C1486" s="29" t="s">
        <v>8720</v>
      </c>
      <c r="D1486" s="29" t="s">
        <v>8721</v>
      </c>
      <c r="E1486" s="31" t="s">
        <v>8722</v>
      </c>
      <c r="F1486" s="33" t="s">
        <v>8723</v>
      </c>
      <c r="G1486" s="24" t="s">
        <v>46</v>
      </c>
      <c r="H1486" s="25" t="s">
        <v>47</v>
      </c>
      <c r="I1486" s="34"/>
      <c r="J1486" s="35" t="s">
        <v>8724</v>
      </c>
      <c r="K1486" s="27" t="s">
        <v>50</v>
      </c>
      <c r="L1486" s="13" t="s">
        <v>8725</v>
      </c>
      <c r="M1486" s="26" t="str">
        <f>VLOOKUP(E1486,'MTS 2026 registrations'!B:B,1,false)</f>
        <v>#N/A</v>
      </c>
      <c r="N1486" s="26" t="str">
        <f>VLOOKUP(B1486,'MTS 2026 registrations'!A:A,1,false)</f>
        <v>#N/A</v>
      </c>
      <c r="O1486" s="38" t="str">
        <f t="shared" si="9"/>
        <v>Marked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</row>
    <row r="1487" ht="12.75" customHeight="1">
      <c r="A1487" s="19" t="str">
        <f t="shared" si="8"/>
        <v>Sanaz Saeid shmnext</v>
      </c>
      <c r="B1487" s="19" t="s">
        <v>8726</v>
      </c>
      <c r="C1487" s="20" t="s">
        <v>8727</v>
      </c>
      <c r="D1487" s="20" t="s">
        <v>8728</v>
      </c>
      <c r="E1487" s="21" t="s">
        <v>8729</v>
      </c>
      <c r="F1487" s="23" t="s">
        <v>8730</v>
      </c>
      <c r="G1487" s="32" t="s">
        <v>46</v>
      </c>
      <c r="H1487" s="25" t="s">
        <v>47</v>
      </c>
      <c r="I1487" s="34"/>
      <c r="J1487" s="35" t="s">
        <v>8731</v>
      </c>
      <c r="K1487" s="27" t="s">
        <v>50</v>
      </c>
      <c r="L1487" s="13" t="s">
        <v>8732</v>
      </c>
      <c r="M1487" s="26" t="str">
        <f>VLOOKUP(E1487,'MTS 2026 registrations'!B:B,1,false)</f>
        <v>#N/A</v>
      </c>
      <c r="N1487" s="26" t="str">
        <f>VLOOKUP(B1487,'MTS 2026 registrations'!A:A,1,false)</f>
        <v>#N/A</v>
      </c>
      <c r="O1487" s="38" t="str">
        <f t="shared" si="9"/>
        <v>Marked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</row>
    <row r="1488" ht="12.75" customHeight="1">
      <c r="A1488" s="19" t="str">
        <f t="shared" si="8"/>
        <v>Sander den Hoedt delmic</v>
      </c>
      <c r="B1488" s="19" t="s">
        <v>8733</v>
      </c>
      <c r="C1488" s="20" t="s">
        <v>1391</v>
      </c>
      <c r="D1488" s="20" t="s">
        <v>8734</v>
      </c>
      <c r="E1488" s="21" t="s">
        <v>8735</v>
      </c>
      <c r="F1488" s="23" t="s">
        <v>3359</v>
      </c>
      <c r="G1488" s="32" t="s">
        <v>46</v>
      </c>
      <c r="H1488" s="25" t="s">
        <v>47</v>
      </c>
      <c r="I1488" s="23"/>
      <c r="J1488" s="35" t="s">
        <v>8736</v>
      </c>
      <c r="K1488" s="27" t="s">
        <v>50</v>
      </c>
      <c r="L1488" s="13" t="s">
        <v>8737</v>
      </c>
      <c r="M1488" s="26" t="str">
        <f>VLOOKUP(E1488,'MTS 2026 registrations'!B:B,1,false)</f>
        <v>#N/A</v>
      </c>
      <c r="N1488" s="26" t="str">
        <f>VLOOKUP(B1488,'MTS 2026 registrations'!A:A,1,false)</f>
        <v>#N/A</v>
      </c>
      <c r="O1488" s="38" t="str">
        <f t="shared" si="9"/>
        <v>Marked</v>
      </c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34"/>
      <c r="AE1488" s="34"/>
    </row>
    <row r="1489" ht="12.75" customHeight="1">
      <c r="A1489" s="19" t="str">
        <f t="shared" si="8"/>
        <v>Sander Dorenbos Single Quantum</v>
      </c>
      <c r="B1489" s="19" t="s">
        <v>8738</v>
      </c>
      <c r="C1489" s="29" t="s">
        <v>1391</v>
      </c>
      <c r="D1489" s="29" t="s">
        <v>8739</v>
      </c>
      <c r="E1489" s="31" t="s">
        <v>8740</v>
      </c>
      <c r="F1489" s="33" t="s">
        <v>8741</v>
      </c>
      <c r="G1489" s="32" t="s">
        <v>46</v>
      </c>
      <c r="H1489" s="25" t="s">
        <v>47</v>
      </c>
      <c r="I1489" s="34"/>
      <c r="J1489" s="35" t="s">
        <v>8742</v>
      </c>
      <c r="K1489" s="27" t="s">
        <v>50</v>
      </c>
      <c r="L1489" s="13" t="s">
        <v>8743</v>
      </c>
      <c r="M1489" s="26" t="str">
        <f>VLOOKUP(E1489,'MTS 2026 registrations'!B:B,1,false)</f>
        <v>#N/A</v>
      </c>
      <c r="N1489" s="26" t="str">
        <f>VLOOKUP(B1489,'MTS 2026 registrations'!A:A,1,false)</f>
        <v>#N/A</v>
      </c>
      <c r="O1489" s="38" t="str">
        <f t="shared" si="9"/>
        <v>Marked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</row>
    <row r="1490" ht="12.75" customHeight="1">
      <c r="A1490" s="19" t="str">
        <f t="shared" si="8"/>
        <v>Sander Schutte mapiq</v>
      </c>
      <c r="B1490" s="19" t="s">
        <v>8744</v>
      </c>
      <c r="C1490" s="20" t="s">
        <v>1391</v>
      </c>
      <c r="D1490" s="20" t="s">
        <v>8745</v>
      </c>
      <c r="E1490" s="21" t="s">
        <v>8746</v>
      </c>
      <c r="F1490" s="75" t="s">
        <v>8747</v>
      </c>
      <c r="G1490" s="24" t="s">
        <v>46</v>
      </c>
      <c r="H1490" s="25" t="s">
        <v>139</v>
      </c>
      <c r="I1490" s="34"/>
      <c r="J1490" s="35" t="s">
        <v>8748</v>
      </c>
      <c r="K1490" s="27" t="s">
        <v>50</v>
      </c>
      <c r="L1490" s="13" t="s">
        <v>8749</v>
      </c>
      <c r="M1490" s="26" t="str">
        <f>VLOOKUP(E1490,'MTS 2026 registrations'!B:B,1,false)</f>
        <v>#N/A</v>
      </c>
      <c r="N1490" s="26" t="str">
        <f>VLOOKUP(B1490,'MTS 2026 registrations'!A:A,1,false)</f>
        <v>#N/A</v>
      </c>
      <c r="O1490" s="38" t="str">
        <f t="shared" si="9"/>
        <v>Marked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</row>
    <row r="1491" ht="12.75" customHeight="1">
      <c r="A1491" s="19" t="str">
        <f t="shared" si="8"/>
        <v>Sander Dorigo Sentyron</v>
      </c>
      <c r="B1491" s="19" t="s">
        <v>8750</v>
      </c>
      <c r="C1491" s="156" t="s">
        <v>1391</v>
      </c>
      <c r="D1491" s="156" t="s">
        <v>8751</v>
      </c>
      <c r="E1491" s="50" t="s">
        <v>8752</v>
      </c>
      <c r="F1491" s="50" t="s">
        <v>8753</v>
      </c>
      <c r="G1491" s="32" t="s">
        <v>69</v>
      </c>
      <c r="H1491" s="25" t="s">
        <v>47</v>
      </c>
      <c r="I1491" s="34"/>
      <c r="J1491" s="35" t="s">
        <v>8754</v>
      </c>
      <c r="K1491" s="27" t="s">
        <v>50</v>
      </c>
      <c r="L1491" s="13" t="s">
        <v>8755</v>
      </c>
      <c r="M1491" s="26" t="str">
        <f>VLOOKUP(E1491,'MTS 2026 registrations'!B:B,1,false)</f>
        <v>sander.dorigo@sentyron.com</v>
      </c>
      <c r="N1491" s="26" t="str">
        <f>VLOOKUP(B1491,'MTS 2026 registrations'!A:A,1,false)</f>
        <v>Sander Dorigo</v>
      </c>
      <c r="O1491" s="38" t="str">
        <f t="shared" si="9"/>
        <v/>
      </c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</row>
    <row r="1492" ht="12.75" customHeight="1">
      <c r="A1492" s="19" t="str">
        <f t="shared" si="8"/>
        <v>Sander Hulsman Atmos UAV</v>
      </c>
      <c r="B1492" s="19" t="s">
        <v>8756</v>
      </c>
      <c r="C1492" s="29" t="s">
        <v>1391</v>
      </c>
      <c r="D1492" s="29" t="s">
        <v>8757</v>
      </c>
      <c r="E1492" s="31" t="s">
        <v>8758</v>
      </c>
      <c r="F1492" s="33" t="s">
        <v>8759</v>
      </c>
      <c r="G1492" s="32" t="s">
        <v>46</v>
      </c>
      <c r="H1492" s="25" t="s">
        <v>47</v>
      </c>
      <c r="I1492" s="34"/>
      <c r="J1492" s="35" t="s">
        <v>8760</v>
      </c>
      <c r="K1492" s="27" t="s">
        <v>50</v>
      </c>
      <c r="L1492" s="13" t="s">
        <v>8761</v>
      </c>
      <c r="M1492" s="26" t="str">
        <f>VLOOKUP(E1492,'MTS 2026 registrations'!B:B,1,false)</f>
        <v>#N/A</v>
      </c>
      <c r="N1492" s="26" t="str">
        <f>VLOOKUP(B1492,'MTS 2026 registrations'!A:A,1,false)</f>
        <v>#N/A</v>
      </c>
      <c r="O1492" s="38" t="str">
        <f t="shared" si="9"/>
        <v>Marked</v>
      </c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</row>
    <row r="1493" ht="12.75" customHeight="1">
      <c r="A1493" s="19" t="str">
        <f t="shared" si="8"/>
        <v>Sander van Wijngaarden embeddedacoustics</v>
      </c>
      <c r="B1493" s="19" t="s">
        <v>8762</v>
      </c>
      <c r="C1493" s="20" t="s">
        <v>1391</v>
      </c>
      <c r="D1493" s="20" t="s">
        <v>1893</v>
      </c>
      <c r="E1493" s="21" t="s">
        <v>8763</v>
      </c>
      <c r="F1493" s="23" t="s">
        <v>5638</v>
      </c>
      <c r="G1493" s="32" t="s">
        <v>46</v>
      </c>
      <c r="H1493" s="25" t="s">
        <v>47</v>
      </c>
      <c r="I1493" s="34"/>
      <c r="J1493" s="35" t="s">
        <v>8764</v>
      </c>
      <c r="K1493" s="27" t="s">
        <v>50</v>
      </c>
      <c r="L1493" s="13" t="s">
        <v>8765</v>
      </c>
      <c r="M1493" s="26" t="str">
        <f>VLOOKUP(E1493,'MTS 2026 registrations'!B:B,1,false)</f>
        <v>#N/A</v>
      </c>
      <c r="N1493" s="26" t="str">
        <f>VLOOKUP(B1493,'MTS 2026 registrations'!A:A,1,false)</f>
        <v>#N/A</v>
      </c>
      <c r="O1493" s="38" t="str">
        <f t="shared" si="9"/>
        <v>Marked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</row>
    <row r="1494" ht="12.75" customHeight="1">
      <c r="A1494" s="19" t="str">
        <f t="shared" si="8"/>
        <v>Sander Maas Offensys B.V.</v>
      </c>
      <c r="B1494" s="19" t="s">
        <v>8766</v>
      </c>
      <c r="C1494" s="13" t="s">
        <v>1391</v>
      </c>
      <c r="D1494" s="13" t="s">
        <v>8767</v>
      </c>
      <c r="E1494" s="60" t="s">
        <v>8768</v>
      </c>
      <c r="F1494" s="60" t="s">
        <v>2217</v>
      </c>
      <c r="G1494" s="32" t="s">
        <v>46</v>
      </c>
      <c r="H1494" s="25" t="s">
        <v>47</v>
      </c>
      <c r="I1494" s="34"/>
      <c r="J1494" s="35" t="s">
        <v>8769</v>
      </c>
      <c r="K1494" s="27" t="s">
        <v>50</v>
      </c>
      <c r="L1494" s="13" t="s">
        <v>8770</v>
      </c>
      <c r="M1494" s="26" t="str">
        <f>VLOOKUP(E1494,'MTS 2026 registrations'!B:B,1,false)</f>
        <v>#N/A</v>
      </c>
      <c r="N1494" s="26" t="str">
        <f>VLOOKUP(B1494,'MTS 2026 registrations'!A:A,1,false)</f>
        <v>#N/A</v>
      </c>
      <c r="O1494" s="38" t="str">
        <f t="shared" si="9"/>
        <v>Marked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</row>
    <row r="1495" ht="12.75" customHeight="1">
      <c r="A1495" s="19" t="str">
        <f t="shared" si="8"/>
        <v>Sander Verseput chainels</v>
      </c>
      <c r="B1495" s="19" t="s">
        <v>8771</v>
      </c>
      <c r="C1495" s="20" t="s">
        <v>1391</v>
      </c>
      <c r="D1495" s="20" t="s">
        <v>8772</v>
      </c>
      <c r="E1495" s="21" t="s">
        <v>8773</v>
      </c>
      <c r="F1495" s="23" t="s">
        <v>1152</v>
      </c>
      <c r="G1495" s="32" t="s">
        <v>46</v>
      </c>
      <c r="H1495" s="25" t="s">
        <v>47</v>
      </c>
      <c r="I1495" s="26"/>
      <c r="J1495" s="35" t="s">
        <v>8774</v>
      </c>
      <c r="K1495" s="27" t="s">
        <v>50</v>
      </c>
      <c r="L1495" s="13" t="s">
        <v>8775</v>
      </c>
      <c r="M1495" s="26" t="str">
        <f>VLOOKUP(E1495,'MTS 2026 registrations'!B:B,1,false)</f>
        <v>#N/A</v>
      </c>
      <c r="N1495" s="26" t="str">
        <f>VLOOKUP(B1495,'MTS 2026 registrations'!A:A,1,false)</f>
        <v>#N/A</v>
      </c>
      <c r="O1495" s="38" t="str">
        <f t="shared" si="9"/>
        <v>Marked</v>
      </c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</row>
    <row r="1496" ht="12.75" customHeight="1">
      <c r="A1496" s="19" t="str">
        <f t="shared" si="8"/>
        <v>Sandro Hubar sevenheavens</v>
      </c>
      <c r="B1496" s="19" t="s">
        <v>8776</v>
      </c>
      <c r="C1496" s="138" t="s">
        <v>8777</v>
      </c>
      <c r="D1496" s="138" t="s">
        <v>8778</v>
      </c>
      <c r="E1496" s="139" t="s">
        <v>8779</v>
      </c>
      <c r="F1496" s="75" t="s">
        <v>8780</v>
      </c>
      <c r="G1496" s="24" t="s">
        <v>56</v>
      </c>
      <c r="H1496" s="25" t="s">
        <v>139</v>
      </c>
      <c r="I1496" s="34"/>
      <c r="J1496" s="35" t="s">
        <v>8781</v>
      </c>
      <c r="K1496" s="27" t="s">
        <v>50</v>
      </c>
      <c r="L1496" s="13" t="s">
        <v>8782</v>
      </c>
      <c r="M1496" s="26" t="str">
        <f>VLOOKUP(E1496,'MTS 2026 registrations'!B:B,1,false)</f>
        <v>#N/A</v>
      </c>
      <c r="N1496" s="26" t="str">
        <f>VLOOKUP(B1496,'MTS 2026 registrations'!A:A,1,false)</f>
        <v>#N/A</v>
      </c>
      <c r="O1496" s="38" t="str">
        <f t="shared" si="9"/>
        <v>Marked</v>
      </c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</row>
    <row r="1497" ht="12.75" customHeight="1">
      <c r="A1497" s="19" t="str">
        <f t="shared" si="8"/>
        <v>Sandro Fazio icoscapital</v>
      </c>
      <c r="B1497" s="19" t="s">
        <v>8783</v>
      </c>
      <c r="C1497" s="20" t="s">
        <v>8777</v>
      </c>
      <c r="D1497" s="20" t="s">
        <v>8784</v>
      </c>
      <c r="E1497" s="21" t="s">
        <v>8785</v>
      </c>
      <c r="F1497" s="23" t="s">
        <v>7896</v>
      </c>
      <c r="G1497" s="24" t="s">
        <v>163</v>
      </c>
      <c r="H1497" s="25" t="s">
        <v>164</v>
      </c>
      <c r="I1497" s="34"/>
      <c r="J1497" s="35" t="s">
        <v>8786</v>
      </c>
      <c r="K1497" s="27" t="s">
        <v>50</v>
      </c>
      <c r="L1497" s="13" t="s">
        <v>8787</v>
      </c>
      <c r="M1497" s="26" t="str">
        <f>VLOOKUP(E1497,'MTS 2026 registrations'!B:B,1,false)</f>
        <v>#N/A</v>
      </c>
      <c r="N1497" s="26" t="str">
        <f>VLOOKUP(B1497,'MTS 2026 registrations'!A:A,1,false)</f>
        <v>#N/A</v>
      </c>
      <c r="O1497" s="38" t="str">
        <f t="shared" si="9"/>
        <v>Marked</v>
      </c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</row>
    <row r="1498" ht="12.75" customHeight="1">
      <c r="A1498" s="19" t="str">
        <f t="shared" si="8"/>
        <v>Sanno van der Graaf Passguard</v>
      </c>
      <c r="B1498" s="19" t="s">
        <v>8788</v>
      </c>
      <c r="C1498" s="29" t="s">
        <v>8789</v>
      </c>
      <c r="D1498" s="29" t="s">
        <v>8790</v>
      </c>
      <c r="E1498" s="31" t="s">
        <v>8791</v>
      </c>
      <c r="F1498" s="113" t="s">
        <v>8792</v>
      </c>
      <c r="G1498" s="32" t="s">
        <v>46</v>
      </c>
      <c r="H1498" s="25" t="s">
        <v>47</v>
      </c>
      <c r="I1498" s="34"/>
      <c r="J1498" s="35" t="s">
        <v>8793</v>
      </c>
      <c r="K1498" s="27" t="s">
        <v>50</v>
      </c>
      <c r="L1498" s="13" t="s">
        <v>8794</v>
      </c>
      <c r="M1498" s="26" t="str">
        <f>VLOOKUP(E1498,'MTS 2026 registrations'!B:B,1,false)</f>
        <v>#N/A</v>
      </c>
      <c r="N1498" s="26" t="str">
        <f>VLOOKUP(B1498,'MTS 2026 registrations'!A:A,1,false)</f>
        <v>#N/A</v>
      </c>
      <c r="O1498" s="38" t="str">
        <f t="shared" si="9"/>
        <v>Marked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</row>
    <row r="1499" ht="12.75" customHeight="1">
      <c r="A1499" s="19" t="str">
        <f t="shared" si="8"/>
        <v>Sara Okhuijsen oasysnow</v>
      </c>
      <c r="B1499" s="19" t="s">
        <v>8795</v>
      </c>
      <c r="C1499" s="20" t="s">
        <v>8796</v>
      </c>
      <c r="D1499" s="20" t="s">
        <v>8797</v>
      </c>
      <c r="E1499" s="21" t="s">
        <v>8798</v>
      </c>
      <c r="F1499" s="23" t="s">
        <v>7624</v>
      </c>
      <c r="G1499" s="32" t="s">
        <v>46</v>
      </c>
      <c r="H1499" s="25" t="s">
        <v>47</v>
      </c>
      <c r="I1499" s="34"/>
      <c r="J1499" s="35" t="s">
        <v>8799</v>
      </c>
      <c r="K1499" s="27" t="s">
        <v>50</v>
      </c>
      <c r="L1499" s="13" t="s">
        <v>8800</v>
      </c>
      <c r="M1499" s="26" t="str">
        <f>VLOOKUP(E1499,'MTS 2026 registrations'!B:B,1,false)</f>
        <v>sara@oasysnow.com</v>
      </c>
      <c r="N1499" s="26" t="str">
        <f>VLOOKUP(B1499,'MTS 2026 registrations'!A:A,1,false)</f>
        <v>Sara Okhuijsen</v>
      </c>
      <c r="O1499" s="38" t="str">
        <f t="shared" si="9"/>
        <v/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</row>
    <row r="1500" ht="12.75" customHeight="1">
      <c r="A1500" s="19" t="str">
        <f t="shared" si="8"/>
        <v>Sara Krupansky yesdelft</v>
      </c>
      <c r="B1500" s="19" t="s">
        <v>8801</v>
      </c>
      <c r="C1500" s="20" t="s">
        <v>8796</v>
      </c>
      <c r="D1500" s="20" t="s">
        <v>8802</v>
      </c>
      <c r="E1500" s="21" t="s">
        <v>8803</v>
      </c>
      <c r="F1500" s="23" t="s">
        <v>2267</v>
      </c>
      <c r="G1500" s="24" t="s">
        <v>29</v>
      </c>
      <c r="H1500" s="25" t="s">
        <v>139</v>
      </c>
      <c r="I1500" s="26"/>
      <c r="J1500" s="35" t="s">
        <v>8804</v>
      </c>
      <c r="K1500" s="27" t="s">
        <v>50</v>
      </c>
      <c r="L1500" s="13" t="s">
        <v>8805</v>
      </c>
      <c r="M1500" s="26" t="str">
        <f>VLOOKUP(E1500,'MTS 2026 registrations'!B:B,1,false)</f>
        <v>#N/A</v>
      </c>
      <c r="N1500" s="26" t="str">
        <f>VLOOKUP(B1500,'MTS 2026 registrations'!A:A,1,false)</f>
        <v>#N/A</v>
      </c>
      <c r="O1500" s="38" t="str">
        <f t="shared" si="9"/>
        <v>Marked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</row>
    <row r="1501" ht="12.75" customHeight="1">
      <c r="A1501" s="19" t="str">
        <f t="shared" si="8"/>
        <v>Sarah Jones zerocarbon.capital</v>
      </c>
      <c r="B1501" s="19" t="s">
        <v>8806</v>
      </c>
      <c r="C1501" s="20" t="s">
        <v>8807</v>
      </c>
      <c r="D1501" s="20" t="s">
        <v>8423</v>
      </c>
      <c r="E1501" s="21" t="s">
        <v>8808</v>
      </c>
      <c r="F1501" s="23" t="s">
        <v>8809</v>
      </c>
      <c r="G1501" s="24" t="s">
        <v>163</v>
      </c>
      <c r="H1501" s="25" t="s">
        <v>164</v>
      </c>
      <c r="I1501" s="26"/>
      <c r="J1501" s="35" t="s">
        <v>8810</v>
      </c>
      <c r="K1501" s="27" t="s">
        <v>50</v>
      </c>
      <c r="L1501" s="13" t="s">
        <v>8811</v>
      </c>
      <c r="M1501" s="26" t="str">
        <f>VLOOKUP(E1501,'MTS 2026 registrations'!B:B,1,false)</f>
        <v>#N/A</v>
      </c>
      <c r="N1501" s="26" t="str">
        <f>VLOOKUP(B1501,'MTS 2026 registrations'!A:A,1,false)</f>
        <v>#N/A</v>
      </c>
      <c r="O1501" s="38" t="str">
        <f t="shared" si="9"/>
        <v>Marked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</row>
    <row r="1502" ht="12.75" customHeight="1">
      <c r="A1502" s="19" t="str">
        <f t="shared" si="8"/>
        <v>Sascha Schwarz unternehmertum</v>
      </c>
      <c r="B1502" s="19" t="s">
        <v>8812</v>
      </c>
      <c r="C1502" s="29" t="s">
        <v>8813</v>
      </c>
      <c r="D1502" s="29" t="s">
        <v>8814</v>
      </c>
      <c r="E1502" s="30" t="s">
        <v>8815</v>
      </c>
      <c r="F1502" s="29" t="s">
        <v>1753</v>
      </c>
      <c r="G1502" s="24" t="s">
        <v>29</v>
      </c>
      <c r="H1502" s="13" t="s">
        <v>213</v>
      </c>
      <c r="I1502" s="34"/>
      <c r="J1502" s="35" t="s">
        <v>8816</v>
      </c>
      <c r="K1502" s="27" t="s">
        <v>50</v>
      </c>
      <c r="L1502" s="13" t="s">
        <v>8817</v>
      </c>
      <c r="M1502" s="26" t="str">
        <f>VLOOKUP(E1502,'MTS 2026 registrations'!B:B,1,false)</f>
        <v>#N/A</v>
      </c>
      <c r="N1502" s="26" t="str">
        <f>VLOOKUP(B1502,'MTS 2026 registrations'!A:A,1,false)</f>
        <v>#N/A</v>
      </c>
      <c r="O1502" s="38" t="str">
        <f t="shared" si="9"/>
        <v>Marked</v>
      </c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</row>
    <row r="1503" ht="12.75" customHeight="1">
      <c r="A1503" s="19" t="str">
        <f t="shared" si="8"/>
        <v>Sasha Madhavji Pelagen (Daphne Textiles)</v>
      </c>
      <c r="B1503" s="19" t="s">
        <v>8818</v>
      </c>
      <c r="C1503" s="29" t="s">
        <v>8819</v>
      </c>
      <c r="D1503" s="29" t="s">
        <v>8820</v>
      </c>
      <c r="E1503" s="31" t="s">
        <v>8821</v>
      </c>
      <c r="F1503" s="33" t="s">
        <v>8822</v>
      </c>
      <c r="G1503" s="24" t="s">
        <v>46</v>
      </c>
      <c r="H1503" s="25" t="s">
        <v>47</v>
      </c>
      <c r="I1503" s="34"/>
      <c r="J1503" s="35" t="s">
        <v>8823</v>
      </c>
      <c r="K1503" s="27" t="s">
        <v>50</v>
      </c>
      <c r="L1503" s="13" t="s">
        <v>8824</v>
      </c>
      <c r="M1503" s="26" t="str">
        <f>VLOOKUP(E1503,'MTS 2026 registrations'!B:B,1,false)</f>
        <v>#N/A</v>
      </c>
      <c r="N1503" s="26" t="str">
        <f>VLOOKUP(B1503,'MTS 2026 registrations'!A:A,1,false)</f>
        <v>#N/A</v>
      </c>
      <c r="O1503" s="38" t="str">
        <f t="shared" si="9"/>
        <v>Marked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</row>
    <row r="1504" ht="12.75" customHeight="1">
      <c r="A1504" s="19" t="str">
        <f t="shared" si="8"/>
        <v>Sasja Heijman innovationquarter</v>
      </c>
      <c r="B1504" s="19" t="s">
        <v>8825</v>
      </c>
      <c r="C1504" s="20" t="s">
        <v>8826</v>
      </c>
      <c r="D1504" s="20" t="s">
        <v>8827</v>
      </c>
      <c r="E1504" s="21" t="s">
        <v>8828</v>
      </c>
      <c r="F1504" s="23" t="s">
        <v>161</v>
      </c>
      <c r="G1504" s="42" t="s">
        <v>69</v>
      </c>
      <c r="H1504" s="25" t="s">
        <v>164</v>
      </c>
      <c r="I1504" s="34"/>
      <c r="J1504" s="35" t="s">
        <v>8829</v>
      </c>
      <c r="K1504" s="27" t="s">
        <v>50</v>
      </c>
      <c r="L1504" s="13" t="s">
        <v>8830</v>
      </c>
      <c r="M1504" s="26" t="str">
        <f>VLOOKUP(E1504,'MTS 2026 registrations'!B:B,1,false)</f>
        <v>#N/A</v>
      </c>
      <c r="N1504" s="26" t="str">
        <f>VLOOKUP(B1504,'MTS 2026 registrations'!A:A,1,false)</f>
        <v>#N/A</v>
      </c>
      <c r="O1504" s="38" t="str">
        <f t="shared" si="9"/>
        <v>Marked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</row>
    <row r="1505" ht="12.75" customHeight="1">
      <c r="A1505" s="19"/>
      <c r="B1505" s="19" t="s">
        <v>329</v>
      </c>
      <c r="C1505" s="134"/>
      <c r="D1505" s="102"/>
      <c r="E1505" s="103"/>
      <c r="F1505" s="49"/>
      <c r="G1505" s="24"/>
      <c r="H1505" s="25"/>
      <c r="I1505" s="34"/>
      <c r="J1505" s="35"/>
      <c r="K1505" s="27"/>
      <c r="L1505" s="13"/>
      <c r="M1505" s="26"/>
      <c r="N1505" s="26"/>
      <c r="O1505" s="38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</row>
    <row r="1506" ht="12.75" customHeight="1">
      <c r="A1506" s="19" t="str">
        <f t="shared" ref="A1506:A1601" si="10">B1506&amp;" "&amp;F1506</f>
        <v>Saul Oost Hyer Power</v>
      </c>
      <c r="B1506" s="19" t="s">
        <v>8831</v>
      </c>
      <c r="C1506" s="13" t="s">
        <v>8832</v>
      </c>
      <c r="D1506" s="13" t="s">
        <v>8833</v>
      </c>
      <c r="E1506" s="60" t="s">
        <v>8834</v>
      </c>
      <c r="F1506" s="60" t="s">
        <v>2711</v>
      </c>
      <c r="G1506" s="32" t="s">
        <v>46</v>
      </c>
      <c r="H1506" s="25" t="s">
        <v>47</v>
      </c>
      <c r="I1506" s="34"/>
      <c r="J1506" s="35" t="s">
        <v>8835</v>
      </c>
      <c r="K1506" s="27" t="s">
        <v>50</v>
      </c>
      <c r="L1506" s="13" t="s">
        <v>8836</v>
      </c>
      <c r="M1506" s="26" t="str">
        <f>VLOOKUP(E1506,'MTS 2026 registrations'!B:B,1,false)</f>
        <v>#N/A</v>
      </c>
      <c r="N1506" s="26" t="str">
        <f>VLOOKUP(B1506,'MTS 2026 registrations'!A:A,1,false)</f>
        <v>#N/A</v>
      </c>
      <c r="O1506" s="38" t="str">
        <f t="shared" ref="O1506:O1508" si="11">IF(AND(ISNA(M1506), ISNA(N1506)), "Marked", "")</f>
        <v>Marked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</row>
    <row r="1507" ht="12.75" customHeight="1">
      <c r="A1507" s="19" t="str">
        <f t="shared" si="10"/>
        <v>Sebastiaan Berendse wur</v>
      </c>
      <c r="B1507" s="19" t="s">
        <v>8837</v>
      </c>
      <c r="C1507" s="60" t="s">
        <v>8838</v>
      </c>
      <c r="D1507" s="60" t="s">
        <v>8839</v>
      </c>
      <c r="E1507" s="62" t="s">
        <v>8840</v>
      </c>
      <c r="F1507" s="64" t="s">
        <v>7464</v>
      </c>
      <c r="G1507" s="32" t="s">
        <v>43</v>
      </c>
      <c r="H1507" s="25" t="s">
        <v>139</v>
      </c>
      <c r="I1507" s="34"/>
      <c r="J1507" s="35" t="s">
        <v>8841</v>
      </c>
      <c r="K1507" s="27" t="s">
        <v>50</v>
      </c>
      <c r="L1507" s="13" t="s">
        <v>8842</v>
      </c>
      <c r="M1507" s="26" t="str">
        <f>VLOOKUP(E1507,'MTS 2026 registrations'!B:B,1,false)</f>
        <v>#N/A</v>
      </c>
      <c r="N1507" s="26" t="str">
        <f>VLOOKUP(B1507,'MTS 2026 registrations'!A:A,1,false)</f>
        <v>#N/A</v>
      </c>
      <c r="O1507" s="38" t="str">
        <f t="shared" si="11"/>
        <v>Marked</v>
      </c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</row>
    <row r="1508" ht="12.75" customHeight="1">
      <c r="A1508" s="19" t="str">
        <f t="shared" si="10"/>
        <v>Sebastian Peck Kompas VC</v>
      </c>
      <c r="B1508" s="19" t="s">
        <v>8843</v>
      </c>
      <c r="C1508" s="20" t="s">
        <v>8844</v>
      </c>
      <c r="D1508" s="20" t="s">
        <v>4176</v>
      </c>
      <c r="E1508" s="21" t="s">
        <v>8845</v>
      </c>
      <c r="F1508" s="49" t="s">
        <v>8846</v>
      </c>
      <c r="G1508" s="24" t="s">
        <v>163</v>
      </c>
      <c r="H1508" s="26" t="s">
        <v>164</v>
      </c>
      <c r="I1508" s="13"/>
      <c r="J1508" s="35" t="s">
        <v>8847</v>
      </c>
      <c r="K1508" s="27" t="s">
        <v>50</v>
      </c>
      <c r="L1508" s="25" t="s">
        <v>8848</v>
      </c>
      <c r="M1508" s="26" t="str">
        <f>VLOOKUP(E1508,'MTS 2026 registrations'!B:B,1,false)</f>
        <v>#N/A</v>
      </c>
      <c r="N1508" s="26" t="str">
        <f>VLOOKUP(B1508,'MTS 2026 registrations'!A:A,1,false)</f>
        <v>#N/A</v>
      </c>
      <c r="O1508" s="38" t="str">
        <f t="shared" si="11"/>
        <v>Marked</v>
      </c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</row>
    <row r="1509" ht="12.75" customHeight="1">
      <c r="A1509" s="19" t="str">
        <f t="shared" si="10"/>
        <v>Sebastian Dressen Siemens</v>
      </c>
      <c r="B1509" s="19" t="s">
        <v>8849</v>
      </c>
      <c r="C1509" s="116" t="s">
        <v>8844</v>
      </c>
      <c r="D1509" s="179" t="s">
        <v>8850</v>
      </c>
      <c r="E1509" s="123" t="s">
        <v>8851</v>
      </c>
      <c r="F1509" s="41" t="s">
        <v>2261</v>
      </c>
      <c r="G1509" s="24" t="s">
        <v>1447</v>
      </c>
      <c r="H1509" s="49" t="s">
        <v>57</v>
      </c>
      <c r="I1509" s="25"/>
      <c r="J1509" s="133" t="s">
        <v>8852</v>
      </c>
      <c r="K1509" s="27" t="s">
        <v>50</v>
      </c>
      <c r="L1509" s="27" t="s">
        <v>8853</v>
      </c>
      <c r="M1509" s="26" t="str">
        <f>VLOOKUP(E1509,'MTS 2026 registrations'!B:B,1,false)</f>
        <v>sebastian.dressen@siemens.com</v>
      </c>
      <c r="N1509" s="26" t="str">
        <f>VLOOKUP(B1509,'MTS 2026 registrations'!A:A,1,false)</f>
        <v>#N/A</v>
      </c>
      <c r="O1509" s="28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</row>
    <row r="1510" ht="12.75" customHeight="1">
      <c r="A1510" s="19" t="str">
        <f t="shared" si="10"/>
        <v>Sem Mekking Acoustic Insight</v>
      </c>
      <c r="B1510" s="19" t="s">
        <v>8854</v>
      </c>
      <c r="C1510" s="29" t="s">
        <v>8855</v>
      </c>
      <c r="D1510" s="29" t="s">
        <v>8856</v>
      </c>
      <c r="E1510" s="31" t="s">
        <v>8857</v>
      </c>
      <c r="F1510" s="33" t="s">
        <v>8858</v>
      </c>
      <c r="G1510" s="32" t="s">
        <v>46</v>
      </c>
      <c r="H1510" s="25" t="s">
        <v>47</v>
      </c>
      <c r="I1510" s="34"/>
      <c r="J1510" s="35" t="s">
        <v>8859</v>
      </c>
      <c r="K1510" s="27" t="s">
        <v>50</v>
      </c>
      <c r="L1510" s="13" t="s">
        <v>8860</v>
      </c>
      <c r="M1510" s="26" t="str">
        <f>VLOOKUP(E1510,'MTS 2026 registrations'!B:B,1,false)</f>
        <v>#N/A</v>
      </c>
      <c r="N1510" s="26" t="str">
        <f>VLOOKUP(B1510,'MTS 2026 registrations'!A:A,1,false)</f>
        <v>#N/A</v>
      </c>
      <c r="O1510" s="38" t="str">
        <f t="shared" ref="O1510:O1669" si="12">IF(AND(ISNA(M1510), ISNA(N1510)), "Marked", "")</f>
        <v>Marked</v>
      </c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</row>
    <row r="1511" ht="12.75" customHeight="1">
      <c r="A1511" s="19" t="str">
        <f t="shared" si="10"/>
        <v>Servaas Duterloo tudelft</v>
      </c>
      <c r="B1511" s="19" t="s">
        <v>8861</v>
      </c>
      <c r="C1511" s="60" t="s">
        <v>8862</v>
      </c>
      <c r="D1511" s="60" t="s">
        <v>8863</v>
      </c>
      <c r="E1511" s="62" t="s">
        <v>8864</v>
      </c>
      <c r="F1511" s="64" t="s">
        <v>184</v>
      </c>
      <c r="G1511" s="32" t="s">
        <v>43</v>
      </c>
      <c r="H1511" s="25" t="s">
        <v>139</v>
      </c>
      <c r="I1511" s="34"/>
      <c r="J1511" s="35" t="s">
        <v>8865</v>
      </c>
      <c r="K1511" s="27" t="s">
        <v>50</v>
      </c>
      <c r="L1511" s="13" t="s">
        <v>8866</v>
      </c>
      <c r="M1511" s="26" t="str">
        <f>VLOOKUP(E1511,'MTS 2026 registrations'!B:B,1,false)</f>
        <v>#N/A</v>
      </c>
      <c r="N1511" s="26" t="str">
        <f>VLOOKUP(B1511,'MTS 2026 registrations'!A:A,1,false)</f>
        <v>#N/A</v>
      </c>
      <c r="O1511" s="38" t="str">
        <f t="shared" si="12"/>
        <v>Marked</v>
      </c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</row>
    <row r="1512" ht="12.75" customHeight="1">
      <c r="A1512" s="19" t="str">
        <f t="shared" si="10"/>
        <v>Servaas Clerckx Fiducial</v>
      </c>
      <c r="B1512" s="19" t="s">
        <v>8867</v>
      </c>
      <c r="C1512" s="108" t="s">
        <v>8862</v>
      </c>
      <c r="D1512" s="108" t="s">
        <v>8868</v>
      </c>
      <c r="E1512" s="62" t="s">
        <v>8869</v>
      </c>
      <c r="F1512" s="23" t="s">
        <v>8870</v>
      </c>
      <c r="G1512" s="32" t="s">
        <v>46</v>
      </c>
      <c r="H1512" s="25" t="s">
        <v>31</v>
      </c>
      <c r="I1512" s="34"/>
      <c r="J1512" s="35" t="s">
        <v>8871</v>
      </c>
      <c r="K1512" s="27" t="s">
        <v>50</v>
      </c>
      <c r="L1512" s="13" t="s">
        <v>8872</v>
      </c>
      <c r="M1512" s="26" t="str">
        <f>VLOOKUP(E1512,'MTS 2026 registrations'!B:B,1,false)</f>
        <v>#N/A</v>
      </c>
      <c r="N1512" s="26" t="str">
        <f>VLOOKUP(B1512,'MTS 2026 registrations'!A:A,1,false)</f>
        <v>#N/A</v>
      </c>
      <c r="O1512" s="38" t="str">
        <f t="shared" si="12"/>
        <v>Marked</v>
      </c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</row>
    <row r="1513" ht="12.75" customHeight="1">
      <c r="A1513" s="19" t="str">
        <f t="shared" si="10"/>
        <v>Sharon Mullen rotterdamsquare</v>
      </c>
      <c r="B1513" s="19" t="s">
        <v>8873</v>
      </c>
      <c r="C1513" s="134" t="s">
        <v>8874</v>
      </c>
      <c r="D1513" s="60" t="s">
        <v>8875</v>
      </c>
      <c r="E1513" s="62" t="s">
        <v>8876</v>
      </c>
      <c r="F1513" s="64" t="s">
        <v>4493</v>
      </c>
      <c r="G1513" s="24" t="s">
        <v>69</v>
      </c>
      <c r="H1513" s="25" t="s">
        <v>139</v>
      </c>
      <c r="I1513" s="34"/>
      <c r="J1513" s="35" t="s">
        <v>8877</v>
      </c>
      <c r="K1513" s="27" t="s">
        <v>50</v>
      </c>
      <c r="L1513" s="13" t="s">
        <v>8878</v>
      </c>
      <c r="M1513" s="26" t="str">
        <f>VLOOKUP(E1513,'MTS 2026 registrations'!B:B,1,false)</f>
        <v>#N/A</v>
      </c>
      <c r="N1513" s="26" t="str">
        <f>VLOOKUP(B1513,'MTS 2026 registrations'!A:A,1,false)</f>
        <v>#N/A</v>
      </c>
      <c r="O1513" s="38" t="str">
        <f t="shared" si="12"/>
        <v>Marked</v>
      </c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</row>
    <row r="1514" ht="12.75" customHeight="1">
      <c r="A1514" s="19" t="str">
        <f t="shared" si="10"/>
        <v>Shiqian Wang </v>
      </c>
      <c r="B1514" s="19" t="s">
        <v>8879</v>
      </c>
      <c r="C1514" s="20" t="s">
        <v>8880</v>
      </c>
      <c r="D1514" s="20" t="s">
        <v>4514</v>
      </c>
      <c r="E1514" s="21" t="s">
        <v>8881</v>
      </c>
      <c r="F1514" s="52"/>
      <c r="G1514" s="32" t="s">
        <v>46</v>
      </c>
      <c r="H1514" s="25" t="s">
        <v>47</v>
      </c>
      <c r="I1514" s="26"/>
      <c r="J1514" s="35" t="s">
        <v>8882</v>
      </c>
      <c r="K1514" s="27" t="s">
        <v>50</v>
      </c>
      <c r="L1514" s="13" t="s">
        <v>8883</v>
      </c>
      <c r="M1514" s="26" t="str">
        <f>VLOOKUP(E1514,'MTS 2026 registrations'!B:B,1,false)</f>
        <v>#N/A</v>
      </c>
      <c r="N1514" s="26" t="str">
        <f>VLOOKUP(B1514,'MTS 2026 registrations'!A:A,1,false)</f>
        <v>#N/A</v>
      </c>
      <c r="O1514" s="38" t="str">
        <f t="shared" si="12"/>
        <v>Marked</v>
      </c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</row>
    <row r="1515" ht="12.75" customHeight="1">
      <c r="A1515" s="19" t="str">
        <f t="shared" si="10"/>
        <v>Sid Vollebregt </v>
      </c>
      <c r="B1515" s="19" t="s">
        <v>8884</v>
      </c>
      <c r="C1515" s="20" t="s">
        <v>8885</v>
      </c>
      <c r="D1515" s="20" t="s">
        <v>8886</v>
      </c>
      <c r="E1515" s="21" t="s">
        <v>8887</v>
      </c>
      <c r="F1515" s="52"/>
      <c r="G1515" s="32" t="s">
        <v>46</v>
      </c>
      <c r="H1515" s="25" t="s">
        <v>47</v>
      </c>
      <c r="I1515" s="26"/>
      <c r="J1515" s="35" t="s">
        <v>8888</v>
      </c>
      <c r="K1515" s="27" t="s">
        <v>50</v>
      </c>
      <c r="L1515" s="13" t="s">
        <v>8889</v>
      </c>
      <c r="M1515" s="26" t="str">
        <f>VLOOKUP(E1515,'MTS 2026 registrations'!B:B,1,false)</f>
        <v>#N/A</v>
      </c>
      <c r="N1515" s="26" t="str">
        <f>VLOOKUP(B1515,'MTS 2026 registrations'!A:A,1,false)</f>
        <v>#N/A</v>
      </c>
      <c r="O1515" s="38" t="str">
        <f t="shared" si="12"/>
        <v>Marked</v>
      </c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</row>
    <row r="1516" ht="12.75" customHeight="1">
      <c r="A1516" s="19" t="str">
        <f t="shared" si="10"/>
        <v>Siebe Nooij TANIQ</v>
      </c>
      <c r="B1516" s="19" t="s">
        <v>8890</v>
      </c>
      <c r="C1516" s="29" t="s">
        <v>8891</v>
      </c>
      <c r="D1516" s="29" t="s">
        <v>8892</v>
      </c>
      <c r="E1516" s="214" t="s">
        <v>8893</v>
      </c>
      <c r="F1516" s="33" t="s">
        <v>8894</v>
      </c>
      <c r="G1516" s="24" t="s">
        <v>46</v>
      </c>
      <c r="H1516" s="25" t="s">
        <v>47</v>
      </c>
      <c r="I1516" s="34"/>
      <c r="J1516" s="35" t="s">
        <v>8895</v>
      </c>
      <c r="K1516" s="27" t="s">
        <v>50</v>
      </c>
      <c r="L1516" s="25" t="s">
        <v>8896</v>
      </c>
      <c r="M1516" s="26" t="str">
        <f>VLOOKUP(E1516,'MTS 2026 registrations'!B:B,1,false)</f>
        <v>#N/A</v>
      </c>
      <c r="N1516" s="26" t="str">
        <f>VLOOKUP(B1516,'MTS 2026 registrations'!A:A,1,false)</f>
        <v>#N/A</v>
      </c>
      <c r="O1516" s="38" t="str">
        <f t="shared" si="12"/>
        <v>Marked</v>
      </c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</row>
    <row r="1517" ht="12.75" customHeight="1">
      <c r="A1517" s="19" t="str">
        <f t="shared" si="10"/>
        <v>Siemon van den Berg </v>
      </c>
      <c r="B1517" s="19" t="s">
        <v>8897</v>
      </c>
      <c r="C1517" s="112" t="s">
        <v>8898</v>
      </c>
      <c r="D1517" s="112" t="s">
        <v>4424</v>
      </c>
      <c r="E1517" s="30" t="s">
        <v>8899</v>
      </c>
      <c r="F1517" s="75"/>
      <c r="G1517" s="24" t="s">
        <v>3034</v>
      </c>
      <c r="H1517" s="13" t="s">
        <v>213</v>
      </c>
      <c r="I1517" s="34"/>
      <c r="J1517" s="35" t="s">
        <v>8900</v>
      </c>
      <c r="K1517" s="27" t="s">
        <v>50</v>
      </c>
      <c r="L1517" s="13" t="s">
        <v>8901</v>
      </c>
      <c r="M1517" s="26" t="str">
        <f>VLOOKUP(E1517,'MTS 2026 registrations'!B:B,1,false)</f>
        <v>#N/A</v>
      </c>
      <c r="N1517" s="26" t="str">
        <f>VLOOKUP(B1517,'MTS 2026 registrations'!A:A,1,false)</f>
        <v>#N/A</v>
      </c>
      <c r="O1517" s="38" t="str">
        <f t="shared" si="12"/>
        <v>Marked</v>
      </c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</row>
    <row r="1518" ht="12.75" customHeight="1">
      <c r="A1518" s="19" t="str">
        <f t="shared" si="10"/>
        <v>Silvan Thus Elemetal</v>
      </c>
      <c r="B1518" s="19" t="s">
        <v>8902</v>
      </c>
      <c r="C1518" s="29" t="s">
        <v>8903</v>
      </c>
      <c r="D1518" s="29" t="s">
        <v>8904</v>
      </c>
      <c r="E1518" s="31" t="s">
        <v>8905</v>
      </c>
      <c r="F1518" s="33" t="s">
        <v>8906</v>
      </c>
      <c r="G1518" s="24" t="s">
        <v>46</v>
      </c>
      <c r="H1518" s="25" t="s">
        <v>47</v>
      </c>
      <c r="I1518" s="34"/>
      <c r="J1518" s="35" t="s">
        <v>8907</v>
      </c>
      <c r="K1518" s="27" t="s">
        <v>50</v>
      </c>
      <c r="L1518" s="13" t="s">
        <v>8908</v>
      </c>
      <c r="M1518" s="26" t="str">
        <f>VLOOKUP(E1518,'MTS 2026 registrations'!B:B,1,false)</f>
        <v>#N/A</v>
      </c>
      <c r="N1518" s="26" t="str">
        <f>VLOOKUP(B1518,'MTS 2026 registrations'!A:A,1,false)</f>
        <v>#N/A</v>
      </c>
      <c r="O1518" s="38" t="str">
        <f t="shared" si="12"/>
        <v>Marked</v>
      </c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</row>
    <row r="1519" ht="12.75" customHeight="1">
      <c r="A1519" s="19" t="str">
        <f t="shared" si="10"/>
        <v>Simon Bosschieter 4FOLD (Holland Container Innovations)</v>
      </c>
      <c r="B1519" s="19" t="s">
        <v>8909</v>
      </c>
      <c r="C1519" s="29" t="s">
        <v>1636</v>
      </c>
      <c r="D1519" s="29" t="s">
        <v>8910</v>
      </c>
      <c r="E1519" s="80" t="s">
        <v>8911</v>
      </c>
      <c r="F1519" s="33" t="s">
        <v>661</v>
      </c>
      <c r="G1519" s="32" t="s">
        <v>46</v>
      </c>
      <c r="H1519" s="25" t="s">
        <v>47</v>
      </c>
      <c r="I1519" s="34"/>
      <c r="J1519" s="35" t="s">
        <v>8912</v>
      </c>
      <c r="K1519" s="27" t="s">
        <v>50</v>
      </c>
      <c r="L1519" s="13" t="s">
        <v>8913</v>
      </c>
      <c r="M1519" s="26" t="str">
        <f>VLOOKUP(E1519,'MTS 2026 registrations'!B:B,1,false)</f>
        <v>#N/A</v>
      </c>
      <c r="N1519" s="26" t="str">
        <f>VLOOKUP(B1519,'MTS 2026 registrations'!A:A,1,false)</f>
        <v>#N/A</v>
      </c>
      <c r="O1519" s="38" t="str">
        <f t="shared" si="12"/>
        <v>Marked</v>
      </c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</row>
    <row r="1520" ht="12.75" customHeight="1">
      <c r="A1520" s="19" t="str">
        <f t="shared" si="10"/>
        <v>Simon van der Jagt Nexperia</v>
      </c>
      <c r="B1520" s="19" t="s">
        <v>8914</v>
      </c>
      <c r="C1520" s="102" t="s">
        <v>1636</v>
      </c>
      <c r="D1520" s="102" t="s">
        <v>8915</v>
      </c>
      <c r="E1520" s="112" t="s">
        <v>8916</v>
      </c>
      <c r="F1520" s="49" t="s">
        <v>8917</v>
      </c>
      <c r="G1520" s="32" t="s">
        <v>46</v>
      </c>
      <c r="H1520" s="25" t="s">
        <v>47</v>
      </c>
      <c r="I1520" s="34"/>
      <c r="J1520" s="35" t="s">
        <v>8918</v>
      </c>
      <c r="K1520" s="27" t="s">
        <v>50</v>
      </c>
      <c r="L1520" s="13" t="s">
        <v>8919</v>
      </c>
      <c r="M1520" s="26" t="str">
        <f>VLOOKUP(E1520,'MTS 2026 registrations'!B:B,1,false)</f>
        <v>#N/A</v>
      </c>
      <c r="N1520" s="26" t="str">
        <f>VLOOKUP(B1520,'MTS 2026 registrations'!A:A,1,false)</f>
        <v>#N/A</v>
      </c>
      <c r="O1520" s="38" t="str">
        <f t="shared" si="12"/>
        <v>Marked</v>
      </c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</row>
    <row r="1521" ht="12.75" customHeight="1">
      <c r="A1521" s="19" t="str">
        <f t="shared" si="10"/>
        <v>Simone Hermans health-holland</v>
      </c>
      <c r="B1521" s="19" t="s">
        <v>8920</v>
      </c>
      <c r="C1521" s="29" t="s">
        <v>1040</v>
      </c>
      <c r="D1521" s="29" t="s">
        <v>8921</v>
      </c>
      <c r="E1521" s="30" t="s">
        <v>8922</v>
      </c>
      <c r="F1521" s="29" t="s">
        <v>1343</v>
      </c>
      <c r="G1521" s="32" t="s">
        <v>69</v>
      </c>
      <c r="H1521" s="13" t="s">
        <v>45</v>
      </c>
      <c r="I1521" s="34"/>
      <c r="J1521" s="35" t="s">
        <v>8923</v>
      </c>
      <c r="K1521" s="27" t="s">
        <v>50</v>
      </c>
      <c r="L1521" s="13" t="s">
        <v>8924</v>
      </c>
      <c r="M1521" s="26" t="str">
        <f>VLOOKUP(E1521,'MTS 2026 registrations'!B:B,1,false)</f>
        <v>#N/A</v>
      </c>
      <c r="N1521" s="26" t="str">
        <f>VLOOKUP(B1521,'MTS 2026 registrations'!A:A,1,false)</f>
        <v>#N/A</v>
      </c>
      <c r="O1521" s="38" t="str">
        <f t="shared" si="12"/>
        <v>Marked</v>
      </c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</row>
    <row r="1522" ht="12.75" customHeight="1">
      <c r="A1522" s="19" t="str">
        <f t="shared" si="10"/>
        <v>Simone Brummelhuis borskifund</v>
      </c>
      <c r="B1522" s="19" t="s">
        <v>8925</v>
      </c>
      <c r="C1522" s="60" t="s">
        <v>1040</v>
      </c>
      <c r="D1522" s="60" t="s">
        <v>8926</v>
      </c>
      <c r="E1522" s="62" t="s">
        <v>8927</v>
      </c>
      <c r="F1522" s="64" t="s">
        <v>3744</v>
      </c>
      <c r="G1522" s="42" t="s">
        <v>163</v>
      </c>
      <c r="H1522" s="25" t="s">
        <v>139</v>
      </c>
      <c r="I1522" s="34"/>
      <c r="J1522" s="35" t="s">
        <v>8928</v>
      </c>
      <c r="K1522" s="27" t="s">
        <v>50</v>
      </c>
      <c r="L1522" s="13" t="s">
        <v>8929</v>
      </c>
      <c r="M1522" s="26" t="str">
        <f>VLOOKUP(E1522,'MTS 2026 registrations'!B:B,1,false)</f>
        <v>#N/A</v>
      </c>
      <c r="N1522" s="26" t="str">
        <f>VLOOKUP(B1522,'MTS 2026 registrations'!A:A,1,false)</f>
        <v>#N/A</v>
      </c>
      <c r="O1522" s="38" t="str">
        <f t="shared" si="12"/>
        <v>Marked</v>
      </c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</row>
    <row r="1523" ht="12.75" customHeight="1">
      <c r="A1523" s="19" t="str">
        <f t="shared" si="10"/>
        <v>Sjoerd Tijmons pats-drones</v>
      </c>
      <c r="B1523" s="19" t="s">
        <v>8930</v>
      </c>
      <c r="C1523" s="20" t="s">
        <v>1052</v>
      </c>
      <c r="D1523" s="20" t="s">
        <v>3821</v>
      </c>
      <c r="E1523" s="21" t="s">
        <v>8931</v>
      </c>
      <c r="F1523" s="23" t="s">
        <v>6404</v>
      </c>
      <c r="G1523" s="32" t="s">
        <v>46</v>
      </c>
      <c r="H1523" s="25" t="s">
        <v>47</v>
      </c>
      <c r="I1523" s="34"/>
      <c r="J1523" s="35" t="s">
        <v>8932</v>
      </c>
      <c r="K1523" s="27" t="s">
        <v>50</v>
      </c>
      <c r="L1523" s="13" t="s">
        <v>8933</v>
      </c>
      <c r="M1523" s="26" t="str">
        <f>VLOOKUP(E1523,'MTS 2026 registrations'!B:B,1,false)</f>
        <v>#N/A</v>
      </c>
      <c r="N1523" s="26" t="str">
        <f>VLOOKUP(B1523,'MTS 2026 registrations'!A:A,1,false)</f>
        <v>#N/A</v>
      </c>
      <c r="O1523" s="38" t="str">
        <f t="shared" si="12"/>
        <v>Marked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</row>
    <row r="1524" ht="12.75" customHeight="1">
      <c r="A1524" s="19" t="str">
        <f t="shared" si="10"/>
        <v>Skip Van De Kandelaar Micro Cosmos - A better environment for patients</v>
      </c>
      <c r="B1524" s="19" t="s">
        <v>8934</v>
      </c>
      <c r="C1524" s="29" t="s">
        <v>8935</v>
      </c>
      <c r="D1524" s="29" t="s">
        <v>8936</v>
      </c>
      <c r="E1524" s="31" t="s">
        <v>8937</v>
      </c>
      <c r="F1524" s="33" t="s">
        <v>4432</v>
      </c>
      <c r="G1524" s="24" t="s">
        <v>46</v>
      </c>
      <c r="H1524" s="25" t="s">
        <v>47</v>
      </c>
      <c r="I1524" s="34"/>
      <c r="J1524" s="35" t="s">
        <v>8938</v>
      </c>
      <c r="K1524" s="27" t="s">
        <v>50</v>
      </c>
      <c r="L1524" s="13" t="s">
        <v>8939</v>
      </c>
      <c r="M1524" s="26" t="str">
        <f>VLOOKUP(E1524,'MTS 2026 registrations'!B:B,1,false)</f>
        <v>#N/A</v>
      </c>
      <c r="N1524" s="26" t="str">
        <f>VLOOKUP(B1524,'MTS 2026 registrations'!A:A,1,false)</f>
        <v>#N/A</v>
      </c>
      <c r="O1524" s="38" t="str">
        <f t="shared" si="12"/>
        <v>Marked</v>
      </c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</row>
    <row r="1525" ht="12.75" customHeight="1">
      <c r="A1525" s="19" t="str">
        <f t="shared" si="10"/>
        <v>Soheil Jahanshahi mythronics</v>
      </c>
      <c r="B1525" s="19" t="s">
        <v>8940</v>
      </c>
      <c r="C1525" s="20" t="s">
        <v>8941</v>
      </c>
      <c r="D1525" s="20" t="s">
        <v>8942</v>
      </c>
      <c r="E1525" s="21" t="s">
        <v>8943</v>
      </c>
      <c r="F1525" s="23" t="s">
        <v>8944</v>
      </c>
      <c r="G1525" s="32" t="s">
        <v>46</v>
      </c>
      <c r="H1525" s="25" t="s">
        <v>47</v>
      </c>
      <c r="I1525" s="34"/>
      <c r="J1525" s="35" t="s">
        <v>8945</v>
      </c>
      <c r="K1525" s="27" t="s">
        <v>50</v>
      </c>
      <c r="L1525" s="13" t="s">
        <v>8946</v>
      </c>
      <c r="M1525" s="26" t="str">
        <f>VLOOKUP(E1525,'MTS 2026 registrations'!B:B,1,false)</f>
        <v>#N/A</v>
      </c>
      <c r="N1525" s="26" t="str">
        <f>VLOOKUP(B1525,'MTS 2026 registrations'!A:A,1,false)</f>
        <v>#N/A</v>
      </c>
      <c r="O1525" s="38" t="str">
        <f t="shared" si="12"/>
        <v>Marked</v>
      </c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</row>
    <row r="1526" ht="12.75" customHeight="1">
      <c r="A1526" s="19" t="str">
        <f t="shared" si="10"/>
        <v>Sonja Feenstra </v>
      </c>
      <c r="B1526" s="19" t="s">
        <v>8947</v>
      </c>
      <c r="C1526" s="20" t="s">
        <v>8948</v>
      </c>
      <c r="D1526" s="215" t="s">
        <v>8142</v>
      </c>
      <c r="E1526" s="21" t="s">
        <v>8949</v>
      </c>
      <c r="F1526" s="52"/>
      <c r="G1526" s="24" t="s">
        <v>29</v>
      </c>
      <c r="H1526" s="49" t="s">
        <v>47</v>
      </c>
      <c r="I1526" s="25"/>
      <c r="J1526" s="35" t="s">
        <v>8950</v>
      </c>
      <c r="K1526" s="27" t="s">
        <v>50</v>
      </c>
      <c r="L1526" s="27" t="s">
        <v>8951</v>
      </c>
      <c r="M1526" s="26" t="str">
        <f>VLOOKUP(E1526,'MTS 2026 registrations'!B:B,1,false)</f>
        <v>#N/A</v>
      </c>
      <c r="N1526" s="26" t="str">
        <f>VLOOKUP(B1526,'MTS 2026 registrations'!A:A,1,false)</f>
        <v>#N/A</v>
      </c>
      <c r="O1526" s="38" t="str">
        <f t="shared" si="12"/>
        <v>Marked</v>
      </c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</row>
    <row r="1527" ht="12.75" customHeight="1">
      <c r="A1527" s="19" t="str">
        <f t="shared" si="10"/>
        <v>Soren Blomaard taniq</v>
      </c>
      <c r="B1527" s="19" t="s">
        <v>8952</v>
      </c>
      <c r="C1527" s="20" t="s">
        <v>8953</v>
      </c>
      <c r="D1527" s="20" t="s">
        <v>8954</v>
      </c>
      <c r="E1527" s="21" t="s">
        <v>8955</v>
      </c>
      <c r="F1527" s="23" t="s">
        <v>3999</v>
      </c>
      <c r="G1527" s="32" t="s">
        <v>46</v>
      </c>
      <c r="H1527" s="25" t="s">
        <v>47</v>
      </c>
      <c r="I1527" s="34"/>
      <c r="J1527" s="35" t="s">
        <v>8956</v>
      </c>
      <c r="K1527" s="27" t="s">
        <v>50</v>
      </c>
      <c r="L1527" s="13" t="s">
        <v>8957</v>
      </c>
      <c r="M1527" s="26" t="str">
        <f>VLOOKUP(E1527,'MTS 2026 registrations'!B:B,1,false)</f>
        <v>#N/A</v>
      </c>
      <c r="N1527" s="26" t="str">
        <f>VLOOKUP(B1527,'MTS 2026 registrations'!A:A,1,false)</f>
        <v>#N/A</v>
      </c>
      <c r="O1527" s="38" t="str">
        <f t="shared" si="12"/>
        <v>Marked</v>
      </c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</row>
    <row r="1528" ht="12.75" customHeight="1">
      <c r="A1528" s="19" t="str">
        <f t="shared" si="10"/>
        <v>Sourena Nasrollahi mythronics</v>
      </c>
      <c r="B1528" s="19" t="s">
        <v>8958</v>
      </c>
      <c r="C1528" s="20" t="s">
        <v>8959</v>
      </c>
      <c r="D1528" s="20" t="s">
        <v>8960</v>
      </c>
      <c r="E1528" s="21" t="s">
        <v>8961</v>
      </c>
      <c r="F1528" s="23" t="s">
        <v>8944</v>
      </c>
      <c r="G1528" s="32" t="s">
        <v>46</v>
      </c>
      <c r="H1528" s="25" t="s">
        <v>47</v>
      </c>
      <c r="I1528" s="34"/>
      <c r="J1528" s="35" t="s">
        <v>8962</v>
      </c>
      <c r="K1528" s="27" t="s">
        <v>50</v>
      </c>
      <c r="L1528" s="13" t="s">
        <v>8963</v>
      </c>
      <c r="M1528" s="26" t="str">
        <f>VLOOKUP(E1528,'MTS 2026 registrations'!B:B,1,false)</f>
        <v>#N/A</v>
      </c>
      <c r="N1528" s="26" t="str">
        <f>VLOOKUP(B1528,'MTS 2026 registrations'!A:A,1,false)</f>
        <v>#N/A</v>
      </c>
      <c r="O1528" s="38" t="str">
        <f t="shared" si="12"/>
        <v>Marked</v>
      </c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</row>
    <row r="1529" ht="12.75" customHeight="1">
      <c r="A1529" s="19" t="str">
        <f t="shared" si="10"/>
        <v>Srimannarayana Baratam perciv</v>
      </c>
      <c r="B1529" s="19" t="s">
        <v>8964</v>
      </c>
      <c r="C1529" s="20" t="s">
        <v>8965</v>
      </c>
      <c r="D1529" s="20" t="s">
        <v>8966</v>
      </c>
      <c r="E1529" s="21" t="s">
        <v>8967</v>
      </c>
      <c r="F1529" s="23" t="s">
        <v>3307</v>
      </c>
      <c r="G1529" s="32" t="s">
        <v>46</v>
      </c>
      <c r="H1529" s="25" t="s">
        <v>47</v>
      </c>
      <c r="I1529" s="34"/>
      <c r="J1529" s="35" t="s">
        <v>8968</v>
      </c>
      <c r="K1529" s="27" t="s">
        <v>50</v>
      </c>
      <c r="L1529" s="13" t="s">
        <v>8969</v>
      </c>
      <c r="M1529" s="26" t="str">
        <f>VLOOKUP(E1529,'MTS 2026 registrations'!B:B,1,false)</f>
        <v>#N/A</v>
      </c>
      <c r="N1529" s="26" t="str">
        <f>VLOOKUP(B1529,'MTS 2026 registrations'!A:A,1,false)</f>
        <v>#N/A</v>
      </c>
      <c r="O1529" s="38" t="str">
        <f t="shared" si="12"/>
        <v>Marked</v>
      </c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</row>
    <row r="1530" ht="12.75" customHeight="1">
      <c r="A1530" s="19" t="str">
        <f t="shared" si="10"/>
        <v>Stanley Sie vertepac</v>
      </c>
      <c r="B1530" s="19" t="s">
        <v>8970</v>
      </c>
      <c r="C1530" s="20" t="s">
        <v>8971</v>
      </c>
      <c r="D1530" s="20" t="s">
        <v>8972</v>
      </c>
      <c r="E1530" s="21" t="s">
        <v>8973</v>
      </c>
      <c r="F1530" s="23" t="s">
        <v>5321</v>
      </c>
      <c r="G1530" s="32" t="s">
        <v>46</v>
      </c>
      <c r="H1530" s="25" t="s">
        <v>47</v>
      </c>
      <c r="I1530" s="26"/>
      <c r="J1530" s="35" t="s">
        <v>8974</v>
      </c>
      <c r="K1530" s="27" t="s">
        <v>50</v>
      </c>
      <c r="L1530" s="13" t="s">
        <v>8975</v>
      </c>
      <c r="M1530" s="26" t="str">
        <f>VLOOKUP(E1530,'MTS 2026 registrations'!B:B,1,false)</f>
        <v>#N/A</v>
      </c>
      <c r="N1530" s="26" t="str">
        <f>VLOOKUP(B1530,'MTS 2026 registrations'!A:A,1,false)</f>
        <v>#N/A</v>
      </c>
      <c r="O1530" s="38" t="str">
        <f t="shared" si="12"/>
        <v>Marked</v>
      </c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</row>
    <row r="1531" ht="12.75" customHeight="1">
      <c r="A1531" s="19" t="str">
        <f t="shared" si="10"/>
        <v>Stefaan Ghijs Fly Aeolus</v>
      </c>
      <c r="B1531" s="19" t="s">
        <v>8976</v>
      </c>
      <c r="C1531" s="29" t="s">
        <v>8977</v>
      </c>
      <c r="D1531" s="29" t="s">
        <v>8978</v>
      </c>
      <c r="E1531" s="31" t="s">
        <v>8979</v>
      </c>
      <c r="F1531" s="33" t="s">
        <v>8980</v>
      </c>
      <c r="G1531" s="24" t="s">
        <v>1368</v>
      </c>
      <c r="H1531" s="25" t="s">
        <v>47</v>
      </c>
      <c r="I1531" s="34"/>
      <c r="J1531" s="35" t="s">
        <v>8981</v>
      </c>
      <c r="K1531" s="27" t="s">
        <v>50</v>
      </c>
      <c r="L1531" s="27" t="s">
        <v>8982</v>
      </c>
      <c r="M1531" s="26" t="str">
        <f>VLOOKUP(E1531,'MTS 2026 registrations'!B:B,1,false)</f>
        <v>#N/A</v>
      </c>
      <c r="N1531" s="26" t="str">
        <f>VLOOKUP(B1531,'MTS 2026 registrations'!A:A,1,false)</f>
        <v>#N/A</v>
      </c>
      <c r="O1531" s="38" t="str">
        <f t="shared" si="12"/>
        <v>Marked</v>
      </c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</row>
    <row r="1532" ht="12.75" customHeight="1">
      <c r="A1532" s="19" t="str">
        <f t="shared" si="10"/>
        <v>Stefan Drüssler Unternehmen TUM</v>
      </c>
      <c r="B1532" s="19" t="s">
        <v>8983</v>
      </c>
      <c r="C1532" s="134" t="s">
        <v>1056</v>
      </c>
      <c r="D1532" s="216" t="s">
        <v>8984</v>
      </c>
      <c r="E1532" s="48" t="s">
        <v>8985</v>
      </c>
      <c r="F1532" s="135" t="s">
        <v>8986</v>
      </c>
      <c r="G1532" s="24" t="s">
        <v>29</v>
      </c>
      <c r="H1532" s="25" t="s">
        <v>139</v>
      </c>
      <c r="I1532" s="34"/>
      <c r="J1532" s="35" t="s">
        <v>8987</v>
      </c>
      <c r="K1532" s="27" t="s">
        <v>50</v>
      </c>
      <c r="L1532" s="13" t="s">
        <v>8988</v>
      </c>
      <c r="M1532" s="26" t="str">
        <f>VLOOKUP(E1532,'MTS 2026 registrations'!B:B,1,false)</f>
        <v>#N/A</v>
      </c>
      <c r="N1532" s="26" t="str">
        <f>VLOOKUP(B1532,'MTS 2026 registrations'!A:A,1,false)</f>
        <v>#N/A</v>
      </c>
      <c r="O1532" s="38" t="str">
        <f t="shared" si="12"/>
        <v>Marked</v>
      </c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23"/>
      <c r="AD1532" s="34"/>
      <c r="AE1532" s="34"/>
    </row>
    <row r="1533" ht="12.75" customHeight="1">
      <c r="A1533" s="19" t="str">
        <f t="shared" si="10"/>
        <v>Stefan Sleijfer erasmusmc</v>
      </c>
      <c r="B1533" s="19" t="s">
        <v>8989</v>
      </c>
      <c r="C1533" s="134" t="s">
        <v>1056</v>
      </c>
      <c r="D1533" s="193" t="s">
        <v>8990</v>
      </c>
      <c r="E1533" s="62" t="s">
        <v>8991</v>
      </c>
      <c r="F1533" s="64" t="s">
        <v>4303</v>
      </c>
      <c r="G1533" s="42" t="s">
        <v>43</v>
      </c>
      <c r="H1533" s="25" t="s">
        <v>139</v>
      </c>
      <c r="I1533" s="34"/>
      <c r="J1533" s="35" t="s">
        <v>8992</v>
      </c>
      <c r="K1533" s="27" t="s">
        <v>50</v>
      </c>
      <c r="L1533" s="13" t="s">
        <v>8993</v>
      </c>
      <c r="M1533" s="26" t="str">
        <f>VLOOKUP(E1533,'MTS 2026 registrations'!B:B,1,false)</f>
        <v>#N/A</v>
      </c>
      <c r="N1533" s="26" t="str">
        <f>VLOOKUP(B1533,'MTS 2026 registrations'!A:A,1,false)</f>
        <v>#N/A</v>
      </c>
      <c r="O1533" s="38" t="str">
        <f t="shared" si="12"/>
        <v>Marked</v>
      </c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</row>
    <row r="1534" ht="12.75" customHeight="1">
      <c r="A1534" s="19" t="str">
        <f t="shared" si="10"/>
        <v>Stefan Roest Eternal Sun B.V.</v>
      </c>
      <c r="B1534" s="19" t="s">
        <v>8994</v>
      </c>
      <c r="C1534" s="29" t="s">
        <v>1056</v>
      </c>
      <c r="D1534" s="29" t="s">
        <v>8995</v>
      </c>
      <c r="E1534" s="31" t="s">
        <v>8996</v>
      </c>
      <c r="F1534" s="33" t="s">
        <v>2222</v>
      </c>
      <c r="G1534" s="32" t="s">
        <v>46</v>
      </c>
      <c r="H1534" s="25" t="s">
        <v>47</v>
      </c>
      <c r="I1534" s="34"/>
      <c r="J1534" s="35" t="s">
        <v>8997</v>
      </c>
      <c r="K1534" s="27" t="s">
        <v>50</v>
      </c>
      <c r="L1534" s="13" t="s">
        <v>8998</v>
      </c>
      <c r="M1534" s="26" t="str">
        <f>VLOOKUP(E1534,'MTS 2026 registrations'!B:B,1,false)</f>
        <v>#N/A</v>
      </c>
      <c r="N1534" s="26" t="str">
        <f>VLOOKUP(B1534,'MTS 2026 registrations'!A:A,1,false)</f>
        <v>#N/A</v>
      </c>
      <c r="O1534" s="38" t="str">
        <f t="shared" si="12"/>
        <v>Marked</v>
      </c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</row>
    <row r="1535" ht="12.75" customHeight="1">
      <c r="A1535" s="19" t="str">
        <f t="shared" si="10"/>
        <v>Stefan Bonhof Corbotics B.V.</v>
      </c>
      <c r="B1535" s="19" t="s">
        <v>8999</v>
      </c>
      <c r="C1535" s="13" t="s">
        <v>1056</v>
      </c>
      <c r="D1535" s="13" t="s">
        <v>9000</v>
      </c>
      <c r="E1535" s="217" t="s">
        <v>9001</v>
      </c>
      <c r="F1535" s="60" t="s">
        <v>3090</v>
      </c>
      <c r="G1535" s="32" t="s">
        <v>46</v>
      </c>
      <c r="H1535" s="25" t="s">
        <v>47</v>
      </c>
      <c r="I1535" s="34"/>
      <c r="J1535" s="35" t="s">
        <v>9002</v>
      </c>
      <c r="K1535" s="27" t="s">
        <v>50</v>
      </c>
      <c r="L1535" s="13" t="s">
        <v>9003</v>
      </c>
      <c r="M1535" s="26" t="str">
        <f>VLOOKUP(E1535,'MTS 2026 registrations'!B:B,1,false)</f>
        <v>#N/A</v>
      </c>
      <c r="N1535" s="26" t="str">
        <f>VLOOKUP(B1535,'MTS 2026 registrations'!A:A,1,false)</f>
        <v>#N/A</v>
      </c>
      <c r="O1535" s="38" t="str">
        <f t="shared" si="12"/>
        <v>Marked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</row>
    <row r="1536" ht="12.75" customHeight="1">
      <c r="A1536" s="19" t="str">
        <f t="shared" si="10"/>
        <v>Stefan Braam utrechtinc</v>
      </c>
      <c r="B1536" s="19" t="s">
        <v>9004</v>
      </c>
      <c r="C1536" s="134" t="s">
        <v>1056</v>
      </c>
      <c r="D1536" s="60" t="s">
        <v>9005</v>
      </c>
      <c r="E1536" s="62" t="s">
        <v>9006</v>
      </c>
      <c r="F1536" s="64" t="s">
        <v>9007</v>
      </c>
      <c r="G1536" s="42" t="s">
        <v>43</v>
      </c>
      <c r="H1536" s="25" t="s">
        <v>139</v>
      </c>
      <c r="I1536" s="34"/>
      <c r="J1536" s="35" t="s">
        <v>9008</v>
      </c>
      <c r="K1536" s="27" t="s">
        <v>50</v>
      </c>
      <c r="L1536" s="13" t="s">
        <v>9009</v>
      </c>
      <c r="M1536" s="26" t="str">
        <f>VLOOKUP(E1536,'MTS 2026 registrations'!B:B,1,false)</f>
        <v>#N/A</v>
      </c>
      <c r="N1536" s="26" t="str">
        <f>VLOOKUP(B1536,'MTS 2026 registrations'!A:A,1,false)</f>
        <v>#N/A</v>
      </c>
      <c r="O1536" s="38" t="str">
        <f t="shared" si="12"/>
        <v>Marked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</row>
    <row r="1537" ht="12.75" customHeight="1">
      <c r="A1537" s="19" t="str">
        <f t="shared" si="10"/>
        <v>Stefan Versluis shifft</v>
      </c>
      <c r="B1537" s="19" t="s">
        <v>9010</v>
      </c>
      <c r="C1537" s="20" t="s">
        <v>1056</v>
      </c>
      <c r="D1537" s="20" t="s">
        <v>9011</v>
      </c>
      <c r="E1537" s="21" t="s">
        <v>9012</v>
      </c>
      <c r="F1537" s="23" t="s">
        <v>9013</v>
      </c>
      <c r="G1537" s="32" t="s">
        <v>46</v>
      </c>
      <c r="H1537" s="25" t="s">
        <v>47</v>
      </c>
      <c r="I1537" s="34"/>
      <c r="J1537" s="35" t="s">
        <v>9014</v>
      </c>
      <c r="K1537" s="27" t="s">
        <v>50</v>
      </c>
      <c r="L1537" s="13" t="s">
        <v>9015</v>
      </c>
      <c r="M1537" s="26" t="str">
        <f>VLOOKUP(E1537,'MTS 2026 registrations'!B:B,1,false)</f>
        <v>#N/A</v>
      </c>
      <c r="N1537" s="26" t="str">
        <f>VLOOKUP(B1537,'MTS 2026 registrations'!A:A,1,false)</f>
        <v>#N/A</v>
      </c>
      <c r="O1537" s="38" t="str">
        <f t="shared" si="12"/>
        <v>Marked</v>
      </c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</row>
    <row r="1538" ht="12.75" customHeight="1">
      <c r="A1538" s="19" t="str">
        <f t="shared" si="10"/>
        <v>Stefan Powell dawnaerospace</v>
      </c>
      <c r="B1538" s="19" t="s">
        <v>9016</v>
      </c>
      <c r="C1538" s="20" t="s">
        <v>1056</v>
      </c>
      <c r="D1538" s="20" t="s">
        <v>9017</v>
      </c>
      <c r="E1538" s="21" t="s">
        <v>9018</v>
      </c>
      <c r="F1538" s="23" t="s">
        <v>5848</v>
      </c>
      <c r="G1538" s="32" t="s">
        <v>46</v>
      </c>
      <c r="H1538" s="25" t="s">
        <v>47</v>
      </c>
      <c r="I1538" s="34"/>
      <c r="J1538" s="35" t="s">
        <v>9019</v>
      </c>
      <c r="K1538" s="27" t="s">
        <v>50</v>
      </c>
      <c r="L1538" s="13" t="s">
        <v>9020</v>
      </c>
      <c r="M1538" s="26" t="str">
        <f>VLOOKUP(E1538,'MTS 2026 registrations'!B:B,1,false)</f>
        <v>#N/A</v>
      </c>
      <c r="N1538" s="26" t="str">
        <f>VLOOKUP(B1538,'MTS 2026 registrations'!A:A,1,false)</f>
        <v>#N/A</v>
      </c>
      <c r="O1538" s="38" t="str">
        <f t="shared" si="12"/>
        <v>Marked</v>
      </c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</row>
    <row r="1539" ht="12.75" customHeight="1">
      <c r="A1539" s="19" t="str">
        <f t="shared" si="10"/>
        <v>Stefan van Eijk ifund</v>
      </c>
      <c r="B1539" s="19" t="s">
        <v>9021</v>
      </c>
      <c r="C1539" s="20" t="s">
        <v>1056</v>
      </c>
      <c r="D1539" s="20" t="s">
        <v>9022</v>
      </c>
      <c r="E1539" s="21" t="s">
        <v>9023</v>
      </c>
      <c r="F1539" s="23" t="s">
        <v>9024</v>
      </c>
      <c r="G1539" s="24" t="s">
        <v>163</v>
      </c>
      <c r="H1539" s="25" t="s">
        <v>164</v>
      </c>
      <c r="I1539" s="34"/>
      <c r="J1539" s="35" t="s">
        <v>9025</v>
      </c>
      <c r="K1539" s="27" t="s">
        <v>50</v>
      </c>
      <c r="L1539" s="13" t="s">
        <v>9026</v>
      </c>
      <c r="M1539" s="26" t="str">
        <f>VLOOKUP(E1539,'MTS 2026 registrations'!B:B,1,false)</f>
        <v>#N/A</v>
      </c>
      <c r="N1539" s="26" t="str">
        <f>VLOOKUP(B1539,'MTS 2026 registrations'!A:A,1,false)</f>
        <v>#N/A</v>
      </c>
      <c r="O1539" s="38" t="str">
        <f t="shared" si="12"/>
        <v>Marked</v>
      </c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</row>
    <row r="1540" ht="12.75" customHeight="1">
      <c r="A1540" s="19" t="str">
        <f t="shared" si="10"/>
        <v>Stefan Ellenbroek plnt</v>
      </c>
      <c r="B1540" s="19" t="s">
        <v>9027</v>
      </c>
      <c r="C1540" s="60" t="s">
        <v>1056</v>
      </c>
      <c r="D1540" s="60" t="s">
        <v>9028</v>
      </c>
      <c r="E1540" s="62" t="s">
        <v>9029</v>
      </c>
      <c r="F1540" s="64" t="s">
        <v>3670</v>
      </c>
      <c r="G1540" s="32" t="s">
        <v>29</v>
      </c>
      <c r="H1540" s="25" t="s">
        <v>139</v>
      </c>
      <c r="I1540" s="23"/>
      <c r="J1540" s="35" t="s">
        <v>9030</v>
      </c>
      <c r="K1540" s="27" t="s">
        <v>50</v>
      </c>
      <c r="L1540" s="13" t="s">
        <v>9031</v>
      </c>
      <c r="M1540" s="26" t="str">
        <f>VLOOKUP(E1540,'MTS 2026 registrations'!B:B,1,false)</f>
        <v>#N/A</v>
      </c>
      <c r="N1540" s="26" t="str">
        <f>VLOOKUP(B1540,'MTS 2026 registrations'!A:A,1,false)</f>
        <v>#N/A</v>
      </c>
      <c r="O1540" s="38" t="str">
        <f t="shared" si="12"/>
        <v>Marked</v>
      </c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23"/>
      <c r="AD1540" s="34"/>
      <c r="AE1540" s="34"/>
    </row>
    <row r="1541" ht="12.75" customHeight="1">
      <c r="A1541" s="19" t="str">
        <f t="shared" si="10"/>
        <v>Sten Ouborg Kien</v>
      </c>
      <c r="B1541" s="19" t="s">
        <v>9032</v>
      </c>
      <c r="C1541" s="29" t="s">
        <v>9033</v>
      </c>
      <c r="D1541" s="29" t="s">
        <v>6167</v>
      </c>
      <c r="E1541" s="31" t="s">
        <v>9034</v>
      </c>
      <c r="F1541" s="33" t="s">
        <v>9035</v>
      </c>
      <c r="G1541" s="24" t="s">
        <v>1368</v>
      </c>
      <c r="H1541" s="25" t="s">
        <v>47</v>
      </c>
      <c r="I1541" s="34"/>
      <c r="J1541" s="35" t="s">
        <v>9036</v>
      </c>
      <c r="K1541" s="27" t="s">
        <v>50</v>
      </c>
      <c r="L1541" s="27" t="s">
        <v>9037</v>
      </c>
      <c r="M1541" s="26" t="str">
        <f>VLOOKUP(E1541,'MTS 2026 registrations'!B:B,1,false)</f>
        <v>#N/A</v>
      </c>
      <c r="N1541" s="26" t="str">
        <f>VLOOKUP(B1541,'MTS 2026 registrations'!A:A,1,false)</f>
        <v>#N/A</v>
      </c>
      <c r="O1541" s="38" t="str">
        <f t="shared" si="12"/>
        <v>Marked</v>
      </c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</row>
    <row r="1542" ht="12.75" customHeight="1">
      <c r="A1542" s="19" t="str">
        <f t="shared" si="10"/>
        <v>Stephan Rutten lobster-robotics</v>
      </c>
      <c r="B1542" s="19" t="s">
        <v>9038</v>
      </c>
      <c r="C1542" s="20" t="s">
        <v>9039</v>
      </c>
      <c r="D1542" s="20" t="s">
        <v>9040</v>
      </c>
      <c r="E1542" s="21" t="s">
        <v>9041</v>
      </c>
      <c r="F1542" s="23" t="s">
        <v>4103</v>
      </c>
      <c r="G1542" s="32" t="s">
        <v>46</v>
      </c>
      <c r="H1542" s="25" t="s">
        <v>47</v>
      </c>
      <c r="I1542" s="34"/>
      <c r="J1542" s="35" t="s">
        <v>9042</v>
      </c>
      <c r="K1542" s="27" t="s">
        <v>50</v>
      </c>
      <c r="L1542" s="13" t="s">
        <v>9043</v>
      </c>
      <c r="M1542" s="26" t="str">
        <f>VLOOKUP(E1542,'MTS 2026 registrations'!B:B,1,false)</f>
        <v>#N/A</v>
      </c>
      <c r="N1542" s="26" t="str">
        <f>VLOOKUP(B1542,'MTS 2026 registrations'!A:A,1,false)</f>
        <v>#N/A</v>
      </c>
      <c r="O1542" s="38" t="str">
        <f t="shared" si="12"/>
        <v>Marked</v>
      </c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</row>
    <row r="1543" ht="12.75" customHeight="1">
      <c r="A1543" s="19" t="str">
        <f t="shared" si="10"/>
        <v>Sterre Witteveen hollandcapital</v>
      </c>
      <c r="B1543" s="19" t="s">
        <v>9044</v>
      </c>
      <c r="C1543" s="20" t="s">
        <v>9045</v>
      </c>
      <c r="D1543" s="20" t="s">
        <v>9046</v>
      </c>
      <c r="E1543" s="21" t="s">
        <v>9047</v>
      </c>
      <c r="F1543" s="23" t="s">
        <v>9048</v>
      </c>
      <c r="G1543" s="24" t="s">
        <v>163</v>
      </c>
      <c r="H1543" s="25" t="s">
        <v>164</v>
      </c>
      <c r="I1543" s="34"/>
      <c r="J1543" s="35" t="s">
        <v>9049</v>
      </c>
      <c r="K1543" s="27" t="s">
        <v>50</v>
      </c>
      <c r="L1543" s="13" t="s">
        <v>9050</v>
      </c>
      <c r="M1543" s="26" t="str">
        <f>VLOOKUP(E1543,'MTS 2026 registrations'!B:B,1,false)</f>
        <v>#N/A</v>
      </c>
      <c r="N1543" s="26" t="str">
        <f>VLOOKUP(B1543,'MTS 2026 registrations'!A:A,1,false)</f>
        <v>#N/A</v>
      </c>
      <c r="O1543" s="38" t="str">
        <f t="shared" si="12"/>
        <v>Marked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</row>
    <row r="1544" ht="12.75" customHeight="1">
      <c r="A1544" s="19" t="str">
        <f t="shared" si="10"/>
        <v>Stijn de Jong Disdro</v>
      </c>
      <c r="B1544" s="19" t="s">
        <v>9051</v>
      </c>
      <c r="C1544" s="29" t="s">
        <v>2061</v>
      </c>
      <c r="D1544" s="121" t="s">
        <v>2009</v>
      </c>
      <c r="E1544" s="80" t="s">
        <v>9052</v>
      </c>
      <c r="F1544" s="33" t="s">
        <v>9053</v>
      </c>
      <c r="G1544" s="24" t="s">
        <v>46</v>
      </c>
      <c r="H1544" s="25" t="s">
        <v>47</v>
      </c>
      <c r="I1544" s="34"/>
      <c r="J1544" s="35" t="s">
        <v>9054</v>
      </c>
      <c r="K1544" s="27" t="s">
        <v>50</v>
      </c>
      <c r="L1544" s="13" t="s">
        <v>9055</v>
      </c>
      <c r="M1544" s="26" t="str">
        <f>VLOOKUP(E1544,'MTS 2026 registrations'!B:B,1,false)</f>
        <v>#N/A</v>
      </c>
      <c r="N1544" s="26" t="str">
        <f>VLOOKUP(B1544,'MTS 2026 registrations'!A:A,1,false)</f>
        <v>#N/A</v>
      </c>
      <c r="O1544" s="38" t="str">
        <f t="shared" si="12"/>
        <v>Marked</v>
      </c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</row>
    <row r="1545" ht="12.75" customHeight="1">
      <c r="A1545" s="19" t="str">
        <f t="shared" si="10"/>
        <v>Stijn van 't Veer Renset</v>
      </c>
      <c r="B1545" s="19" t="s">
        <v>9056</v>
      </c>
      <c r="C1545" s="29" t="s">
        <v>2061</v>
      </c>
      <c r="D1545" s="29" t="s">
        <v>9057</v>
      </c>
      <c r="E1545" s="62" t="s">
        <v>9058</v>
      </c>
      <c r="F1545" s="50" t="s">
        <v>9059</v>
      </c>
      <c r="G1545" s="32" t="s">
        <v>46</v>
      </c>
      <c r="H1545" s="25" t="s">
        <v>139</v>
      </c>
      <c r="I1545" s="34"/>
      <c r="J1545" s="35" t="s">
        <v>9060</v>
      </c>
      <c r="K1545" s="27" t="s">
        <v>50</v>
      </c>
      <c r="L1545" s="13" t="s">
        <v>9061</v>
      </c>
      <c r="M1545" s="26" t="str">
        <f>VLOOKUP(E1545,'MTS 2026 registrations'!B:B,1,false)</f>
        <v>#N/A</v>
      </c>
      <c r="N1545" s="26" t="str">
        <f>VLOOKUP(B1545,'MTS 2026 registrations'!A:A,1,false)</f>
        <v>#N/A</v>
      </c>
      <c r="O1545" s="38" t="str">
        <f t="shared" si="12"/>
        <v>Marked</v>
      </c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</row>
    <row r="1546" ht="12.75" customHeight="1">
      <c r="A1546" s="19" t="str">
        <f t="shared" si="10"/>
        <v>Stijn Antonisse somnox</v>
      </c>
      <c r="B1546" s="19" t="s">
        <v>9062</v>
      </c>
      <c r="C1546" s="20" t="s">
        <v>2061</v>
      </c>
      <c r="D1546" s="20" t="s">
        <v>9063</v>
      </c>
      <c r="E1546" s="21" t="s">
        <v>9064</v>
      </c>
      <c r="F1546" s="23" t="s">
        <v>5951</v>
      </c>
      <c r="G1546" s="32" t="s">
        <v>46</v>
      </c>
      <c r="H1546" s="25" t="s">
        <v>47</v>
      </c>
      <c r="I1546" s="34"/>
      <c r="J1546" s="35" t="s">
        <v>9065</v>
      </c>
      <c r="K1546" s="27" t="s">
        <v>50</v>
      </c>
      <c r="L1546" s="13" t="s">
        <v>9066</v>
      </c>
      <c r="M1546" s="26" t="str">
        <f>VLOOKUP(E1546,'MTS 2026 registrations'!B:B,1,false)</f>
        <v>#N/A</v>
      </c>
      <c r="N1546" s="26" t="str">
        <f>VLOOKUP(B1546,'MTS 2026 registrations'!A:A,1,false)</f>
        <v>#N/A</v>
      </c>
      <c r="O1546" s="38" t="str">
        <f t="shared" si="12"/>
        <v>Marked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</row>
    <row r="1547" ht="12.75" customHeight="1">
      <c r="A1547" s="19" t="str">
        <f t="shared" si="10"/>
        <v>Surya Prakash Effium (NeoStove)</v>
      </c>
      <c r="B1547" s="19" t="s">
        <v>9067</v>
      </c>
      <c r="C1547" s="29" t="s">
        <v>9068</v>
      </c>
      <c r="D1547" s="29" t="s">
        <v>9069</v>
      </c>
      <c r="E1547" s="31" t="s">
        <v>9070</v>
      </c>
      <c r="F1547" s="33" t="s">
        <v>9071</v>
      </c>
      <c r="G1547" s="24" t="s">
        <v>46</v>
      </c>
      <c r="H1547" s="25" t="s">
        <v>47</v>
      </c>
      <c r="I1547" s="34"/>
      <c r="J1547" s="35" t="s">
        <v>9072</v>
      </c>
      <c r="K1547" s="27" t="s">
        <v>50</v>
      </c>
      <c r="L1547" s="13" t="s">
        <v>9073</v>
      </c>
      <c r="M1547" s="26" t="str">
        <f>VLOOKUP(E1547,'MTS 2026 registrations'!B:B,1,false)</f>
        <v>#N/A</v>
      </c>
      <c r="N1547" s="26" t="str">
        <f>VLOOKUP(B1547,'MTS 2026 registrations'!A:A,1,false)</f>
        <v>#N/A</v>
      </c>
      <c r="O1547" s="38" t="str">
        <f t="shared" si="12"/>
        <v>Marked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</row>
    <row r="1548" ht="12.75" customHeight="1">
      <c r="A1548" s="19" t="str">
        <f t="shared" si="10"/>
        <v>Susanne Sleenhoff tudelft</v>
      </c>
      <c r="B1548" s="19" t="s">
        <v>9074</v>
      </c>
      <c r="C1548" s="29" t="s">
        <v>9075</v>
      </c>
      <c r="D1548" s="29" t="s">
        <v>9076</v>
      </c>
      <c r="E1548" s="30" t="s">
        <v>9077</v>
      </c>
      <c r="F1548" s="29" t="s">
        <v>184</v>
      </c>
      <c r="G1548" s="32" t="s">
        <v>43</v>
      </c>
      <c r="H1548" s="13" t="s">
        <v>213</v>
      </c>
      <c r="I1548" s="34"/>
      <c r="J1548" s="35" t="s">
        <v>9078</v>
      </c>
      <c r="K1548" s="27" t="s">
        <v>50</v>
      </c>
      <c r="L1548" s="13" t="s">
        <v>9079</v>
      </c>
      <c r="M1548" s="26" t="str">
        <f>VLOOKUP(E1548,'MTS 2026 registrations'!B:B,1,false)</f>
        <v>#N/A</v>
      </c>
      <c r="N1548" s="26" t="str">
        <f>VLOOKUP(B1548,'MTS 2026 registrations'!A:A,1,false)</f>
        <v>#N/A</v>
      </c>
      <c r="O1548" s="38" t="str">
        <f t="shared" si="12"/>
        <v>Marked</v>
      </c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</row>
    <row r="1549" ht="12.75" customHeight="1">
      <c r="A1549" s="19" t="str">
        <f t="shared" si="10"/>
        <v>Sylvia Boer maritimesisters</v>
      </c>
      <c r="B1549" s="19" t="s">
        <v>9080</v>
      </c>
      <c r="C1549" s="29" t="s">
        <v>121</v>
      </c>
      <c r="D1549" s="29" t="s">
        <v>7044</v>
      </c>
      <c r="E1549" s="30" t="s">
        <v>9081</v>
      </c>
      <c r="F1549" s="29" t="s">
        <v>7046</v>
      </c>
      <c r="G1549" s="32" t="s">
        <v>69</v>
      </c>
      <c r="H1549" s="13" t="s">
        <v>45</v>
      </c>
      <c r="I1549" s="34"/>
      <c r="J1549" s="35" t="s">
        <v>9082</v>
      </c>
      <c r="K1549" s="27" t="s">
        <v>50</v>
      </c>
      <c r="L1549" s="13" t="s">
        <v>9083</v>
      </c>
      <c r="M1549" s="26" t="str">
        <f>VLOOKUP(E1549,'MTS 2026 registrations'!B:B,1,false)</f>
        <v>#N/A</v>
      </c>
      <c r="N1549" s="26" t="str">
        <f>VLOOKUP(B1549,'MTS 2026 registrations'!A:A,1,false)</f>
        <v>#N/A</v>
      </c>
      <c r="O1549" s="38" t="str">
        <f t="shared" si="12"/>
        <v>Marked</v>
      </c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</row>
    <row r="1550" ht="12.75" customHeight="1">
      <c r="A1550" s="19" t="str">
        <f t="shared" si="10"/>
        <v>Taco Ekkel </v>
      </c>
      <c r="B1550" s="19" t="s">
        <v>9084</v>
      </c>
      <c r="C1550" s="69" t="s">
        <v>9085</v>
      </c>
      <c r="D1550" s="69" t="s">
        <v>9086</v>
      </c>
      <c r="E1550" s="139" t="s">
        <v>9087</v>
      </c>
      <c r="F1550" s="52"/>
      <c r="G1550" s="24" t="s">
        <v>225</v>
      </c>
      <c r="H1550" s="25" t="s">
        <v>47</v>
      </c>
      <c r="I1550" s="26"/>
      <c r="J1550" s="35" t="s">
        <v>9088</v>
      </c>
      <c r="K1550" s="27" t="s">
        <v>50</v>
      </c>
      <c r="L1550" s="13" t="s">
        <v>9089</v>
      </c>
      <c r="M1550" s="26" t="str">
        <f>VLOOKUP(E1550,'MTS 2026 registrations'!B:B,1,false)</f>
        <v>taco.ekkel@gmail.com</v>
      </c>
      <c r="N1550" s="26" t="str">
        <f>VLOOKUP(B1550,'MTS 2026 registrations'!A:A,1,false)</f>
        <v>Taco Ekkel</v>
      </c>
      <c r="O1550" s="38" t="str">
        <f t="shared" si="12"/>
        <v/>
      </c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</row>
    <row r="1551" ht="12.75" customHeight="1">
      <c r="A1551" s="19" t="str">
        <f t="shared" si="10"/>
        <v>Tamara Obradov tablomonto</v>
      </c>
      <c r="B1551" s="19" t="s">
        <v>9090</v>
      </c>
      <c r="C1551" s="20" t="s">
        <v>9091</v>
      </c>
      <c r="D1551" s="20" t="s">
        <v>9092</v>
      </c>
      <c r="E1551" s="21" t="s">
        <v>9093</v>
      </c>
      <c r="F1551" s="23" t="s">
        <v>5720</v>
      </c>
      <c r="G1551" s="24" t="s">
        <v>163</v>
      </c>
      <c r="H1551" s="25" t="s">
        <v>164</v>
      </c>
      <c r="I1551" s="34"/>
      <c r="J1551" s="35" t="s">
        <v>9094</v>
      </c>
      <c r="K1551" s="27" t="s">
        <v>50</v>
      </c>
      <c r="L1551" s="13" t="s">
        <v>9095</v>
      </c>
      <c r="M1551" s="26" t="str">
        <f>VLOOKUP(E1551,'MTS 2026 registrations'!B:B,1,false)</f>
        <v>#N/A</v>
      </c>
      <c r="N1551" s="26" t="str">
        <f>VLOOKUP(B1551,'MTS 2026 registrations'!A:A,1,false)</f>
        <v>#N/A</v>
      </c>
      <c r="O1551" s="38" t="str">
        <f t="shared" si="12"/>
        <v>Marked</v>
      </c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</row>
    <row r="1552" ht="12.75" customHeight="1">
      <c r="A1552" s="19" t="str">
        <f t="shared" si="10"/>
        <v>Tania Rahmandad SHM Next</v>
      </c>
      <c r="B1552" s="19" t="s">
        <v>9096</v>
      </c>
      <c r="C1552" s="29" t="s">
        <v>9097</v>
      </c>
      <c r="D1552" s="29" t="s">
        <v>9098</v>
      </c>
      <c r="E1552" s="31" t="s">
        <v>9099</v>
      </c>
      <c r="F1552" s="33" t="s">
        <v>2256</v>
      </c>
      <c r="G1552" s="24" t="s">
        <v>46</v>
      </c>
      <c r="H1552" s="25" t="s">
        <v>47</v>
      </c>
      <c r="I1552" s="34"/>
      <c r="J1552" s="35" t="s">
        <v>9100</v>
      </c>
      <c r="K1552" s="27" t="s">
        <v>50</v>
      </c>
      <c r="L1552" s="13" t="s">
        <v>9101</v>
      </c>
      <c r="M1552" s="26" t="str">
        <f>VLOOKUP(E1552,'MTS 2026 registrations'!B:B,1,false)</f>
        <v>#N/A</v>
      </c>
      <c r="N1552" s="26" t="str">
        <f>VLOOKUP(B1552,'MTS 2026 registrations'!A:A,1,false)</f>
        <v>#N/A</v>
      </c>
      <c r="O1552" s="38" t="str">
        <f t="shared" si="12"/>
        <v>Marked</v>
      </c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</row>
    <row r="1553" ht="12.75" customHeight="1">
      <c r="A1553" s="19" t="str">
        <f t="shared" si="10"/>
        <v>Tareq Jaber medvice</v>
      </c>
      <c r="B1553" s="19" t="s">
        <v>9102</v>
      </c>
      <c r="C1553" s="20" t="s">
        <v>9103</v>
      </c>
      <c r="D1553" s="20" t="s">
        <v>9104</v>
      </c>
      <c r="E1553" s="21" t="s">
        <v>9105</v>
      </c>
      <c r="F1553" s="23" t="s">
        <v>9106</v>
      </c>
      <c r="G1553" s="32" t="s">
        <v>46</v>
      </c>
      <c r="H1553" s="25" t="s">
        <v>47</v>
      </c>
      <c r="I1553" s="34"/>
      <c r="J1553" s="124" t="s">
        <v>9107</v>
      </c>
      <c r="K1553" s="27" t="s">
        <v>50</v>
      </c>
      <c r="L1553" s="13" t="s">
        <v>9108</v>
      </c>
      <c r="M1553" s="26" t="str">
        <f>VLOOKUP(E1553,'MTS 2026 registrations'!B:B,1,false)</f>
        <v>#N/A</v>
      </c>
      <c r="N1553" s="26" t="str">
        <f>VLOOKUP(B1553,'MTS 2026 registrations'!A:A,1,false)</f>
        <v>#N/A</v>
      </c>
      <c r="O1553" s="38" t="str">
        <f t="shared" si="12"/>
        <v>Marked</v>
      </c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</row>
    <row r="1554" ht="12.75" customHeight="1">
      <c r="A1554" s="19" t="str">
        <f t="shared" si="10"/>
        <v>Tayra Algera pzh</v>
      </c>
      <c r="B1554" s="19" t="s">
        <v>9109</v>
      </c>
      <c r="C1554" s="20" t="s">
        <v>9110</v>
      </c>
      <c r="D1554" s="218" t="s">
        <v>9111</v>
      </c>
      <c r="E1554" s="21" t="s">
        <v>9112</v>
      </c>
      <c r="F1554" s="23" t="s">
        <v>1532</v>
      </c>
      <c r="G1554" s="24" t="s">
        <v>323</v>
      </c>
      <c r="H1554" s="25" t="s">
        <v>139</v>
      </c>
      <c r="I1554" s="34"/>
      <c r="J1554" s="35" t="s">
        <v>9113</v>
      </c>
      <c r="K1554" s="27" t="s">
        <v>50</v>
      </c>
      <c r="L1554" s="13" t="s">
        <v>9114</v>
      </c>
      <c r="M1554" s="26" t="str">
        <f>VLOOKUP(E1554,'MTS 2026 registrations'!B:B,1,false)</f>
        <v>#N/A</v>
      </c>
      <c r="N1554" s="26" t="str">
        <f>VLOOKUP(B1554,'MTS 2026 registrations'!A:A,1,false)</f>
        <v>#N/A</v>
      </c>
      <c r="O1554" s="38" t="str">
        <f t="shared" si="12"/>
        <v>Marked</v>
      </c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</row>
    <row r="1555" ht="12.75" customHeight="1">
      <c r="A1555" s="19" t="str">
        <f t="shared" si="10"/>
        <v>Teun van 't Veer Renset bv</v>
      </c>
      <c r="B1555" s="19" t="s">
        <v>9115</v>
      </c>
      <c r="C1555" s="29" t="s">
        <v>9116</v>
      </c>
      <c r="D1555" s="29" t="s">
        <v>9057</v>
      </c>
      <c r="E1555" s="105" t="s">
        <v>9117</v>
      </c>
      <c r="F1555" s="33" t="s">
        <v>617</v>
      </c>
      <c r="G1555" s="32" t="s">
        <v>46</v>
      </c>
      <c r="H1555" s="25" t="s">
        <v>47</v>
      </c>
      <c r="I1555" s="34"/>
      <c r="J1555" s="35" t="s">
        <v>9118</v>
      </c>
      <c r="K1555" s="27" t="s">
        <v>50</v>
      </c>
      <c r="L1555" s="13" t="s">
        <v>9119</v>
      </c>
      <c r="M1555" s="26" t="str">
        <f>VLOOKUP(E1555,'MTS 2026 registrations'!B:B,1,false)</f>
        <v>#N/A</v>
      </c>
      <c r="N1555" s="26" t="str">
        <f>VLOOKUP(B1555,'MTS 2026 registrations'!A:A,1,false)</f>
        <v>#N/A</v>
      </c>
      <c r="O1555" s="38" t="str">
        <f t="shared" si="12"/>
        <v>Marked</v>
      </c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</row>
    <row r="1556" ht="12.75" customHeight="1">
      <c r="A1556" s="19" t="str">
        <f t="shared" si="10"/>
        <v>Thatcher Peskens Share Square</v>
      </c>
      <c r="B1556" s="19" t="s">
        <v>9120</v>
      </c>
      <c r="C1556" s="29" t="s">
        <v>9121</v>
      </c>
      <c r="D1556" s="29" t="s">
        <v>9122</v>
      </c>
      <c r="E1556" s="31" t="s">
        <v>9123</v>
      </c>
      <c r="F1556" s="33" t="s">
        <v>9124</v>
      </c>
      <c r="G1556" s="24" t="s">
        <v>1368</v>
      </c>
      <c r="H1556" s="25" t="s">
        <v>47</v>
      </c>
      <c r="I1556" s="34"/>
      <c r="J1556" s="35" t="s">
        <v>9125</v>
      </c>
      <c r="K1556" s="27" t="s">
        <v>50</v>
      </c>
      <c r="L1556" s="27" t="s">
        <v>9126</v>
      </c>
      <c r="M1556" s="26" t="str">
        <f>VLOOKUP(E1556,'MTS 2026 registrations'!B:B,1,false)</f>
        <v>#N/A</v>
      </c>
      <c r="N1556" s="26" t="str">
        <f>VLOOKUP(B1556,'MTS 2026 registrations'!A:A,1,false)</f>
        <v>#N/A</v>
      </c>
      <c r="O1556" s="38" t="str">
        <f t="shared" si="12"/>
        <v>Marked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</row>
    <row r="1557" ht="12.75" customHeight="1">
      <c r="A1557" s="19" t="str">
        <f t="shared" si="10"/>
        <v>Theun Baller tudelft</v>
      </c>
      <c r="B1557" s="19" t="s">
        <v>9127</v>
      </c>
      <c r="C1557" s="60" t="s">
        <v>9128</v>
      </c>
      <c r="D1557" s="60" t="s">
        <v>9129</v>
      </c>
      <c r="E1557" s="62" t="s">
        <v>9130</v>
      </c>
      <c r="F1557" s="64" t="s">
        <v>184</v>
      </c>
      <c r="G1557" s="32" t="s">
        <v>43</v>
      </c>
      <c r="H1557" s="25" t="s">
        <v>139</v>
      </c>
      <c r="I1557" s="34"/>
      <c r="J1557" s="35" t="s">
        <v>9131</v>
      </c>
      <c r="K1557" s="27" t="s">
        <v>50</v>
      </c>
      <c r="L1557" s="13" t="s">
        <v>9132</v>
      </c>
      <c r="M1557" s="26" t="str">
        <f>VLOOKUP(E1557,'MTS 2026 registrations'!B:B,1,false)</f>
        <v>#N/A</v>
      </c>
      <c r="N1557" s="26" t="str">
        <f>VLOOKUP(B1557,'MTS 2026 registrations'!A:A,1,false)</f>
        <v>#N/A</v>
      </c>
      <c r="O1557" s="38" t="str">
        <f t="shared" si="12"/>
        <v>Marked</v>
      </c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</row>
    <row r="1558" ht="12.75" customHeight="1">
      <c r="A1558" s="19" t="str">
        <f t="shared" si="10"/>
        <v>Thibaud Verschoor imsystems</v>
      </c>
      <c r="B1558" s="19" t="s">
        <v>9133</v>
      </c>
      <c r="C1558" s="20" t="s">
        <v>9134</v>
      </c>
      <c r="D1558" s="20" t="s">
        <v>3867</v>
      </c>
      <c r="E1558" s="21" t="s">
        <v>9135</v>
      </c>
      <c r="F1558" s="23" t="s">
        <v>7194</v>
      </c>
      <c r="G1558" s="32" t="s">
        <v>46</v>
      </c>
      <c r="H1558" s="25" t="s">
        <v>47</v>
      </c>
      <c r="I1558" s="34"/>
      <c r="J1558" s="35" t="s">
        <v>9136</v>
      </c>
      <c r="K1558" s="27" t="s">
        <v>50</v>
      </c>
      <c r="L1558" s="13" t="s">
        <v>9137</v>
      </c>
      <c r="M1558" s="26" t="str">
        <f>VLOOKUP(E1558,'MTS 2026 registrations'!B:B,1,false)</f>
        <v>#N/A</v>
      </c>
      <c r="N1558" s="26" t="str">
        <f>VLOOKUP(B1558,'MTS 2026 registrations'!A:A,1,false)</f>
        <v>#N/A</v>
      </c>
      <c r="O1558" s="38" t="str">
        <f t="shared" si="12"/>
        <v>Marked</v>
      </c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</row>
    <row r="1559" ht="12.75" customHeight="1">
      <c r="A1559" s="19" t="str">
        <f t="shared" si="10"/>
        <v>Thijs van oorschot Nightbalance</v>
      </c>
      <c r="B1559" s="19" t="s">
        <v>9138</v>
      </c>
      <c r="C1559" s="29" t="s">
        <v>1086</v>
      </c>
      <c r="D1559" s="29" t="s">
        <v>9139</v>
      </c>
      <c r="E1559" s="31" t="s">
        <v>9140</v>
      </c>
      <c r="F1559" s="33" t="s">
        <v>9141</v>
      </c>
      <c r="G1559" s="24" t="s">
        <v>46</v>
      </c>
      <c r="H1559" s="25" t="s">
        <v>47</v>
      </c>
      <c r="I1559" s="34"/>
      <c r="J1559" s="35" t="s">
        <v>9142</v>
      </c>
      <c r="K1559" s="27" t="s">
        <v>50</v>
      </c>
      <c r="L1559" s="13" t="s">
        <v>9143</v>
      </c>
      <c r="M1559" s="26" t="str">
        <f>VLOOKUP(E1559,'MTS 2026 registrations'!B:B,1,false)</f>
        <v>#N/A</v>
      </c>
      <c r="N1559" s="26" t="str">
        <f>VLOOKUP(B1559,'MTS 2026 registrations'!A:A,1,false)</f>
        <v>#N/A</v>
      </c>
      <c r="O1559" s="38" t="str">
        <f t="shared" si="12"/>
        <v>Marked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</row>
    <row r="1560" ht="12.75" customHeight="1">
      <c r="A1560" s="19" t="str">
        <f t="shared" si="10"/>
        <v>Thijs Blad MEMSYS</v>
      </c>
      <c r="B1560" s="19" t="s">
        <v>9144</v>
      </c>
      <c r="C1560" s="20" t="s">
        <v>1086</v>
      </c>
      <c r="D1560" s="20" t="s">
        <v>9145</v>
      </c>
      <c r="E1560" s="128" t="s">
        <v>9146</v>
      </c>
      <c r="F1560" s="50" t="s">
        <v>7924</v>
      </c>
      <c r="G1560" s="32" t="s">
        <v>46</v>
      </c>
      <c r="H1560" s="25" t="s">
        <v>47</v>
      </c>
      <c r="I1560" s="34"/>
      <c r="J1560" s="35" t="s">
        <v>9147</v>
      </c>
      <c r="K1560" s="27" t="s">
        <v>50</v>
      </c>
      <c r="L1560" s="13" t="s">
        <v>9148</v>
      </c>
      <c r="M1560" s="26" t="str">
        <f>VLOOKUP(E1560,'MTS 2026 registrations'!B:B,1,false)</f>
        <v>#N/A</v>
      </c>
      <c r="N1560" s="26" t="str">
        <f>VLOOKUP(B1560,'MTS 2026 registrations'!A:A,1,false)</f>
        <v>#N/A</v>
      </c>
      <c r="O1560" s="38" t="str">
        <f t="shared" si="12"/>
        <v>Marked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</row>
    <row r="1561" ht="12.75" customHeight="1">
      <c r="A1561" s="19" t="str">
        <f t="shared" si="10"/>
        <v>Thijs de Vries warp.industries</v>
      </c>
      <c r="B1561" s="19" t="s">
        <v>9149</v>
      </c>
      <c r="C1561" s="20" t="s">
        <v>1086</v>
      </c>
      <c r="D1561" s="20" t="s">
        <v>105</v>
      </c>
      <c r="E1561" s="21" t="s">
        <v>9150</v>
      </c>
      <c r="F1561" s="23" t="s">
        <v>3102</v>
      </c>
      <c r="G1561" s="32" t="s">
        <v>46</v>
      </c>
      <c r="H1561" s="25" t="s">
        <v>47</v>
      </c>
      <c r="I1561" s="26"/>
      <c r="J1561" s="35" t="s">
        <v>9151</v>
      </c>
      <c r="K1561" s="27" t="s">
        <v>50</v>
      </c>
      <c r="L1561" s="13" t="s">
        <v>9152</v>
      </c>
      <c r="M1561" s="26" t="str">
        <f>VLOOKUP(E1561,'MTS 2026 registrations'!B:B,1,false)</f>
        <v>#N/A</v>
      </c>
      <c r="N1561" s="26" t="str">
        <f>VLOOKUP(B1561,'MTS 2026 registrations'!A:A,1,false)</f>
        <v>#N/A</v>
      </c>
      <c r="O1561" s="38" t="str">
        <f t="shared" si="12"/>
        <v>Marked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</row>
    <row r="1562" ht="12.75" customHeight="1">
      <c r="A1562" s="19" t="str">
        <f t="shared" si="10"/>
        <v>Thijs Vries Warp VR</v>
      </c>
      <c r="B1562" s="19" t="s">
        <v>9153</v>
      </c>
      <c r="C1562" s="29" t="s">
        <v>1086</v>
      </c>
      <c r="D1562" s="29" t="s">
        <v>9154</v>
      </c>
      <c r="E1562" s="31" t="s">
        <v>9155</v>
      </c>
      <c r="F1562" s="33" t="s">
        <v>9156</v>
      </c>
      <c r="G1562" s="32" t="s">
        <v>46</v>
      </c>
      <c r="H1562" s="25" t="s">
        <v>47</v>
      </c>
      <c r="I1562" s="34"/>
      <c r="J1562" s="35" t="s">
        <v>9157</v>
      </c>
      <c r="K1562" s="27" t="s">
        <v>50</v>
      </c>
      <c r="L1562" s="13" t="s">
        <v>9158</v>
      </c>
      <c r="M1562" s="26" t="str">
        <f>VLOOKUP(E1562,'MTS 2026 registrations'!B:B,1,false)</f>
        <v>#N/A</v>
      </c>
      <c r="N1562" s="26" t="str">
        <f>VLOOKUP(B1562,'MTS 2026 registrations'!A:A,1,false)</f>
        <v>#N/A</v>
      </c>
      <c r="O1562" s="38" t="str">
        <f t="shared" si="12"/>
        <v>Marked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</row>
    <row r="1563" ht="12.75" customHeight="1">
      <c r="A1563" s="19" t="str">
        <f t="shared" si="10"/>
        <v>Thijs Schaap noaber</v>
      </c>
      <c r="B1563" s="19" t="s">
        <v>9159</v>
      </c>
      <c r="C1563" s="20" t="s">
        <v>1086</v>
      </c>
      <c r="D1563" s="20" t="s">
        <v>5725</v>
      </c>
      <c r="E1563" s="21" t="s">
        <v>9160</v>
      </c>
      <c r="F1563" s="23" t="s">
        <v>8459</v>
      </c>
      <c r="G1563" s="24" t="s">
        <v>163</v>
      </c>
      <c r="H1563" s="25" t="s">
        <v>164</v>
      </c>
      <c r="I1563" s="34"/>
      <c r="J1563" s="35" t="s">
        <v>9161</v>
      </c>
      <c r="K1563" s="27" t="s">
        <v>50</v>
      </c>
      <c r="L1563" s="13" t="s">
        <v>9162</v>
      </c>
      <c r="M1563" s="26" t="str">
        <f>VLOOKUP(E1563,'MTS 2026 registrations'!B:B,1,false)</f>
        <v>#N/A</v>
      </c>
      <c r="N1563" s="26" t="str">
        <f>VLOOKUP(B1563,'MTS 2026 registrations'!A:A,1,false)</f>
        <v>#N/A</v>
      </c>
      <c r="O1563" s="38" t="str">
        <f t="shared" si="12"/>
        <v>Marked</v>
      </c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</row>
    <row r="1564" ht="12.75" customHeight="1">
      <c r="A1564" s="19" t="str">
        <f t="shared" si="10"/>
        <v>Thijs Dijkman peak</v>
      </c>
      <c r="B1564" s="19" t="s">
        <v>9163</v>
      </c>
      <c r="C1564" s="72" t="s">
        <v>9164</v>
      </c>
      <c r="D1564" s="72" t="s">
        <v>9165</v>
      </c>
      <c r="E1564" s="30" t="s">
        <v>9166</v>
      </c>
      <c r="F1564" s="29" t="s">
        <v>9167</v>
      </c>
      <c r="G1564" s="32" t="s">
        <v>1306</v>
      </c>
      <c r="H1564" s="13" t="s">
        <v>45</v>
      </c>
      <c r="I1564" s="34"/>
      <c r="J1564" s="35" t="s">
        <v>9168</v>
      </c>
      <c r="K1564" s="27" t="s">
        <v>50</v>
      </c>
      <c r="L1564" s="13" t="s">
        <v>9169</v>
      </c>
      <c r="M1564" s="26" t="str">
        <f>VLOOKUP(E1564,'MTS 2026 registrations'!B:B,1,false)</f>
        <v>#N/A</v>
      </c>
      <c r="N1564" s="26" t="str">
        <f>VLOOKUP(B1564,'MTS 2026 registrations'!A:A,1,false)</f>
        <v>#N/A</v>
      </c>
      <c r="O1564" s="38" t="str">
        <f t="shared" si="12"/>
        <v>Marked</v>
      </c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</row>
    <row r="1565" ht="12.75" customHeight="1">
      <c r="A1565" s="19" t="str">
        <f t="shared" si="10"/>
        <v>Thom Rasche earlybird</v>
      </c>
      <c r="B1565" s="19" t="s">
        <v>9170</v>
      </c>
      <c r="C1565" s="20" t="s">
        <v>9171</v>
      </c>
      <c r="D1565" s="20" t="s">
        <v>9172</v>
      </c>
      <c r="E1565" s="21" t="s">
        <v>9173</v>
      </c>
      <c r="F1565" s="23" t="s">
        <v>9174</v>
      </c>
      <c r="G1565" s="24" t="s">
        <v>163</v>
      </c>
      <c r="H1565" s="25" t="s">
        <v>164</v>
      </c>
      <c r="I1565" s="34"/>
      <c r="J1565" s="35" t="s">
        <v>9175</v>
      </c>
      <c r="K1565" s="27" t="s">
        <v>50</v>
      </c>
      <c r="L1565" s="13" t="s">
        <v>9176</v>
      </c>
      <c r="M1565" s="26" t="str">
        <f>VLOOKUP(E1565,'MTS 2026 registrations'!B:B,1,false)</f>
        <v>#N/A</v>
      </c>
      <c r="N1565" s="26" t="str">
        <f>VLOOKUP(B1565,'MTS 2026 registrations'!A:A,1,false)</f>
        <v>#N/A</v>
      </c>
      <c r="O1565" s="38" t="str">
        <f t="shared" si="12"/>
        <v>Marked</v>
      </c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</row>
    <row r="1566">
      <c r="A1566" s="19" t="str">
        <f t="shared" si="10"/>
        <v>Thom van den Homberg shoresystems</v>
      </c>
      <c r="B1566" s="19" t="s">
        <v>9177</v>
      </c>
      <c r="C1566" s="53" t="s">
        <v>9171</v>
      </c>
      <c r="D1566" s="53" t="s">
        <v>9178</v>
      </c>
      <c r="E1566" s="88" t="s">
        <v>9179</v>
      </c>
      <c r="F1566" s="28" t="s">
        <v>4943</v>
      </c>
      <c r="G1566" s="219" t="s">
        <v>46</v>
      </c>
      <c r="H1566" s="25" t="s">
        <v>47</v>
      </c>
      <c r="J1566" s="35" t="s">
        <v>9180</v>
      </c>
      <c r="K1566" s="27" t="s">
        <v>50</v>
      </c>
      <c r="L1566" s="13" t="s">
        <v>9181</v>
      </c>
      <c r="M1566" s="26" t="str">
        <f>VLOOKUP(E1566,'MTS 2026 registrations'!B:B,1,false)</f>
        <v>#N/A</v>
      </c>
      <c r="N1566" s="26" t="str">
        <f>VLOOKUP(B1566,'MTS 2026 registrations'!A:A,1,false)</f>
        <v>#N/A</v>
      </c>
      <c r="O1566" s="38" t="str">
        <f t="shared" si="12"/>
        <v>Marked</v>
      </c>
    </row>
    <row r="1567" ht="12.75" customHeight="1">
      <c r="A1567" s="19" t="str">
        <f t="shared" si="10"/>
        <v>Thomas Dohmen luris</v>
      </c>
      <c r="B1567" s="19" t="s">
        <v>9182</v>
      </c>
      <c r="C1567" s="193" t="s">
        <v>1097</v>
      </c>
      <c r="D1567" s="193" t="s">
        <v>9183</v>
      </c>
      <c r="E1567" s="62" t="s">
        <v>9184</v>
      </c>
      <c r="F1567" s="209" t="s">
        <v>9185</v>
      </c>
      <c r="G1567" s="24" t="s">
        <v>3432</v>
      </c>
      <c r="H1567" s="110" t="s">
        <v>139</v>
      </c>
      <c r="J1567" s="35" t="s">
        <v>9186</v>
      </c>
      <c r="K1567" s="27" t="s">
        <v>50</v>
      </c>
      <c r="L1567" s="13" t="s">
        <v>9187</v>
      </c>
      <c r="M1567" s="26" t="str">
        <f>VLOOKUP(E1567,'MTS 2026 registrations'!B:B,1,false)</f>
        <v>#N/A</v>
      </c>
      <c r="N1567" s="26" t="str">
        <f>VLOOKUP(B1567,'MTS 2026 registrations'!A:A,1,false)</f>
        <v>#N/A</v>
      </c>
      <c r="O1567" s="38" t="str">
        <f t="shared" si="12"/>
        <v>Marked</v>
      </c>
    </row>
    <row r="1568" ht="12.75" customHeight="1">
      <c r="A1568" s="19" t="str">
        <f t="shared" si="10"/>
        <v>Thomas Oomens Breeze Social</v>
      </c>
      <c r="B1568" s="19" t="s">
        <v>9188</v>
      </c>
      <c r="C1568" s="29" t="s">
        <v>1097</v>
      </c>
      <c r="D1568" s="121" t="s">
        <v>9189</v>
      </c>
      <c r="E1568" s="31" t="s">
        <v>9190</v>
      </c>
      <c r="F1568" s="210" t="s">
        <v>4092</v>
      </c>
      <c r="G1568" s="24" t="s">
        <v>46</v>
      </c>
      <c r="H1568" s="25" t="s">
        <v>47</v>
      </c>
      <c r="J1568" s="35" t="s">
        <v>9191</v>
      </c>
      <c r="K1568" s="27" t="s">
        <v>50</v>
      </c>
      <c r="L1568" s="7" t="s">
        <v>9192</v>
      </c>
      <c r="M1568" s="26" t="str">
        <f>VLOOKUP(E1568,'MTS 2026 registrations'!B:B,1,false)</f>
        <v>#N/A</v>
      </c>
      <c r="N1568" s="26" t="str">
        <f>VLOOKUP(B1568,'MTS 2026 registrations'!A:A,1,false)</f>
        <v>#N/A</v>
      </c>
      <c r="O1568" s="38" t="str">
        <f t="shared" si="12"/>
        <v>Marked</v>
      </c>
    </row>
    <row r="1569" ht="12.75" customHeight="1">
      <c r="A1569" s="19" t="str">
        <f t="shared" si="10"/>
        <v>Thomas van Dijk antoniusziekenhuis</v>
      </c>
      <c r="B1569" s="19" t="s">
        <v>9193</v>
      </c>
      <c r="C1569" s="124" t="s">
        <v>1097</v>
      </c>
      <c r="D1569" s="124" t="s">
        <v>830</v>
      </c>
      <c r="E1569" s="140" t="s">
        <v>9194</v>
      </c>
      <c r="F1569" s="121" t="s">
        <v>602</v>
      </c>
      <c r="G1569" s="32" t="s">
        <v>56</v>
      </c>
      <c r="H1569" s="13" t="s">
        <v>45</v>
      </c>
      <c r="J1569" s="35" t="s">
        <v>9195</v>
      </c>
      <c r="K1569" s="27" t="s">
        <v>50</v>
      </c>
      <c r="L1569" s="13" t="s">
        <v>9196</v>
      </c>
      <c r="M1569" s="26" t="str">
        <f>VLOOKUP(E1569,'MTS 2026 registrations'!B:B,1,false)</f>
        <v>#N/A</v>
      </c>
      <c r="N1569" s="26" t="str">
        <f>VLOOKUP(B1569,'MTS 2026 registrations'!A:A,1,false)</f>
        <v>#N/A</v>
      </c>
      <c r="O1569" s="38" t="str">
        <f t="shared" si="12"/>
        <v>Marked</v>
      </c>
    </row>
    <row r="1570" ht="12.75" customHeight="1">
      <c r="A1570" s="19" t="str">
        <f t="shared" si="10"/>
        <v>Thomas Liebrand Lignitec</v>
      </c>
      <c r="B1570" s="19" t="s">
        <v>9197</v>
      </c>
      <c r="C1570" s="121" t="s">
        <v>1097</v>
      </c>
      <c r="D1570" s="121" t="s">
        <v>9198</v>
      </c>
      <c r="E1570" s="105" t="s">
        <v>9199</v>
      </c>
      <c r="F1570" s="220" t="s">
        <v>9200</v>
      </c>
      <c r="G1570" s="32" t="s">
        <v>46</v>
      </c>
      <c r="H1570" s="25" t="s">
        <v>47</v>
      </c>
      <c r="J1570" s="35" t="s">
        <v>9201</v>
      </c>
      <c r="K1570" s="27" t="s">
        <v>50</v>
      </c>
      <c r="L1570" s="7" t="s">
        <v>9202</v>
      </c>
      <c r="M1570" s="26" t="str">
        <f>VLOOKUP(E1570,'MTS 2026 registrations'!B:B,1,false)</f>
        <v>#N/A</v>
      </c>
      <c r="N1570" s="26" t="str">
        <f>VLOOKUP(B1570,'MTS 2026 registrations'!A:A,1,false)</f>
        <v>#N/A</v>
      </c>
      <c r="O1570" s="38" t="str">
        <f t="shared" si="12"/>
        <v>Marked</v>
      </c>
    </row>
    <row r="1571" ht="12.75" customHeight="1">
      <c r="A1571" s="19" t="str">
        <f t="shared" si="10"/>
        <v>Thomas Schiet flux furniture</v>
      </c>
      <c r="B1571" s="19" t="s">
        <v>9203</v>
      </c>
      <c r="C1571" s="121" t="s">
        <v>1097</v>
      </c>
      <c r="D1571" s="121" t="s">
        <v>9204</v>
      </c>
      <c r="E1571" s="105" t="s">
        <v>9205</v>
      </c>
      <c r="F1571" s="210" t="s">
        <v>9206</v>
      </c>
      <c r="G1571" s="24" t="s">
        <v>46</v>
      </c>
      <c r="H1571" s="25" t="s">
        <v>47</v>
      </c>
      <c r="J1571" s="35" t="s">
        <v>9207</v>
      </c>
      <c r="K1571" s="27" t="s">
        <v>50</v>
      </c>
      <c r="L1571" s="7" t="s">
        <v>9208</v>
      </c>
      <c r="M1571" s="26" t="str">
        <f>VLOOKUP(E1571,'MTS 2026 registrations'!B:B,1,false)</f>
        <v>#N/A</v>
      </c>
      <c r="N1571" s="26" t="str">
        <f>VLOOKUP(B1571,'MTS 2026 registrations'!A:A,1,false)</f>
        <v>#N/A</v>
      </c>
      <c r="O1571" s="38" t="str">
        <f t="shared" si="12"/>
        <v>Marked</v>
      </c>
    </row>
    <row r="1572" ht="12.75" customHeight="1">
      <c r="A1572" s="19" t="str">
        <f t="shared" si="10"/>
        <v>Thomas Klem Andersen deeptechalliance</v>
      </c>
      <c r="B1572" s="19" t="s">
        <v>9209</v>
      </c>
      <c r="C1572" s="121" t="s">
        <v>1097</v>
      </c>
      <c r="D1572" s="121" t="s">
        <v>9210</v>
      </c>
      <c r="E1572" s="140" t="s">
        <v>9211</v>
      </c>
      <c r="F1572" s="121" t="s">
        <v>9212</v>
      </c>
      <c r="G1572" s="32" t="s">
        <v>46</v>
      </c>
      <c r="H1572" s="13" t="s">
        <v>213</v>
      </c>
      <c r="J1572" s="35" t="s">
        <v>9213</v>
      </c>
      <c r="K1572" s="27" t="s">
        <v>50</v>
      </c>
      <c r="L1572" s="7" t="s">
        <v>9214</v>
      </c>
      <c r="M1572" s="26" t="str">
        <f>VLOOKUP(E1572,'MTS 2026 registrations'!B:B,1,false)</f>
        <v>#N/A</v>
      </c>
      <c r="N1572" s="26" t="str">
        <f>VLOOKUP(B1572,'MTS 2026 registrations'!A:A,1,false)</f>
        <v>#N/A</v>
      </c>
      <c r="O1572" s="38" t="str">
        <f t="shared" si="12"/>
        <v>Marked</v>
      </c>
    </row>
    <row r="1573" ht="12.75" customHeight="1">
      <c r="A1573" s="19" t="str">
        <f t="shared" si="10"/>
        <v>Thomas van den Groenendaal evening-breeze</v>
      </c>
      <c r="B1573" s="19" t="s">
        <v>9215</v>
      </c>
      <c r="C1573" s="53" t="s">
        <v>1097</v>
      </c>
      <c r="D1573" s="53" t="s">
        <v>9216</v>
      </c>
      <c r="E1573" s="88" t="s">
        <v>9217</v>
      </c>
      <c r="F1573" s="28" t="s">
        <v>9218</v>
      </c>
      <c r="G1573" s="32" t="s">
        <v>46</v>
      </c>
      <c r="H1573" s="25" t="s">
        <v>47</v>
      </c>
      <c r="J1573" s="35" t="s">
        <v>9219</v>
      </c>
      <c r="K1573" s="27" t="s">
        <v>50</v>
      </c>
      <c r="L1573" s="13" t="s">
        <v>9220</v>
      </c>
      <c r="M1573" s="26" t="str">
        <f>VLOOKUP(E1573,'MTS 2026 registrations'!B:B,1,false)</f>
        <v>#N/A</v>
      </c>
      <c r="N1573" s="26" t="str">
        <f>VLOOKUP(B1573,'MTS 2026 registrations'!A:A,1,false)</f>
        <v>#N/A</v>
      </c>
      <c r="O1573" s="38" t="str">
        <f t="shared" si="12"/>
        <v>Marked</v>
      </c>
    </row>
    <row r="1574" ht="12.75" customHeight="1">
      <c r="A1574" s="19" t="str">
        <f t="shared" si="10"/>
        <v>Thomas Mensink goldeneggcheck</v>
      </c>
      <c r="B1574" s="19" t="s">
        <v>9221</v>
      </c>
      <c r="C1574" s="53" t="s">
        <v>1097</v>
      </c>
      <c r="D1574" s="53" t="s">
        <v>7381</v>
      </c>
      <c r="E1574" s="88" t="s">
        <v>9222</v>
      </c>
      <c r="F1574" s="28" t="s">
        <v>9223</v>
      </c>
      <c r="G1574" s="24" t="s">
        <v>163</v>
      </c>
      <c r="H1574" s="25" t="s">
        <v>164</v>
      </c>
      <c r="J1574" s="35" t="s">
        <v>9224</v>
      </c>
      <c r="K1574" s="27" t="s">
        <v>50</v>
      </c>
      <c r="L1574" s="13" t="s">
        <v>9225</v>
      </c>
      <c r="M1574" s="26" t="str">
        <f>VLOOKUP(E1574,'MTS 2026 registrations'!B:B,1,false)</f>
        <v>#N/A</v>
      </c>
      <c r="N1574" s="26" t="str">
        <f>VLOOKUP(B1574,'MTS 2026 registrations'!A:A,1,false)</f>
        <v>#N/A</v>
      </c>
      <c r="O1574" s="38" t="str">
        <f t="shared" si="12"/>
        <v>Marked</v>
      </c>
    </row>
    <row r="1575" ht="12.75" customHeight="1">
      <c r="A1575" s="19" t="str">
        <f t="shared" si="10"/>
        <v>Thomas Calis </v>
      </c>
      <c r="B1575" s="19" t="s">
        <v>9226</v>
      </c>
      <c r="C1575" s="221" t="s">
        <v>1117</v>
      </c>
      <c r="D1575" s="221" t="s">
        <v>9227</v>
      </c>
      <c r="E1575" s="191" t="s">
        <v>9228</v>
      </c>
      <c r="F1575" s="207"/>
      <c r="G1575" s="24" t="s">
        <v>225</v>
      </c>
      <c r="H1575" s="25" t="s">
        <v>47</v>
      </c>
      <c r="I1575" s="96"/>
      <c r="J1575" s="35" t="s">
        <v>9229</v>
      </c>
      <c r="K1575" s="27" t="s">
        <v>50</v>
      </c>
      <c r="L1575" s="7" t="s">
        <v>9230</v>
      </c>
      <c r="M1575" s="26" t="str">
        <f>VLOOKUP(E1575,'MTS 2026 registrations'!B:B,1,false)</f>
        <v>#N/A</v>
      </c>
      <c r="N1575" s="26" t="str">
        <f>VLOOKUP(B1575,'MTS 2026 registrations'!A:A,1,false)</f>
        <v>#N/A</v>
      </c>
      <c r="O1575" s="38" t="str">
        <f t="shared" si="12"/>
        <v>Marked</v>
      </c>
    </row>
    <row r="1576" ht="12.75" customHeight="1">
      <c r="A1576" s="19" t="str">
        <f t="shared" si="10"/>
        <v>Thong Le Hoang visionariesclub</v>
      </c>
      <c r="B1576" s="19" t="s">
        <v>9231</v>
      </c>
      <c r="C1576" s="53" t="s">
        <v>9232</v>
      </c>
      <c r="D1576" s="53" t="s">
        <v>9233</v>
      </c>
      <c r="E1576" s="88" t="s">
        <v>9234</v>
      </c>
      <c r="F1576" s="28" t="s">
        <v>5490</v>
      </c>
      <c r="G1576" s="24" t="s">
        <v>163</v>
      </c>
      <c r="H1576" s="25" t="s">
        <v>164</v>
      </c>
      <c r="I1576" s="96"/>
      <c r="J1576" s="35" t="s">
        <v>9235</v>
      </c>
      <c r="K1576" s="27" t="s">
        <v>50</v>
      </c>
      <c r="L1576" s="13" t="s">
        <v>9236</v>
      </c>
      <c r="M1576" s="26" t="str">
        <f>VLOOKUP(E1576,'MTS 2026 registrations'!B:B,1,false)</f>
        <v>#N/A</v>
      </c>
      <c r="N1576" s="26" t="str">
        <f>VLOOKUP(B1576,'MTS 2026 registrations'!A:A,1,false)</f>
        <v>#N/A</v>
      </c>
      <c r="O1576" s="38" t="str">
        <f t="shared" si="12"/>
        <v>Marked</v>
      </c>
    </row>
    <row r="1577" ht="12.75" customHeight="1">
      <c r="A1577" s="19" t="str">
        <f t="shared" si="10"/>
        <v>Thore Vogel Leanox</v>
      </c>
      <c r="B1577" s="19" t="s">
        <v>9237</v>
      </c>
      <c r="C1577" s="222" t="s">
        <v>9238</v>
      </c>
      <c r="D1577" s="222" t="s">
        <v>6466</v>
      </c>
      <c r="E1577" s="223" t="s">
        <v>9239</v>
      </c>
      <c r="F1577" s="206" t="s">
        <v>9240</v>
      </c>
      <c r="G1577" s="42" t="s">
        <v>163</v>
      </c>
      <c r="H1577" s="25" t="s">
        <v>164</v>
      </c>
      <c r="J1577" s="35" t="s">
        <v>9241</v>
      </c>
      <c r="K1577" s="27" t="s">
        <v>50</v>
      </c>
      <c r="L1577" s="13" t="s">
        <v>9242</v>
      </c>
      <c r="M1577" s="26" t="str">
        <f>VLOOKUP(E1577,'MTS 2026 registrations'!B:B,1,false)</f>
        <v>#N/A</v>
      </c>
      <c r="N1577" s="26" t="str">
        <f>VLOOKUP(B1577,'MTS 2026 registrations'!A:A,1,false)</f>
        <v>#N/A</v>
      </c>
      <c r="O1577" s="38" t="str">
        <f t="shared" si="12"/>
        <v>Marked</v>
      </c>
    </row>
    <row r="1578" ht="12.75" customHeight="1">
      <c r="A1578" s="19" t="str">
        <f t="shared" si="10"/>
        <v>Tienko Rasker leapfunder</v>
      </c>
      <c r="B1578" s="19" t="s">
        <v>9243</v>
      </c>
      <c r="C1578" s="53" t="s">
        <v>9244</v>
      </c>
      <c r="D1578" s="53" t="s">
        <v>9245</v>
      </c>
      <c r="E1578" s="88" t="s">
        <v>9246</v>
      </c>
      <c r="F1578" s="28" t="s">
        <v>4214</v>
      </c>
      <c r="G1578" s="24" t="s">
        <v>163</v>
      </c>
      <c r="H1578" s="25" t="s">
        <v>164</v>
      </c>
      <c r="J1578" s="35" t="s">
        <v>9247</v>
      </c>
      <c r="K1578" s="27" t="s">
        <v>50</v>
      </c>
      <c r="L1578" s="13" t="s">
        <v>9248</v>
      </c>
      <c r="M1578" s="26" t="str">
        <f>VLOOKUP(E1578,'MTS 2026 registrations'!B:B,1,false)</f>
        <v>#N/A</v>
      </c>
      <c r="N1578" s="26" t="str">
        <f>VLOOKUP(B1578,'MTS 2026 registrations'!A:A,1,false)</f>
        <v>#N/A</v>
      </c>
      <c r="O1578" s="38" t="str">
        <f t="shared" si="12"/>
        <v>Marked</v>
      </c>
    </row>
    <row r="1579" ht="12.75" customHeight="1">
      <c r="A1579" s="19" t="str">
        <f t="shared" si="10"/>
        <v>Ties van der Heijden pythia-energy</v>
      </c>
      <c r="B1579" s="19" t="s">
        <v>9249</v>
      </c>
      <c r="C1579" s="53" t="s">
        <v>9250</v>
      </c>
      <c r="D1579" s="53" t="s">
        <v>8391</v>
      </c>
      <c r="E1579" s="224" t="s">
        <v>9251</v>
      </c>
      <c r="F1579" s="28" t="s">
        <v>6090</v>
      </c>
      <c r="G1579" s="32" t="s">
        <v>46</v>
      </c>
      <c r="H1579" s="25" t="s">
        <v>47</v>
      </c>
      <c r="J1579" s="35" t="s">
        <v>9252</v>
      </c>
      <c r="K1579" s="27" t="s">
        <v>50</v>
      </c>
      <c r="L1579" s="13" t="s">
        <v>9253</v>
      </c>
      <c r="M1579" s="26" t="str">
        <f>VLOOKUP(E1579,'MTS 2026 registrations'!B:B,1,false)</f>
        <v>#N/A</v>
      </c>
      <c r="N1579" s="26" t="str">
        <f>VLOOKUP(B1579,'MTS 2026 registrations'!A:A,1,false)</f>
        <v>#N/A</v>
      </c>
      <c r="O1579" s="38" t="str">
        <f t="shared" si="12"/>
        <v>Marked</v>
      </c>
    </row>
    <row r="1580" ht="12.75" customHeight="1">
      <c r="A1580" s="19" t="str">
        <f t="shared" si="10"/>
        <v>Tijmen de Jong tarnoc</v>
      </c>
      <c r="B1580" s="19" t="s">
        <v>9254</v>
      </c>
      <c r="C1580" s="53" t="s">
        <v>9255</v>
      </c>
      <c r="D1580" s="53" t="s">
        <v>2009</v>
      </c>
      <c r="E1580" s="88" t="s">
        <v>9256</v>
      </c>
      <c r="F1580" s="28" t="s">
        <v>3003</v>
      </c>
      <c r="G1580" s="32" t="s">
        <v>46</v>
      </c>
      <c r="H1580" s="25" t="s">
        <v>47</v>
      </c>
      <c r="J1580" s="35" t="s">
        <v>9257</v>
      </c>
      <c r="K1580" s="27" t="s">
        <v>50</v>
      </c>
      <c r="L1580" s="13" t="s">
        <v>9258</v>
      </c>
      <c r="M1580" s="26" t="str">
        <f>VLOOKUP(E1580,'MTS 2026 registrations'!B:B,1,false)</f>
        <v>tijmen@tarnoc.nl</v>
      </c>
      <c r="N1580" s="26" t="str">
        <f>VLOOKUP(B1580,'MTS 2026 registrations'!A:A,1,false)</f>
        <v>Tijmen de Jong</v>
      </c>
      <c r="O1580" s="38" t="str">
        <f t="shared" si="12"/>
        <v/>
      </c>
    </row>
    <row r="1581" ht="12.75" customHeight="1">
      <c r="A1581" s="19" t="str">
        <f t="shared" si="10"/>
        <v>Tijs Koops topsector-ict</v>
      </c>
      <c r="B1581" s="19" t="s">
        <v>9259</v>
      </c>
      <c r="C1581" s="124" t="s">
        <v>9260</v>
      </c>
      <c r="D1581" s="124" t="s">
        <v>9261</v>
      </c>
      <c r="E1581" s="140" t="s">
        <v>9262</v>
      </c>
      <c r="F1581" s="121" t="s">
        <v>9263</v>
      </c>
      <c r="G1581" s="32" t="s">
        <v>323</v>
      </c>
      <c r="H1581" s="13" t="s">
        <v>45</v>
      </c>
      <c r="J1581" s="35" t="s">
        <v>9264</v>
      </c>
      <c r="K1581" s="27" t="s">
        <v>50</v>
      </c>
      <c r="L1581" s="13" t="s">
        <v>9265</v>
      </c>
      <c r="M1581" s="26" t="str">
        <f>VLOOKUP(E1581,'MTS 2026 registrations'!B:B,1,false)</f>
        <v>#N/A</v>
      </c>
      <c r="N1581" s="26" t="str">
        <f>VLOOKUP(B1581,'MTS 2026 registrations'!A:A,1,false)</f>
        <v>#N/A</v>
      </c>
      <c r="O1581" s="38" t="str">
        <f t="shared" si="12"/>
        <v>Marked</v>
      </c>
    </row>
    <row r="1582" ht="12.75" customHeight="1">
      <c r="A1582" s="19" t="str">
        <f t="shared" si="10"/>
        <v>Tim Horeman medishielddelft</v>
      </c>
      <c r="B1582" s="19" t="s">
        <v>9266</v>
      </c>
      <c r="C1582" s="53" t="s">
        <v>1122</v>
      </c>
      <c r="D1582" s="53" t="s">
        <v>9267</v>
      </c>
      <c r="E1582" s="225" t="s">
        <v>9268</v>
      </c>
      <c r="F1582" s="28" t="s">
        <v>9269</v>
      </c>
      <c r="G1582" s="32" t="s">
        <v>46</v>
      </c>
      <c r="H1582" s="25" t="s">
        <v>47</v>
      </c>
      <c r="J1582" s="35" t="s">
        <v>9270</v>
      </c>
      <c r="K1582" s="27" t="s">
        <v>50</v>
      </c>
      <c r="L1582" s="13" t="s">
        <v>9271</v>
      </c>
      <c r="M1582" s="26" t="str">
        <f>VLOOKUP(E1582,'MTS 2026 registrations'!B:B,1,false)</f>
        <v>#N/A</v>
      </c>
      <c r="N1582" s="26" t="str">
        <f>VLOOKUP(B1582,'MTS 2026 registrations'!A:A,1,false)</f>
        <v>#N/A</v>
      </c>
      <c r="O1582" s="38" t="str">
        <f t="shared" si="12"/>
        <v>Marked</v>
      </c>
    </row>
    <row r="1583" ht="12.75" customHeight="1">
      <c r="A1583" s="19" t="str">
        <f t="shared" si="10"/>
        <v>Tim Houter hardt.global</v>
      </c>
      <c r="B1583" s="19" t="s">
        <v>9272</v>
      </c>
      <c r="C1583" s="53" t="s">
        <v>1122</v>
      </c>
      <c r="D1583" s="53" t="s">
        <v>9273</v>
      </c>
      <c r="E1583" s="88" t="s">
        <v>9274</v>
      </c>
      <c r="F1583" s="28" t="s">
        <v>9275</v>
      </c>
      <c r="G1583" s="32" t="s">
        <v>46</v>
      </c>
      <c r="H1583" s="25" t="s">
        <v>47</v>
      </c>
      <c r="J1583" s="35" t="s">
        <v>9276</v>
      </c>
      <c r="K1583" s="27" t="s">
        <v>50</v>
      </c>
      <c r="L1583" s="13" t="s">
        <v>9277</v>
      </c>
      <c r="M1583" s="26" t="str">
        <f>VLOOKUP(E1583,'MTS 2026 registrations'!B:B,1,false)</f>
        <v>#N/A</v>
      </c>
      <c r="N1583" s="26" t="str">
        <f>VLOOKUP(B1583,'MTS 2026 registrations'!A:A,1,false)</f>
        <v>#N/A</v>
      </c>
      <c r="O1583" s="38" t="str">
        <f t="shared" si="12"/>
        <v>Marked</v>
      </c>
    </row>
    <row r="1584" ht="12.75" customHeight="1">
      <c r="A1584" s="19" t="str">
        <f t="shared" si="10"/>
        <v>Tim Bruines sensible.health</v>
      </c>
      <c r="B1584" s="19" t="s">
        <v>9278</v>
      </c>
      <c r="C1584" s="53" t="s">
        <v>1122</v>
      </c>
      <c r="D1584" s="53" t="s">
        <v>9279</v>
      </c>
      <c r="E1584" s="88" t="s">
        <v>9280</v>
      </c>
      <c r="F1584" s="28" t="s">
        <v>9281</v>
      </c>
      <c r="G1584" s="32" t="s">
        <v>46</v>
      </c>
      <c r="H1584" s="25" t="s">
        <v>47</v>
      </c>
      <c r="J1584" s="35" t="s">
        <v>9282</v>
      </c>
      <c r="K1584" s="27" t="s">
        <v>50</v>
      </c>
      <c r="L1584" s="13" t="s">
        <v>9283</v>
      </c>
      <c r="M1584" s="26" t="str">
        <f>VLOOKUP(E1584,'MTS 2026 registrations'!B:B,1,false)</f>
        <v>tim@sensible.health</v>
      </c>
      <c r="N1584" s="26" t="str">
        <f>VLOOKUP(B1584,'MTS 2026 registrations'!A:A,1,false)</f>
        <v>Tim Bruines</v>
      </c>
      <c r="O1584" s="38" t="str">
        <f t="shared" si="12"/>
        <v/>
      </c>
    </row>
    <row r="1585" ht="12.75" customHeight="1">
      <c r="A1585" s="19" t="str">
        <f t="shared" si="10"/>
        <v>Tim Laverty microsoft</v>
      </c>
      <c r="B1585" s="19" t="s">
        <v>9284</v>
      </c>
      <c r="C1585" s="53" t="s">
        <v>1122</v>
      </c>
      <c r="D1585" s="53" t="s">
        <v>9285</v>
      </c>
      <c r="E1585" s="88" t="s">
        <v>9286</v>
      </c>
      <c r="F1585" s="28" t="s">
        <v>9287</v>
      </c>
      <c r="G1585" s="24" t="s">
        <v>163</v>
      </c>
      <c r="H1585" s="25" t="s">
        <v>164</v>
      </c>
      <c r="J1585" s="35" t="s">
        <v>9288</v>
      </c>
      <c r="K1585" s="27" t="s">
        <v>50</v>
      </c>
      <c r="L1585" s="13" t="s">
        <v>9289</v>
      </c>
      <c r="M1585" s="26" t="str">
        <f>VLOOKUP(E1585,'MTS 2026 registrations'!B:B,1,false)</f>
        <v>#N/A</v>
      </c>
      <c r="N1585" s="26" t="str">
        <f>VLOOKUP(B1585,'MTS 2026 registrations'!A:A,1,false)</f>
        <v>#N/A</v>
      </c>
      <c r="O1585" s="38" t="str">
        <f t="shared" si="12"/>
        <v>Marked</v>
      </c>
    </row>
    <row r="1586" ht="12.75" customHeight="1">
      <c r="A1586" s="19" t="str">
        <f t="shared" si="10"/>
        <v>Timothy Armstrong Treestle</v>
      </c>
      <c r="B1586" s="19" t="s">
        <v>9290</v>
      </c>
      <c r="C1586" s="121" t="s">
        <v>9291</v>
      </c>
      <c r="D1586" s="121" t="s">
        <v>9292</v>
      </c>
      <c r="E1586" s="226" t="s">
        <v>9293</v>
      </c>
      <c r="F1586" s="210" t="s">
        <v>3776</v>
      </c>
      <c r="G1586" s="24" t="s">
        <v>46</v>
      </c>
      <c r="H1586" s="25" t="s">
        <v>47</v>
      </c>
      <c r="J1586" s="35" t="s">
        <v>9294</v>
      </c>
      <c r="K1586" s="27" t="s">
        <v>50</v>
      </c>
      <c r="L1586" s="13" t="s">
        <v>9295</v>
      </c>
      <c r="M1586" s="26" t="str">
        <f>VLOOKUP(E1586,'MTS 2026 registrations'!B:B,1,false)</f>
        <v>#N/A</v>
      </c>
      <c r="N1586" s="26" t="str">
        <f>VLOOKUP(B1586,'MTS 2026 registrations'!A:A,1,false)</f>
        <v>#N/A</v>
      </c>
      <c r="O1586" s="38" t="str">
        <f t="shared" si="12"/>
        <v>Marked</v>
      </c>
    </row>
    <row r="1587" ht="12.75" customHeight="1">
      <c r="A1587" s="19" t="str">
        <f t="shared" si="10"/>
        <v>Tjark Tjin-a-Tsoi TNO</v>
      </c>
      <c r="B1587" s="19" t="s">
        <v>9296</v>
      </c>
      <c r="C1587" s="227" t="s">
        <v>9297</v>
      </c>
      <c r="D1587" s="227" t="s">
        <v>9298</v>
      </c>
      <c r="E1587" s="228" t="s">
        <v>9299</v>
      </c>
      <c r="F1587" s="209" t="s">
        <v>2484</v>
      </c>
      <c r="G1587" s="32" t="s">
        <v>43</v>
      </c>
      <c r="H1587" s="25" t="s">
        <v>139</v>
      </c>
      <c r="J1587" s="35" t="s">
        <v>9300</v>
      </c>
      <c r="K1587" s="27" t="s">
        <v>50</v>
      </c>
      <c r="L1587" s="13" t="s">
        <v>9301</v>
      </c>
      <c r="M1587" s="26" t="str">
        <f>VLOOKUP(E1587,'MTS 2026 registrations'!B:B,1,false)</f>
        <v>#N/A</v>
      </c>
      <c r="N1587" s="26" t="str">
        <f>VLOOKUP(B1587,'MTS 2026 registrations'!A:A,1,false)</f>
        <v>#N/A</v>
      </c>
      <c r="O1587" s="38" t="str">
        <f t="shared" si="12"/>
        <v>Marked</v>
      </c>
    </row>
    <row r="1588" ht="12.75" customHeight="1">
      <c r="A1588" s="19" t="str">
        <f t="shared" si="10"/>
        <v>Tjewei Hu Synext</v>
      </c>
      <c r="B1588" s="19" t="s">
        <v>9302</v>
      </c>
      <c r="C1588" s="121" t="s">
        <v>9303</v>
      </c>
      <c r="D1588" s="121" t="s">
        <v>9304</v>
      </c>
      <c r="E1588" s="105" t="s">
        <v>9305</v>
      </c>
      <c r="F1588" s="210" t="s">
        <v>9306</v>
      </c>
      <c r="G1588" s="24" t="s">
        <v>46</v>
      </c>
      <c r="H1588" s="25" t="s">
        <v>47</v>
      </c>
      <c r="J1588" s="35" t="s">
        <v>9307</v>
      </c>
      <c r="K1588" s="27" t="s">
        <v>50</v>
      </c>
      <c r="L1588" s="13" t="s">
        <v>9308</v>
      </c>
      <c r="M1588" s="26" t="str">
        <f>VLOOKUP(E1588,'MTS 2026 registrations'!B:B,1,false)</f>
        <v>#N/A</v>
      </c>
      <c r="N1588" s="26" t="str">
        <f>VLOOKUP(B1588,'MTS 2026 registrations'!A:A,1,false)</f>
        <v>#N/A</v>
      </c>
      <c r="O1588" s="38" t="str">
        <f t="shared" si="12"/>
        <v>Marked</v>
      </c>
    </row>
    <row r="1589" ht="12.75" customHeight="1">
      <c r="A1589" s="19" t="str">
        <f t="shared" si="10"/>
        <v>Tobias Gutleb volkerwessels</v>
      </c>
      <c r="B1589" s="19" t="s">
        <v>9309</v>
      </c>
      <c r="C1589" s="53" t="s">
        <v>9310</v>
      </c>
      <c r="D1589" s="53" t="s">
        <v>9311</v>
      </c>
      <c r="E1589" s="88" t="s">
        <v>9312</v>
      </c>
      <c r="F1589" s="28" t="s">
        <v>1784</v>
      </c>
      <c r="G1589" s="24" t="s">
        <v>56</v>
      </c>
      <c r="H1589" s="25" t="s">
        <v>139</v>
      </c>
      <c r="I1589" s="96"/>
      <c r="J1589" s="35" t="s">
        <v>9313</v>
      </c>
      <c r="K1589" s="27" t="s">
        <v>50</v>
      </c>
      <c r="L1589" s="13" t="s">
        <v>9314</v>
      </c>
      <c r="M1589" s="26" t="str">
        <f>VLOOKUP(E1589,'MTS 2026 registrations'!B:B,1,false)</f>
        <v>#N/A</v>
      </c>
      <c r="N1589" s="26" t="str">
        <f>VLOOKUP(B1589,'MTS 2026 registrations'!A:A,1,false)</f>
        <v>#N/A</v>
      </c>
      <c r="O1589" s="38" t="str">
        <f t="shared" si="12"/>
        <v>Marked</v>
      </c>
    </row>
    <row r="1590" ht="12.75" customHeight="1">
      <c r="A1590" s="19" t="str">
        <f t="shared" si="10"/>
        <v>Tobias Ouwerkerk innovationindustries</v>
      </c>
      <c r="B1590" s="19" t="s">
        <v>9315</v>
      </c>
      <c r="C1590" s="53" t="s">
        <v>9310</v>
      </c>
      <c r="D1590" s="53" t="s">
        <v>1705</v>
      </c>
      <c r="E1590" s="88" t="s">
        <v>9316</v>
      </c>
      <c r="F1590" s="28" t="s">
        <v>2287</v>
      </c>
      <c r="G1590" s="24" t="s">
        <v>163</v>
      </c>
      <c r="H1590" s="25" t="s">
        <v>164</v>
      </c>
      <c r="J1590" s="35" t="s">
        <v>9317</v>
      </c>
      <c r="K1590" s="27" t="s">
        <v>50</v>
      </c>
      <c r="L1590" s="13" t="s">
        <v>9318</v>
      </c>
      <c r="M1590" s="26" t="str">
        <f>VLOOKUP(E1590,'MTS 2026 registrations'!B:B,1,false)</f>
        <v>#N/A</v>
      </c>
      <c r="N1590" s="26" t="str">
        <f>VLOOKUP(B1590,'MTS 2026 registrations'!A:A,1,false)</f>
        <v>#N/A</v>
      </c>
      <c r="O1590" s="38" t="str">
        <f t="shared" si="12"/>
        <v>Marked</v>
      </c>
    </row>
    <row r="1591" ht="12.75" customHeight="1">
      <c r="A1591" s="19" t="str">
        <f t="shared" si="10"/>
        <v>Tobias Knop dawnaerospace</v>
      </c>
      <c r="B1591" s="19" t="s">
        <v>9319</v>
      </c>
      <c r="C1591" s="53" t="s">
        <v>9310</v>
      </c>
      <c r="D1591" s="53" t="s">
        <v>9320</v>
      </c>
      <c r="E1591" s="88" t="s">
        <v>9321</v>
      </c>
      <c r="F1591" s="28" t="s">
        <v>5848</v>
      </c>
      <c r="G1591" s="32" t="s">
        <v>46</v>
      </c>
      <c r="H1591" s="25" t="s">
        <v>47</v>
      </c>
      <c r="J1591" s="35" t="s">
        <v>9322</v>
      </c>
      <c r="K1591" s="27" t="s">
        <v>50</v>
      </c>
      <c r="L1591" s="13" t="s">
        <v>9323</v>
      </c>
      <c r="M1591" s="26" t="str">
        <f>VLOOKUP(E1591,'MTS 2026 registrations'!B:B,1,false)</f>
        <v>tobias@dawnaerospace.com</v>
      </c>
      <c r="N1591" s="26" t="str">
        <f>VLOOKUP(B1591,'MTS 2026 registrations'!A:A,1,false)</f>
        <v>Tobias Knop</v>
      </c>
      <c r="O1591" s="38" t="str">
        <f t="shared" si="12"/>
        <v/>
      </c>
    </row>
    <row r="1592" ht="12.75" customHeight="1">
      <c r="A1592" s="19" t="str">
        <f t="shared" si="10"/>
        <v>Tobias Pfeiffer VSPARTICLE</v>
      </c>
      <c r="B1592" s="19" t="s">
        <v>9324</v>
      </c>
      <c r="C1592" s="121" t="s">
        <v>9310</v>
      </c>
      <c r="D1592" s="121" t="s">
        <v>9325</v>
      </c>
      <c r="E1592" s="105" t="s">
        <v>9326</v>
      </c>
      <c r="F1592" s="210" t="s">
        <v>3041</v>
      </c>
      <c r="G1592" s="24" t="s">
        <v>46</v>
      </c>
      <c r="H1592" s="25" t="s">
        <v>47</v>
      </c>
      <c r="J1592" s="35" t="s">
        <v>9327</v>
      </c>
      <c r="K1592" s="27" t="s">
        <v>50</v>
      </c>
      <c r="L1592" s="13" t="s">
        <v>9328</v>
      </c>
      <c r="M1592" s="26" t="str">
        <f>VLOOKUP(E1592,'MTS 2026 registrations'!B:B,1,false)</f>
        <v>#N/A</v>
      </c>
      <c r="N1592" s="26" t="str">
        <f>VLOOKUP(B1592,'MTS 2026 registrations'!A:A,1,false)</f>
        <v>#N/A</v>
      </c>
      <c r="O1592" s="38" t="str">
        <f t="shared" si="12"/>
        <v>Marked</v>
      </c>
    </row>
    <row r="1593" ht="12.75" customHeight="1">
      <c r="A1593" s="19" t="str">
        <f t="shared" si="10"/>
        <v>Tom Alma Vliegwiel Impact</v>
      </c>
      <c r="B1593" s="19" t="s">
        <v>9329</v>
      </c>
      <c r="C1593" s="53" t="s">
        <v>1128</v>
      </c>
      <c r="D1593" s="53" t="s">
        <v>9330</v>
      </c>
      <c r="E1593" s="88" t="s">
        <v>9331</v>
      </c>
      <c r="F1593" s="95" t="s">
        <v>9332</v>
      </c>
      <c r="G1593" s="24" t="s">
        <v>163</v>
      </c>
      <c r="H1593" s="26" t="s">
        <v>164</v>
      </c>
      <c r="I1593" s="7"/>
      <c r="J1593" s="35" t="s">
        <v>9333</v>
      </c>
      <c r="K1593" s="27" t="s">
        <v>50</v>
      </c>
      <c r="L1593" s="25" t="s">
        <v>9334</v>
      </c>
      <c r="M1593" s="26" t="str">
        <f>VLOOKUP(E1593,'MTS 2026 registrations'!B:B,1,false)</f>
        <v>#N/A</v>
      </c>
      <c r="N1593" s="26" t="str">
        <f>VLOOKUP(B1593,'MTS 2026 registrations'!A:A,1,false)</f>
        <v>#N/A</v>
      </c>
      <c r="O1593" s="38" t="str">
        <f t="shared" si="12"/>
        <v>Marked</v>
      </c>
    </row>
    <row r="1594" ht="12.75" customHeight="1">
      <c r="A1594" s="19" t="str">
        <f t="shared" si="10"/>
        <v>Tom Leijte Passguard</v>
      </c>
      <c r="B1594" s="19" t="s">
        <v>9335</v>
      </c>
      <c r="C1594" s="121" t="s">
        <v>1128</v>
      </c>
      <c r="D1594" s="121" t="s">
        <v>9336</v>
      </c>
      <c r="E1594" s="105" t="s">
        <v>9337</v>
      </c>
      <c r="F1594" s="220" t="s">
        <v>8792</v>
      </c>
      <c r="G1594" s="32" t="s">
        <v>46</v>
      </c>
      <c r="H1594" s="25" t="s">
        <v>47</v>
      </c>
      <c r="J1594" s="35" t="s">
        <v>9338</v>
      </c>
      <c r="K1594" s="27" t="s">
        <v>50</v>
      </c>
      <c r="L1594" s="13" t="s">
        <v>9339</v>
      </c>
      <c r="M1594" s="26" t="str">
        <f>VLOOKUP(E1594,'MTS 2026 registrations'!B:B,1,false)</f>
        <v>#N/A</v>
      </c>
      <c r="N1594" s="26" t="str">
        <f>VLOOKUP(B1594,'MTS 2026 registrations'!A:A,1,false)</f>
        <v>#N/A</v>
      </c>
      <c r="O1594" s="38" t="str">
        <f t="shared" si="12"/>
        <v>Marked</v>
      </c>
    </row>
    <row r="1595" ht="12.75" customHeight="1">
      <c r="A1595" s="19" t="str">
        <f t="shared" si="10"/>
        <v>Tom Buchmann parkbee</v>
      </c>
      <c r="B1595" s="19" t="s">
        <v>9340</v>
      </c>
      <c r="C1595" s="53" t="s">
        <v>1128</v>
      </c>
      <c r="D1595" s="53" t="s">
        <v>9341</v>
      </c>
      <c r="E1595" s="205" t="s">
        <v>9342</v>
      </c>
      <c r="F1595" s="28" t="s">
        <v>5916</v>
      </c>
      <c r="G1595" s="44" t="s">
        <v>46</v>
      </c>
      <c r="H1595" s="25" t="s">
        <v>47</v>
      </c>
      <c r="J1595" s="35" t="s">
        <v>9343</v>
      </c>
      <c r="K1595" s="27" t="s">
        <v>50</v>
      </c>
      <c r="L1595" s="13" t="s">
        <v>9344</v>
      </c>
      <c r="M1595" s="26" t="str">
        <f>VLOOKUP(E1595,'MTS 2026 registrations'!B:B,1,false)</f>
        <v>#N/A</v>
      </c>
      <c r="N1595" s="26" t="str">
        <f>VLOOKUP(B1595,'MTS 2026 registrations'!A:A,1,false)</f>
        <v>#N/A</v>
      </c>
      <c r="O1595" s="38" t="str">
        <f t="shared" si="12"/>
        <v>Marked</v>
      </c>
    </row>
    <row r="1596" ht="12.75" customHeight="1">
      <c r="A1596" s="19" t="str">
        <f t="shared" si="10"/>
        <v>Tom Savels Independent</v>
      </c>
      <c r="B1596" s="19" t="s">
        <v>9345</v>
      </c>
      <c r="C1596" s="137" t="s">
        <v>1128</v>
      </c>
      <c r="D1596" s="137" t="s">
        <v>9346</v>
      </c>
      <c r="E1596" s="205" t="s">
        <v>9347</v>
      </c>
      <c r="F1596" s="206" t="s">
        <v>1209</v>
      </c>
      <c r="G1596" s="24" t="s">
        <v>225</v>
      </c>
      <c r="H1596" s="25" t="s">
        <v>47</v>
      </c>
      <c r="J1596" s="35" t="s">
        <v>9348</v>
      </c>
      <c r="K1596" s="27" t="s">
        <v>50</v>
      </c>
      <c r="L1596" s="13" t="s">
        <v>9349</v>
      </c>
      <c r="M1596" s="26" t="str">
        <f>VLOOKUP(E1596,'MTS 2026 registrations'!B:B,1,false)</f>
        <v>#N/A</v>
      </c>
      <c r="N1596" s="26" t="str">
        <f>VLOOKUP(B1596,'MTS 2026 registrations'!A:A,1,false)</f>
        <v>#N/A</v>
      </c>
      <c r="O1596" s="38" t="str">
        <f t="shared" si="12"/>
        <v>Marked</v>
      </c>
    </row>
    <row r="1597" ht="12.75" customHeight="1">
      <c r="A1597" s="19" t="str">
        <f t="shared" si="10"/>
        <v>Tom van Aken avantium</v>
      </c>
      <c r="B1597" s="19" t="s">
        <v>9350</v>
      </c>
      <c r="C1597" s="121" t="s">
        <v>1128</v>
      </c>
      <c r="D1597" s="121" t="s">
        <v>9351</v>
      </c>
      <c r="E1597" s="140" t="s">
        <v>9352</v>
      </c>
      <c r="F1597" s="121" t="s">
        <v>9353</v>
      </c>
      <c r="G1597" s="32" t="s">
        <v>1306</v>
      </c>
      <c r="H1597" s="13" t="s">
        <v>213</v>
      </c>
      <c r="J1597" s="35" t="s">
        <v>9354</v>
      </c>
      <c r="K1597" s="27" t="s">
        <v>50</v>
      </c>
      <c r="L1597" s="13" t="s">
        <v>9355</v>
      </c>
      <c r="M1597" s="26" t="str">
        <f>VLOOKUP(E1597,'MTS 2026 registrations'!B:B,1,false)</f>
        <v>#N/A</v>
      </c>
      <c r="N1597" s="26" t="str">
        <f>VLOOKUP(B1597,'MTS 2026 registrations'!A:A,1,false)</f>
        <v>#N/A</v>
      </c>
      <c r="O1597" s="38" t="str">
        <f t="shared" si="12"/>
        <v>Marked</v>
      </c>
    </row>
    <row r="1598" ht="12.75" customHeight="1">
      <c r="A1598" s="19" t="str">
        <f t="shared" si="10"/>
        <v>Tom Schouten FLUX CHAIRS</v>
      </c>
      <c r="B1598" s="19" t="s">
        <v>9356</v>
      </c>
      <c r="C1598" s="121" t="s">
        <v>1128</v>
      </c>
      <c r="D1598" s="121" t="s">
        <v>1796</v>
      </c>
      <c r="E1598" s="105" t="s">
        <v>9357</v>
      </c>
      <c r="F1598" s="210" t="s">
        <v>4362</v>
      </c>
      <c r="G1598" s="32" t="s">
        <v>46</v>
      </c>
      <c r="H1598" s="25" t="s">
        <v>47</v>
      </c>
      <c r="J1598" s="35" t="s">
        <v>9358</v>
      </c>
      <c r="K1598" s="27" t="s">
        <v>50</v>
      </c>
      <c r="L1598" s="13" t="s">
        <v>9359</v>
      </c>
      <c r="M1598" s="26" t="str">
        <f>VLOOKUP(E1598,'MTS 2026 registrations'!B:B,1,false)</f>
        <v>#N/A</v>
      </c>
      <c r="N1598" s="26" t="str">
        <f>VLOOKUP(B1598,'MTS 2026 registrations'!A:A,1,false)</f>
        <v>#N/A</v>
      </c>
      <c r="O1598" s="38" t="str">
        <f t="shared" si="12"/>
        <v>Marked</v>
      </c>
    </row>
    <row r="1599" ht="12.75" customHeight="1">
      <c r="A1599" s="19" t="str">
        <f t="shared" si="10"/>
        <v>Tom Leenders gerrardstreet</v>
      </c>
      <c r="B1599" s="19" t="s">
        <v>9360</v>
      </c>
      <c r="C1599" s="53" t="s">
        <v>1128</v>
      </c>
      <c r="D1599" s="53" t="s">
        <v>9361</v>
      </c>
      <c r="E1599" s="88" t="s">
        <v>9362</v>
      </c>
      <c r="F1599" s="28" t="s">
        <v>9363</v>
      </c>
      <c r="G1599" s="32" t="s">
        <v>46</v>
      </c>
      <c r="H1599" s="25" t="s">
        <v>47</v>
      </c>
      <c r="J1599" s="35" t="s">
        <v>9364</v>
      </c>
      <c r="K1599" s="27" t="s">
        <v>50</v>
      </c>
      <c r="L1599" s="13" t="s">
        <v>9365</v>
      </c>
      <c r="M1599" s="26" t="str">
        <f>VLOOKUP(E1599,'MTS 2026 registrations'!B:B,1,false)</f>
        <v>#N/A</v>
      </c>
      <c r="N1599" s="26" t="str">
        <f>VLOOKUP(B1599,'MTS 2026 registrations'!A:A,1,false)</f>
        <v>#N/A</v>
      </c>
      <c r="O1599" s="38" t="str">
        <f t="shared" si="12"/>
        <v>Marked</v>
      </c>
    </row>
    <row r="1600" ht="12.75" customHeight="1">
      <c r="A1600" s="19" t="str">
        <f t="shared" si="10"/>
        <v>Tom de Leeuw PAVA</v>
      </c>
      <c r="B1600" s="19" t="s">
        <v>9366</v>
      </c>
      <c r="C1600" s="7" t="s">
        <v>1128</v>
      </c>
      <c r="D1600" s="7" t="s">
        <v>9367</v>
      </c>
      <c r="E1600" s="193" t="s">
        <v>9368</v>
      </c>
      <c r="F1600" s="193" t="s">
        <v>4109</v>
      </c>
      <c r="G1600" s="32" t="s">
        <v>46</v>
      </c>
      <c r="H1600" s="25" t="s">
        <v>47</v>
      </c>
      <c r="J1600" s="35" t="s">
        <v>9369</v>
      </c>
      <c r="K1600" s="27" t="s">
        <v>50</v>
      </c>
      <c r="L1600" s="13" t="s">
        <v>9370</v>
      </c>
      <c r="M1600" s="26" t="str">
        <f>VLOOKUP(E1600,'MTS 2026 registrations'!B:B,1,false)</f>
        <v>#N/A</v>
      </c>
      <c r="N1600" s="26" t="str">
        <f>VLOOKUP(B1600,'MTS 2026 registrations'!A:A,1,false)</f>
        <v>#N/A</v>
      </c>
      <c r="O1600" s="38" t="str">
        <f t="shared" si="12"/>
        <v>Marked</v>
      </c>
    </row>
    <row r="1601" ht="12.75" customHeight="1">
      <c r="A1601" s="19" t="str">
        <f t="shared" si="10"/>
        <v>Tom de Gier Geobirds</v>
      </c>
      <c r="B1601" s="19" t="s">
        <v>9371</v>
      </c>
      <c r="C1601" s="193" t="s">
        <v>9372</v>
      </c>
      <c r="D1601" s="184" t="s">
        <v>9373</v>
      </c>
      <c r="E1601" s="191" t="s">
        <v>9374</v>
      </c>
      <c r="F1601" s="28" t="s">
        <v>9375</v>
      </c>
      <c r="G1601" s="24" t="s">
        <v>750</v>
      </c>
      <c r="H1601" s="25" t="s">
        <v>31</v>
      </c>
      <c r="J1601" s="35" t="s">
        <v>9376</v>
      </c>
      <c r="K1601" s="27" t="s">
        <v>50</v>
      </c>
      <c r="L1601" s="13" t="s">
        <v>9377</v>
      </c>
      <c r="M1601" s="26" t="str">
        <f>VLOOKUP(E1601,'MTS 2026 registrations'!B:B,1,false)</f>
        <v>#N/A</v>
      </c>
      <c r="N1601" s="26" t="str">
        <f>VLOOKUP(B1601,'MTS 2026 registrations'!A:A,1,false)</f>
        <v>#N/A</v>
      </c>
      <c r="O1601" s="38" t="str">
        <f t="shared" si="12"/>
        <v>Marked</v>
      </c>
    </row>
    <row r="1602" ht="12.75" customHeight="1">
      <c r="A1602" s="19" t="str">
        <f>B1602&amp;" "&amp;F1603</f>
        <v>Tomas Kemtys AerogridUAV</v>
      </c>
      <c r="B1602" s="19" t="s">
        <v>9378</v>
      </c>
      <c r="C1602" s="114" t="s">
        <v>2098</v>
      </c>
      <c r="D1602" s="114" t="s">
        <v>9379</v>
      </c>
      <c r="E1602" s="229" t="s">
        <v>9380</v>
      </c>
      <c r="F1602" s="28" t="s">
        <v>9381</v>
      </c>
      <c r="G1602" s="24" t="s">
        <v>163</v>
      </c>
      <c r="H1602" s="25" t="s">
        <v>164</v>
      </c>
      <c r="I1602" s="96"/>
      <c r="J1602" s="35" t="s">
        <v>9382</v>
      </c>
      <c r="K1602" s="27" t="s">
        <v>50</v>
      </c>
      <c r="L1602" s="13" t="s">
        <v>9383</v>
      </c>
      <c r="M1602" s="26" t="str">
        <f>VLOOKUP(E1602,'MTS 2026 registrations'!B:B,1,false)</f>
        <v>#N/A</v>
      </c>
      <c r="N1602" s="26" t="str">
        <f>VLOOKUP(B1602,'MTS 2026 registrations'!A:A,1,false)</f>
        <v>#N/A</v>
      </c>
      <c r="O1602" s="38" t="str">
        <f t="shared" si="12"/>
        <v>Marked</v>
      </c>
    </row>
    <row r="1603" ht="12.75" customHeight="1">
      <c r="A1603" s="19" t="str">
        <f t="shared" ref="A1603:A1669" si="13">B1603&amp;" "&amp;F1603</f>
        <v>Tomaso De Ponti AerogridUAV</v>
      </c>
      <c r="B1603" s="19" t="s">
        <v>9384</v>
      </c>
      <c r="C1603" s="7" t="s">
        <v>9385</v>
      </c>
      <c r="D1603" s="7" t="s">
        <v>9386</v>
      </c>
      <c r="E1603" s="230" t="s">
        <v>9387</v>
      </c>
      <c r="F1603" s="193" t="s">
        <v>3178</v>
      </c>
      <c r="G1603" s="32" t="s">
        <v>46</v>
      </c>
      <c r="H1603" s="25" t="s">
        <v>47</v>
      </c>
      <c r="J1603" s="35" t="s">
        <v>9388</v>
      </c>
      <c r="K1603" s="27" t="s">
        <v>50</v>
      </c>
      <c r="L1603" s="13" t="s">
        <v>9389</v>
      </c>
      <c r="M1603" s="26" t="str">
        <f>VLOOKUP(E1603,'MTS 2026 registrations'!B:B,1,false)</f>
        <v>#N/A</v>
      </c>
      <c r="N1603" s="26" t="str">
        <f>VLOOKUP(B1603,'MTS 2026 registrations'!A:A,1,false)</f>
        <v>#N/A</v>
      </c>
      <c r="O1603" s="38" t="str">
        <f t="shared" si="12"/>
        <v>Marked</v>
      </c>
    </row>
    <row r="1604" ht="12.75" customHeight="1">
      <c r="A1604" s="19" t="str">
        <f t="shared" si="13"/>
        <v>Tommy Hurley shamrockventures</v>
      </c>
      <c r="B1604" s="19" t="s">
        <v>9390</v>
      </c>
      <c r="C1604" s="53" t="s">
        <v>9391</v>
      </c>
      <c r="D1604" s="53" t="s">
        <v>9392</v>
      </c>
      <c r="E1604" s="88" t="s">
        <v>9393</v>
      </c>
      <c r="F1604" s="28" t="s">
        <v>9394</v>
      </c>
      <c r="G1604" s="24" t="s">
        <v>163</v>
      </c>
      <c r="H1604" s="25" t="s">
        <v>164</v>
      </c>
      <c r="J1604" s="35" t="s">
        <v>9395</v>
      </c>
      <c r="K1604" s="27" t="s">
        <v>50</v>
      </c>
      <c r="L1604" s="13" t="s">
        <v>9396</v>
      </c>
      <c r="M1604" s="26" t="str">
        <f>VLOOKUP(E1604,'MTS 2026 registrations'!B:B,1,false)</f>
        <v>#N/A</v>
      </c>
      <c r="N1604" s="26" t="str">
        <f>VLOOKUP(B1604,'MTS 2026 registrations'!A:A,1,false)</f>
        <v>#N/A</v>
      </c>
      <c r="O1604" s="38" t="str">
        <f t="shared" si="12"/>
        <v>Marked</v>
      </c>
    </row>
    <row r="1605" ht="12.75" customHeight="1">
      <c r="A1605" s="19" t="str">
        <f t="shared" si="13"/>
        <v>Tonnie Rijkers RVO</v>
      </c>
      <c r="B1605" s="19" t="s">
        <v>9397</v>
      </c>
      <c r="C1605" s="124" t="s">
        <v>9398</v>
      </c>
      <c r="D1605" s="121" t="s">
        <v>9399</v>
      </c>
      <c r="E1605" s="140" t="s">
        <v>9400</v>
      </c>
      <c r="F1605" s="124" t="s">
        <v>9401</v>
      </c>
      <c r="G1605" s="32" t="s">
        <v>323</v>
      </c>
      <c r="H1605" s="13" t="s">
        <v>45</v>
      </c>
      <c r="J1605" s="35" t="s">
        <v>9402</v>
      </c>
      <c r="K1605" s="27" t="s">
        <v>50</v>
      </c>
      <c r="L1605" s="13" t="s">
        <v>9403</v>
      </c>
      <c r="M1605" s="26" t="str">
        <f>VLOOKUP(E1605,'MTS 2026 registrations'!B:B,1,false)</f>
        <v>#N/A</v>
      </c>
      <c r="N1605" s="26" t="str">
        <f>VLOOKUP(B1605,'MTS 2026 registrations'!A:A,1,false)</f>
        <v>#N/A</v>
      </c>
      <c r="O1605" s="38" t="str">
        <f t="shared" si="12"/>
        <v>Marked</v>
      </c>
    </row>
    <row r="1606" ht="12.75" customHeight="1">
      <c r="A1606" s="19" t="str">
        <f t="shared" si="13"/>
        <v>Tonnis de Boer tradecloud</v>
      </c>
      <c r="B1606" s="19" t="s">
        <v>9404</v>
      </c>
      <c r="C1606" s="53" t="s">
        <v>9405</v>
      </c>
      <c r="D1606" s="53" t="s">
        <v>5165</v>
      </c>
      <c r="E1606" s="88" t="s">
        <v>9406</v>
      </c>
      <c r="F1606" s="28" t="s">
        <v>6933</v>
      </c>
      <c r="G1606" s="32" t="s">
        <v>46</v>
      </c>
      <c r="H1606" s="25" t="s">
        <v>47</v>
      </c>
      <c r="I1606" s="96"/>
      <c r="J1606" s="35" t="s">
        <v>9407</v>
      </c>
      <c r="K1606" s="27" t="s">
        <v>50</v>
      </c>
      <c r="L1606" s="7" t="s">
        <v>9408</v>
      </c>
      <c r="M1606" s="26" t="str">
        <f>VLOOKUP(E1606,'MTS 2026 registrations'!B:B,1,false)</f>
        <v>#N/A</v>
      </c>
      <c r="N1606" s="26" t="str">
        <f>VLOOKUP(B1606,'MTS 2026 registrations'!A:A,1,false)</f>
        <v>#N/A</v>
      </c>
      <c r="O1606" s="38" t="str">
        <f t="shared" si="12"/>
        <v>Marked</v>
      </c>
    </row>
    <row r="1607" ht="12.75" customHeight="1">
      <c r="A1607" s="19" t="str">
        <f t="shared" si="13"/>
        <v>Toon van Bodegom numa</v>
      </c>
      <c r="B1607" s="19" t="s">
        <v>9409</v>
      </c>
      <c r="C1607" s="167" t="s">
        <v>9410</v>
      </c>
      <c r="D1607" s="167" t="s">
        <v>9411</v>
      </c>
      <c r="E1607" s="212" t="s">
        <v>9412</v>
      </c>
      <c r="F1607" s="231" t="s">
        <v>9413</v>
      </c>
      <c r="G1607" s="24" t="s">
        <v>1306</v>
      </c>
      <c r="H1607" s="25" t="s">
        <v>139</v>
      </c>
      <c r="J1607" s="35" t="s">
        <v>9414</v>
      </c>
      <c r="K1607" s="27" t="s">
        <v>50</v>
      </c>
      <c r="L1607" s="13" t="s">
        <v>9415</v>
      </c>
      <c r="M1607" s="26" t="str">
        <f>VLOOKUP(E1607,'MTS 2026 registrations'!B:B,1,false)</f>
        <v>#N/A</v>
      </c>
      <c r="N1607" s="26" t="str">
        <f>VLOOKUP(B1607,'MTS 2026 registrations'!A:A,1,false)</f>
        <v>#N/A</v>
      </c>
      <c r="O1607" s="38" t="str">
        <f t="shared" si="12"/>
        <v>Marked</v>
      </c>
    </row>
    <row r="1608" ht="12.75" customHeight="1">
      <c r="A1608" s="19" t="str">
        <f t="shared" si="13"/>
        <v>Tristan Nikolaas Mwinmaalo Somé </v>
      </c>
      <c r="B1608" s="19" t="s">
        <v>9416</v>
      </c>
      <c r="C1608" s="53" t="s">
        <v>9417</v>
      </c>
      <c r="D1608" s="53" t="s">
        <v>9418</v>
      </c>
      <c r="E1608" s="88" t="s">
        <v>9419</v>
      </c>
      <c r="F1608" s="207"/>
      <c r="G1608" s="32" t="s">
        <v>46</v>
      </c>
      <c r="H1608" s="25" t="s">
        <v>47</v>
      </c>
      <c r="I1608" s="96"/>
      <c r="J1608" s="35" t="s">
        <v>9420</v>
      </c>
      <c r="K1608" s="27" t="s">
        <v>50</v>
      </c>
      <c r="L1608" s="13" t="s">
        <v>9421</v>
      </c>
      <c r="M1608" s="26" t="str">
        <f>VLOOKUP(E1608,'MTS 2026 registrations'!B:B,1,false)</f>
        <v>#N/A</v>
      </c>
      <c r="N1608" s="26" t="str">
        <f>VLOOKUP(B1608,'MTS 2026 registrations'!A:A,1,false)</f>
        <v>#N/A</v>
      </c>
      <c r="O1608" s="38" t="str">
        <f t="shared" si="12"/>
        <v>Marked</v>
      </c>
    </row>
    <row r="1609" ht="12.75" customHeight="1">
      <c r="A1609" s="19" t="str">
        <f t="shared" si="13"/>
        <v>Ugur Kizilkaya braindrop</v>
      </c>
      <c r="B1609" s="19" t="s">
        <v>9422</v>
      </c>
      <c r="C1609" s="53" t="s">
        <v>9423</v>
      </c>
      <c r="D1609" s="53" t="s">
        <v>9424</v>
      </c>
      <c r="E1609" s="88" t="s">
        <v>9425</v>
      </c>
      <c r="F1609" s="28" t="s">
        <v>9426</v>
      </c>
      <c r="G1609" s="32" t="s">
        <v>46</v>
      </c>
      <c r="H1609" s="25" t="s">
        <v>47</v>
      </c>
      <c r="I1609" s="96"/>
      <c r="J1609" s="35" t="s">
        <v>9427</v>
      </c>
      <c r="K1609" s="27" t="s">
        <v>50</v>
      </c>
      <c r="L1609" s="13" t="s">
        <v>9428</v>
      </c>
      <c r="M1609" s="26" t="str">
        <f>VLOOKUP(E1609,'MTS 2026 registrations'!B:B,1,false)</f>
        <v>#N/A</v>
      </c>
      <c r="N1609" s="26" t="str">
        <f>VLOOKUP(B1609,'MTS 2026 registrations'!A:A,1,false)</f>
        <v>#N/A</v>
      </c>
      <c r="O1609" s="38" t="str">
        <f t="shared" si="12"/>
        <v>Marked</v>
      </c>
    </row>
    <row r="1610" ht="12.75" customHeight="1">
      <c r="A1610" s="19" t="str">
        <f t="shared" si="13"/>
        <v>Uros Lekic tennine</v>
      </c>
      <c r="B1610" s="19" t="s">
        <v>9429</v>
      </c>
      <c r="C1610" s="53" t="s">
        <v>9430</v>
      </c>
      <c r="D1610" s="53" t="s">
        <v>9431</v>
      </c>
      <c r="E1610" s="191" t="s">
        <v>9432</v>
      </c>
      <c r="F1610" s="28" t="s">
        <v>9433</v>
      </c>
      <c r="G1610" s="24" t="s">
        <v>163</v>
      </c>
      <c r="H1610" s="25" t="s">
        <v>164</v>
      </c>
      <c r="J1610" s="35" t="s">
        <v>9434</v>
      </c>
      <c r="K1610" s="27" t="s">
        <v>50</v>
      </c>
      <c r="L1610" s="13" t="s">
        <v>9435</v>
      </c>
      <c r="M1610" s="26" t="str">
        <f>VLOOKUP(E1610,'MTS 2026 registrations'!B:B,1,false)</f>
        <v>#N/A</v>
      </c>
      <c r="N1610" s="26" t="str">
        <f>VLOOKUP(B1610,'MTS 2026 registrations'!A:A,1,false)</f>
        <v>#N/A</v>
      </c>
      <c r="O1610" s="38" t="str">
        <f t="shared" si="12"/>
        <v>Marked</v>
      </c>
    </row>
    <row r="1611" ht="12.75" customHeight="1">
      <c r="A1611" s="19" t="str">
        <f t="shared" si="13"/>
        <v>V.A. Wingerden minfin</v>
      </c>
      <c r="B1611" s="19" t="s">
        <v>9436</v>
      </c>
      <c r="C1611" s="232" t="s">
        <v>9437</v>
      </c>
      <c r="D1611" s="232" t="s">
        <v>9438</v>
      </c>
      <c r="E1611" s="105" t="s">
        <v>9439</v>
      </c>
      <c r="F1611" s="210" t="s">
        <v>9440</v>
      </c>
      <c r="G1611" s="32" t="s">
        <v>323</v>
      </c>
      <c r="H1611" s="25" t="s">
        <v>139</v>
      </c>
      <c r="J1611" s="35" t="s">
        <v>9441</v>
      </c>
      <c r="K1611" s="27" t="s">
        <v>50</v>
      </c>
      <c r="L1611" s="25" t="s">
        <v>9442</v>
      </c>
      <c r="M1611" s="26" t="str">
        <f>VLOOKUP(E1611,'MTS 2026 registrations'!B:B,1,false)</f>
        <v>#N/A</v>
      </c>
      <c r="N1611" s="26" t="str">
        <f>VLOOKUP(B1611,'MTS 2026 registrations'!A:A,1,false)</f>
        <v>#N/A</v>
      </c>
      <c r="O1611" s="38" t="str">
        <f t="shared" si="12"/>
        <v>Marked</v>
      </c>
    </row>
    <row r="1612" ht="12.75" customHeight="1">
      <c r="A1612" s="19" t="str">
        <f t="shared" si="13"/>
        <v>V.H.H. (Vincent) minezk</v>
      </c>
      <c r="B1612" s="19" t="s">
        <v>9443</v>
      </c>
      <c r="C1612" s="232" t="s">
        <v>9444</v>
      </c>
      <c r="D1612" s="232" t="s">
        <v>9445</v>
      </c>
      <c r="E1612" s="105" t="s">
        <v>9446</v>
      </c>
      <c r="F1612" s="210" t="s">
        <v>5114</v>
      </c>
      <c r="G1612" s="32" t="s">
        <v>323</v>
      </c>
      <c r="H1612" s="25" t="s">
        <v>139</v>
      </c>
      <c r="J1612" s="35" t="s">
        <v>9447</v>
      </c>
      <c r="K1612" s="27" t="s">
        <v>50</v>
      </c>
      <c r="L1612" s="25" t="s">
        <v>9448</v>
      </c>
      <c r="M1612" s="26" t="str">
        <f>VLOOKUP(E1612,'MTS 2026 registrations'!B:B,1,false)</f>
        <v>#N/A</v>
      </c>
      <c r="N1612" s="26" t="str">
        <f>VLOOKUP(B1612,'MTS 2026 registrations'!A:A,1,false)</f>
        <v>#N/A</v>
      </c>
      <c r="O1612" s="38" t="str">
        <f t="shared" si="12"/>
        <v>Marked</v>
      </c>
    </row>
    <row r="1613" ht="12.75" customHeight="1">
      <c r="A1613" s="19" t="str">
        <f t="shared" si="13"/>
        <v>Valentin Angelov vizionz</v>
      </c>
      <c r="B1613" s="19" t="s">
        <v>9449</v>
      </c>
      <c r="C1613" s="53" t="s">
        <v>9450</v>
      </c>
      <c r="D1613" s="53" t="s">
        <v>9451</v>
      </c>
      <c r="E1613" s="88" t="s">
        <v>9452</v>
      </c>
      <c r="F1613" s="28" t="s">
        <v>9453</v>
      </c>
      <c r="G1613" s="32" t="s">
        <v>46</v>
      </c>
      <c r="H1613" s="25" t="s">
        <v>47</v>
      </c>
      <c r="I1613" s="96"/>
      <c r="J1613" s="35" t="s">
        <v>9454</v>
      </c>
      <c r="K1613" s="27" t="s">
        <v>50</v>
      </c>
      <c r="L1613" s="13" t="s">
        <v>9455</v>
      </c>
      <c r="M1613" s="26" t="str">
        <f>VLOOKUP(E1613,'MTS 2026 registrations'!B:B,1,false)</f>
        <v>#N/A</v>
      </c>
      <c r="N1613" s="26" t="str">
        <f>VLOOKUP(B1613,'MTS 2026 registrations'!A:A,1,false)</f>
        <v>#N/A</v>
      </c>
      <c r="O1613" s="38" t="str">
        <f t="shared" si="12"/>
        <v>Marked</v>
      </c>
    </row>
    <row r="1614" ht="12.75" customHeight="1">
      <c r="A1614" s="19" t="str">
        <f t="shared" si="13"/>
        <v>Valentino Jadrisko constructor.capital</v>
      </c>
      <c r="B1614" s="19" t="s">
        <v>9456</v>
      </c>
      <c r="C1614" s="53" t="s">
        <v>9457</v>
      </c>
      <c r="D1614" s="53" t="s">
        <v>9458</v>
      </c>
      <c r="E1614" s="88" t="s">
        <v>9459</v>
      </c>
      <c r="F1614" s="28" t="s">
        <v>9460</v>
      </c>
      <c r="G1614" s="24" t="s">
        <v>163</v>
      </c>
      <c r="H1614" s="25" t="s">
        <v>164</v>
      </c>
      <c r="I1614" s="96"/>
      <c r="J1614" s="35" t="s">
        <v>9461</v>
      </c>
      <c r="K1614" s="27" t="s">
        <v>50</v>
      </c>
      <c r="L1614" s="13" t="s">
        <v>9462</v>
      </c>
      <c r="M1614" s="26" t="str">
        <f>VLOOKUP(E1614,'MTS 2026 registrations'!B:B,1,false)</f>
        <v>#N/A</v>
      </c>
      <c r="N1614" s="26" t="str">
        <f>VLOOKUP(B1614,'MTS 2026 registrations'!A:A,1,false)</f>
        <v>#N/A</v>
      </c>
      <c r="O1614" s="38" t="str">
        <f t="shared" si="12"/>
        <v>Marked</v>
      </c>
    </row>
    <row r="1615" ht="12.75" customHeight="1">
      <c r="A1615" s="19" t="str">
        <f t="shared" si="13"/>
        <v>Vanesa Casan Ibanez Shell</v>
      </c>
      <c r="B1615" s="19" t="s">
        <v>9463</v>
      </c>
      <c r="C1615" s="53" t="s">
        <v>9464</v>
      </c>
      <c r="D1615" s="53" t="s">
        <v>9465</v>
      </c>
      <c r="E1615" s="88" t="s">
        <v>9466</v>
      </c>
      <c r="F1615" s="95" t="s">
        <v>85</v>
      </c>
      <c r="G1615" s="24" t="s">
        <v>56</v>
      </c>
      <c r="H1615" s="13" t="s">
        <v>57</v>
      </c>
      <c r="J1615" s="35" t="s">
        <v>9467</v>
      </c>
      <c r="K1615" s="27" t="s">
        <v>50</v>
      </c>
      <c r="L1615" s="13" t="s">
        <v>9468</v>
      </c>
      <c r="M1615" s="26" t="str">
        <f>VLOOKUP(E1615,'MTS 2026 registrations'!B:B,1,false)</f>
        <v>#N/A</v>
      </c>
      <c r="N1615" s="26" t="str">
        <f>VLOOKUP(B1615,'MTS 2026 registrations'!A:A,1,false)</f>
        <v>#N/A</v>
      </c>
      <c r="O1615" s="38" t="str">
        <f t="shared" si="12"/>
        <v>Marked</v>
      </c>
    </row>
    <row r="1616" ht="12.75" customHeight="1">
      <c r="A1616" s="19" t="str">
        <f t="shared" si="13"/>
        <v>Venkatesh Chandrasekar Inkless/Tocano</v>
      </c>
      <c r="B1616" s="19" t="s">
        <v>9469</v>
      </c>
      <c r="C1616" s="121" t="s">
        <v>9470</v>
      </c>
      <c r="D1616" s="121" t="s">
        <v>9471</v>
      </c>
      <c r="E1616" s="191" t="s">
        <v>9472</v>
      </c>
      <c r="F1616" s="35" t="s">
        <v>9473</v>
      </c>
      <c r="G1616" s="32" t="s">
        <v>46</v>
      </c>
      <c r="H1616" s="25" t="s">
        <v>139</v>
      </c>
      <c r="J1616" s="35" t="s">
        <v>9474</v>
      </c>
      <c r="K1616" s="27" t="s">
        <v>50</v>
      </c>
      <c r="L1616" s="13" t="s">
        <v>9475</v>
      </c>
      <c r="M1616" s="26" t="str">
        <f>VLOOKUP(E1616,'MTS 2026 registrations'!B:B,1,false)</f>
        <v>#N/A</v>
      </c>
      <c r="N1616" s="26" t="str">
        <f>VLOOKUP(B1616,'MTS 2026 registrations'!A:A,1,false)</f>
        <v>#N/A</v>
      </c>
      <c r="O1616" s="38" t="str">
        <f t="shared" si="12"/>
        <v>Marked</v>
      </c>
    </row>
    <row r="1617" ht="12.75" customHeight="1">
      <c r="A1617" s="19" t="str">
        <f t="shared" si="13"/>
        <v>Versleijen Anouschka Leiden UNi</v>
      </c>
      <c r="B1617" s="19" t="s">
        <v>9476</v>
      </c>
      <c r="C1617" s="53" t="s">
        <v>9477</v>
      </c>
      <c r="D1617" s="53" t="s">
        <v>9478</v>
      </c>
      <c r="E1617" s="205" t="s">
        <v>9479</v>
      </c>
      <c r="F1617" s="95" t="s">
        <v>9480</v>
      </c>
      <c r="G1617" s="32" t="s">
        <v>43</v>
      </c>
      <c r="H1617" s="25" t="s">
        <v>139</v>
      </c>
      <c r="I1617" s="28"/>
      <c r="J1617" s="35" t="s">
        <v>9481</v>
      </c>
      <c r="K1617" s="27" t="s">
        <v>50</v>
      </c>
      <c r="L1617" s="13" t="s">
        <v>9482</v>
      </c>
      <c r="M1617" s="26" t="str">
        <f>VLOOKUP(E1617,'MTS 2026 registrations'!B:B,1,false)</f>
        <v>#N/A</v>
      </c>
      <c r="N1617" s="26" t="str">
        <f>VLOOKUP(B1617,'MTS 2026 registrations'!A:A,1,false)</f>
        <v>#N/A</v>
      </c>
      <c r="O1617" s="38" t="str">
        <f t="shared" si="12"/>
        <v>Marked</v>
      </c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</row>
    <row r="1618" ht="12.75" customHeight="1">
      <c r="A1618" s="19" t="str">
        <f t="shared" si="13"/>
        <v>Victor Rijkaart tudelft</v>
      </c>
      <c r="B1618" s="19" t="s">
        <v>9483</v>
      </c>
      <c r="C1618" s="193" t="s">
        <v>9484</v>
      </c>
      <c r="D1618" s="193" t="s">
        <v>9485</v>
      </c>
      <c r="E1618" s="191" t="s">
        <v>9486</v>
      </c>
      <c r="F1618" s="209" t="s">
        <v>184</v>
      </c>
      <c r="G1618" s="32" t="s">
        <v>43</v>
      </c>
      <c r="H1618" s="25" t="s">
        <v>139</v>
      </c>
      <c r="J1618" s="35" t="s">
        <v>9487</v>
      </c>
      <c r="K1618" s="27" t="s">
        <v>50</v>
      </c>
      <c r="L1618" s="13" t="s">
        <v>9488</v>
      </c>
      <c r="M1618" s="26" t="str">
        <f>VLOOKUP(E1618,'MTS 2026 registrations'!B:B,1,false)</f>
        <v>#N/A</v>
      </c>
      <c r="N1618" s="26" t="str">
        <f>VLOOKUP(B1618,'MTS 2026 registrations'!A:A,1,false)</f>
        <v>#N/A</v>
      </c>
      <c r="O1618" s="38" t="str">
        <f t="shared" si="12"/>
        <v>Marked</v>
      </c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</row>
    <row r="1619" ht="12.75" customHeight="1">
      <c r="A1619" s="19" t="str">
        <f t="shared" si="13"/>
        <v>Victor Scholten tudelft</v>
      </c>
      <c r="B1619" s="19" t="s">
        <v>9489</v>
      </c>
      <c r="C1619" s="193" t="s">
        <v>9484</v>
      </c>
      <c r="D1619" s="193" t="s">
        <v>9490</v>
      </c>
      <c r="E1619" s="191" t="s">
        <v>9491</v>
      </c>
      <c r="F1619" s="209" t="s">
        <v>184</v>
      </c>
      <c r="G1619" s="32" t="s">
        <v>43</v>
      </c>
      <c r="H1619" s="25" t="s">
        <v>139</v>
      </c>
      <c r="J1619" s="35" t="s">
        <v>9492</v>
      </c>
      <c r="K1619" s="27" t="s">
        <v>50</v>
      </c>
      <c r="L1619" s="13" t="s">
        <v>9493</v>
      </c>
      <c r="M1619" s="26" t="str">
        <f>VLOOKUP(E1619,'MTS 2026 registrations'!B:B,1,false)</f>
        <v>#N/A</v>
      </c>
      <c r="N1619" s="26" t="str">
        <f>VLOOKUP(B1619,'MTS 2026 registrations'!A:A,1,false)</f>
        <v>#N/A</v>
      </c>
      <c r="O1619" s="38" t="str">
        <f t="shared" si="12"/>
        <v>Marked</v>
      </c>
    </row>
    <row r="1620" ht="12.75" customHeight="1">
      <c r="A1620" s="19" t="str">
        <f t="shared" si="13"/>
        <v>Victor Hartong rvo</v>
      </c>
      <c r="B1620" s="19" t="s">
        <v>9494</v>
      </c>
      <c r="C1620" s="121" t="s">
        <v>9484</v>
      </c>
      <c r="D1620" s="124" t="s">
        <v>716</v>
      </c>
      <c r="E1620" s="140" t="s">
        <v>9495</v>
      </c>
      <c r="F1620" s="121" t="s">
        <v>689</v>
      </c>
      <c r="G1620" s="32" t="s">
        <v>323</v>
      </c>
      <c r="H1620" s="13" t="s">
        <v>213</v>
      </c>
      <c r="J1620" s="35" t="s">
        <v>9496</v>
      </c>
      <c r="K1620" s="27" t="s">
        <v>50</v>
      </c>
      <c r="L1620" s="13" t="s">
        <v>9497</v>
      </c>
      <c r="M1620" s="26" t="str">
        <f>VLOOKUP(E1620,'MTS 2026 registrations'!B:B,1,false)</f>
        <v>#N/A</v>
      </c>
      <c r="N1620" s="26" t="str">
        <f>VLOOKUP(B1620,'MTS 2026 registrations'!A:A,1,false)</f>
        <v>#N/A</v>
      </c>
      <c r="O1620" s="38" t="str">
        <f t="shared" si="12"/>
        <v>Marked</v>
      </c>
    </row>
    <row r="1621" ht="12.75" customHeight="1">
      <c r="A1621" s="19" t="str">
        <f t="shared" si="13"/>
        <v>Victor Sonneveld shoresystems</v>
      </c>
      <c r="B1621" s="19" t="s">
        <v>9498</v>
      </c>
      <c r="C1621" s="53" t="s">
        <v>9484</v>
      </c>
      <c r="D1621" s="53" t="s">
        <v>9499</v>
      </c>
      <c r="E1621" s="88" t="s">
        <v>9500</v>
      </c>
      <c r="F1621" s="28" t="s">
        <v>4943</v>
      </c>
      <c r="G1621" s="32" t="s">
        <v>46</v>
      </c>
      <c r="H1621" s="25" t="s">
        <v>47</v>
      </c>
      <c r="J1621" s="35" t="s">
        <v>9501</v>
      </c>
      <c r="K1621" s="27" t="s">
        <v>50</v>
      </c>
      <c r="L1621" s="13" t="s">
        <v>9502</v>
      </c>
      <c r="M1621" s="26" t="str">
        <f>VLOOKUP(E1621,'MTS 2026 registrations'!B:B,1,false)</f>
        <v>#N/A</v>
      </c>
      <c r="N1621" s="26" t="str">
        <f>VLOOKUP(B1621,'MTS 2026 registrations'!A:A,1,false)</f>
        <v>#N/A</v>
      </c>
      <c r="O1621" s="38" t="str">
        <f t="shared" si="12"/>
        <v>Marked</v>
      </c>
    </row>
    <row r="1622" ht="12.75" customHeight="1">
      <c r="A1622" s="19" t="str">
        <f t="shared" si="13"/>
        <v>Victor Pereboom UbiOps (Dutch Analytics)</v>
      </c>
      <c r="B1622" s="19" t="s">
        <v>9503</v>
      </c>
      <c r="C1622" s="121" t="s">
        <v>9484</v>
      </c>
      <c r="D1622" s="121" t="s">
        <v>9504</v>
      </c>
      <c r="E1622" s="105" t="s">
        <v>9505</v>
      </c>
      <c r="F1622" s="210" t="s">
        <v>6126</v>
      </c>
      <c r="G1622" s="32" t="s">
        <v>46</v>
      </c>
      <c r="H1622" s="25" t="s">
        <v>47</v>
      </c>
      <c r="J1622" s="35" t="s">
        <v>9506</v>
      </c>
      <c r="K1622" s="27" t="s">
        <v>50</v>
      </c>
      <c r="L1622" s="13" t="s">
        <v>9507</v>
      </c>
      <c r="M1622" s="26" t="str">
        <f>VLOOKUP(E1622,'MTS 2026 registrations'!B:B,1,false)</f>
        <v>#N/A</v>
      </c>
      <c r="N1622" s="26" t="str">
        <f>VLOOKUP(B1622,'MTS 2026 registrations'!A:A,1,false)</f>
        <v>#N/A</v>
      </c>
      <c r="O1622" s="38" t="str">
        <f t="shared" si="12"/>
        <v>Marked</v>
      </c>
    </row>
    <row r="1623" ht="12.75" customHeight="1">
      <c r="A1623" s="19" t="str">
        <f t="shared" si="13"/>
        <v>Viktor Koppenol oasysnow</v>
      </c>
      <c r="B1623" s="19" t="s">
        <v>9508</v>
      </c>
      <c r="C1623" s="53" t="s">
        <v>9509</v>
      </c>
      <c r="D1623" s="53" t="s">
        <v>9510</v>
      </c>
      <c r="E1623" s="88" t="s">
        <v>9511</v>
      </c>
      <c r="F1623" s="28" t="s">
        <v>7624</v>
      </c>
      <c r="G1623" s="32" t="s">
        <v>46</v>
      </c>
      <c r="H1623" s="25" t="s">
        <v>47</v>
      </c>
      <c r="J1623" s="35" t="s">
        <v>9512</v>
      </c>
      <c r="K1623" s="27" t="s">
        <v>50</v>
      </c>
      <c r="L1623" s="13" t="s">
        <v>9513</v>
      </c>
      <c r="M1623" s="26" t="str">
        <f>VLOOKUP(E1623,'MTS 2026 registrations'!B:B,1,false)</f>
        <v>#N/A</v>
      </c>
      <c r="N1623" s="26" t="str">
        <f>VLOOKUP(B1623,'MTS 2026 registrations'!A:A,1,false)</f>
        <v>#N/A</v>
      </c>
      <c r="O1623" s="38" t="str">
        <f t="shared" si="12"/>
        <v>Marked</v>
      </c>
    </row>
    <row r="1624" ht="12.75" customHeight="1">
      <c r="A1624" s="19" t="str">
        <f t="shared" si="13"/>
        <v>Vladimir Nedovic aic4nl</v>
      </c>
      <c r="B1624" s="19" t="s">
        <v>9514</v>
      </c>
      <c r="C1624" s="121" t="s">
        <v>9515</v>
      </c>
      <c r="D1624" s="121" t="s">
        <v>9516</v>
      </c>
      <c r="E1624" s="140" t="s">
        <v>9517</v>
      </c>
      <c r="F1624" s="121" t="s">
        <v>2136</v>
      </c>
      <c r="G1624" s="32" t="s">
        <v>1306</v>
      </c>
      <c r="H1624" s="13" t="s">
        <v>213</v>
      </c>
      <c r="J1624" s="35" t="s">
        <v>9518</v>
      </c>
      <c r="K1624" s="27" t="s">
        <v>50</v>
      </c>
      <c r="L1624" s="13" t="s">
        <v>9519</v>
      </c>
      <c r="M1624" s="26" t="str">
        <f>VLOOKUP(E1624,'MTS 2026 registrations'!B:B,1,false)</f>
        <v>#N/A</v>
      </c>
      <c r="N1624" s="26" t="str">
        <f>VLOOKUP(B1624,'MTS 2026 registrations'!A:A,1,false)</f>
        <v>#N/A</v>
      </c>
      <c r="O1624" s="38" t="str">
        <f t="shared" si="12"/>
        <v>Marked</v>
      </c>
    </row>
    <row r="1625" ht="12.75" customHeight="1">
      <c r="A1625" s="19" t="str">
        <f t="shared" si="13"/>
        <v>Vladimir Ponomarev EVI Safety Technology</v>
      </c>
      <c r="B1625" s="19" t="s">
        <v>9520</v>
      </c>
      <c r="C1625" s="121" t="s">
        <v>9515</v>
      </c>
      <c r="D1625" s="121" t="s">
        <v>9521</v>
      </c>
      <c r="E1625" s="191" t="s">
        <v>9522</v>
      </c>
      <c r="F1625" s="35" t="s">
        <v>632</v>
      </c>
      <c r="G1625" s="32" t="s">
        <v>46</v>
      </c>
      <c r="H1625" s="25" t="s">
        <v>139</v>
      </c>
      <c r="J1625" s="35" t="s">
        <v>9523</v>
      </c>
      <c r="K1625" s="27" t="s">
        <v>50</v>
      </c>
      <c r="L1625" s="13" t="s">
        <v>9524</v>
      </c>
      <c r="M1625" s="26" t="str">
        <f>VLOOKUP(E1625,'MTS 2026 registrations'!B:B,1,false)</f>
        <v>#N/A</v>
      </c>
      <c r="N1625" s="26" t="str">
        <f>VLOOKUP(B1625,'MTS 2026 registrations'!A:A,1,false)</f>
        <v>#N/A</v>
      </c>
      <c r="O1625" s="38" t="str">
        <f t="shared" si="12"/>
        <v>Marked</v>
      </c>
    </row>
    <row r="1626" ht="12.75" customHeight="1">
      <c r="A1626" s="19" t="str">
        <f t="shared" si="13"/>
        <v>Vladimir EVI Safety Technology</v>
      </c>
      <c r="B1626" s="19" t="s">
        <v>9515</v>
      </c>
      <c r="C1626" s="227" t="s">
        <v>9525</v>
      </c>
      <c r="D1626" s="193"/>
      <c r="E1626" s="191" t="s">
        <v>9526</v>
      </c>
      <c r="F1626" s="28" t="s">
        <v>632</v>
      </c>
      <c r="G1626" s="32" t="s">
        <v>46</v>
      </c>
      <c r="H1626" s="25" t="s">
        <v>31</v>
      </c>
      <c r="J1626" s="35" t="s">
        <v>9527</v>
      </c>
      <c r="K1626" s="27" t="s">
        <v>50</v>
      </c>
      <c r="L1626" s="13" t="s">
        <v>9528</v>
      </c>
      <c r="M1626" s="26" t="str">
        <f>VLOOKUP(E1626,'MTS 2026 registrations'!B:B,1,false)</f>
        <v>#N/A</v>
      </c>
      <c r="N1626" s="26" t="str">
        <f>VLOOKUP(B1626,'MTS 2026 registrations'!A:A,1,false)</f>
        <v>#N/A</v>
      </c>
      <c r="O1626" s="38" t="str">
        <f t="shared" si="12"/>
        <v>Marked</v>
      </c>
    </row>
    <row r="1627" ht="12.75" customHeight="1">
      <c r="A1627" s="19" t="str">
        <f t="shared" si="13"/>
        <v>W de jong Predict IT (senseIT)</v>
      </c>
      <c r="B1627" s="19" t="s">
        <v>9529</v>
      </c>
      <c r="C1627" s="121" t="s">
        <v>9530</v>
      </c>
      <c r="D1627" s="121" t="s">
        <v>9531</v>
      </c>
      <c r="E1627" s="105" t="s">
        <v>9532</v>
      </c>
      <c r="F1627" s="210" t="s">
        <v>3439</v>
      </c>
      <c r="G1627" s="32" t="s">
        <v>46</v>
      </c>
      <c r="H1627" s="25" t="s">
        <v>47</v>
      </c>
      <c r="J1627" s="35" t="s">
        <v>9533</v>
      </c>
      <c r="K1627" s="27" t="s">
        <v>50</v>
      </c>
      <c r="L1627" s="13" t="s">
        <v>9534</v>
      </c>
      <c r="M1627" s="26" t="str">
        <f>VLOOKUP(E1627,'MTS 2026 registrations'!B:B,1,false)</f>
        <v>#N/A</v>
      </c>
      <c r="N1627" s="26" t="str">
        <f>VLOOKUP(B1627,'MTS 2026 registrations'!A:A,1,false)</f>
        <v>#N/A</v>
      </c>
      <c r="O1627" s="38" t="str">
        <f t="shared" si="12"/>
        <v>Marked</v>
      </c>
    </row>
    <row r="1628" ht="12.75" customHeight="1">
      <c r="A1628" s="19" t="str">
        <f t="shared" si="13"/>
        <v>Walt Bouwmeester KMar / COMMIT/DIR K&amp;I/MIND</v>
      </c>
      <c r="B1628" s="19" t="s">
        <v>9535</v>
      </c>
      <c r="C1628" s="233" t="s">
        <v>9536</v>
      </c>
      <c r="D1628" s="233" t="s">
        <v>9537</v>
      </c>
      <c r="E1628" s="35" t="s">
        <v>9538</v>
      </c>
      <c r="F1628" s="35" t="s">
        <v>9539</v>
      </c>
      <c r="G1628" s="24" t="s">
        <v>225</v>
      </c>
      <c r="H1628" s="25" t="s">
        <v>47</v>
      </c>
      <c r="J1628" s="35" t="s">
        <v>9540</v>
      </c>
      <c r="K1628" s="27" t="s">
        <v>50</v>
      </c>
      <c r="L1628" s="13" t="s">
        <v>9541</v>
      </c>
      <c r="M1628" s="26" t="str">
        <f>VLOOKUP(E1628,'MTS 2026 registrations'!B:B,1,false)</f>
        <v>#N/A</v>
      </c>
      <c r="N1628" s="26" t="str">
        <f>VLOOKUP(B1628,'MTS 2026 registrations'!A:A,1,false)</f>
        <v>#N/A</v>
      </c>
      <c r="O1628" s="38" t="str">
        <f t="shared" si="12"/>
        <v>Marked</v>
      </c>
    </row>
    <row r="1629" ht="12.75" customHeight="1">
      <c r="A1629" s="19" t="str">
        <f t="shared" si="13"/>
        <v>Wanda Stevens </v>
      </c>
      <c r="B1629" s="19" t="s">
        <v>9542</v>
      </c>
      <c r="C1629" s="53" t="s">
        <v>9543</v>
      </c>
      <c r="D1629" s="53" t="s">
        <v>2942</v>
      </c>
      <c r="E1629" s="88" t="s">
        <v>9544</v>
      </c>
      <c r="F1629" s="207"/>
      <c r="G1629" s="24" t="s">
        <v>225</v>
      </c>
      <c r="H1629" s="25" t="s">
        <v>47</v>
      </c>
      <c r="I1629" s="96"/>
      <c r="J1629" s="35" t="s">
        <v>9545</v>
      </c>
      <c r="K1629" s="27" t="s">
        <v>50</v>
      </c>
      <c r="L1629" s="13" t="s">
        <v>9546</v>
      </c>
      <c r="M1629" s="26" t="str">
        <f>VLOOKUP(E1629,'MTS 2026 registrations'!B:B,1,false)</f>
        <v>#N/A</v>
      </c>
      <c r="N1629" s="26" t="str">
        <f>VLOOKUP(B1629,'MTS 2026 registrations'!A:A,1,false)</f>
        <v>#N/A</v>
      </c>
      <c r="O1629" s="38" t="str">
        <f t="shared" si="12"/>
        <v>Marked</v>
      </c>
    </row>
    <row r="1630" ht="12.75" customHeight="1">
      <c r="A1630" s="19" t="str">
        <f t="shared" si="13"/>
        <v>Warner Venstra quantifiedair</v>
      </c>
      <c r="B1630" s="19" t="s">
        <v>9547</v>
      </c>
      <c r="C1630" s="53" t="s">
        <v>9548</v>
      </c>
      <c r="D1630" s="53" t="s">
        <v>9549</v>
      </c>
      <c r="E1630" s="88" t="s">
        <v>9550</v>
      </c>
      <c r="F1630" s="28" t="s">
        <v>9551</v>
      </c>
      <c r="G1630" s="32" t="s">
        <v>46</v>
      </c>
      <c r="H1630" s="25" t="s">
        <v>47</v>
      </c>
      <c r="J1630" s="35" t="s">
        <v>9552</v>
      </c>
      <c r="K1630" s="27" t="s">
        <v>50</v>
      </c>
      <c r="L1630" s="13" t="s">
        <v>9553</v>
      </c>
      <c r="M1630" s="26" t="str">
        <f>VLOOKUP(E1630,'MTS 2026 registrations'!B:B,1,false)</f>
        <v>#N/A</v>
      </c>
      <c r="N1630" s="26" t="str">
        <f>VLOOKUP(B1630,'MTS 2026 registrations'!A:A,1,false)</f>
        <v>#N/A</v>
      </c>
      <c r="O1630" s="38" t="str">
        <f t="shared" si="12"/>
        <v>Marked</v>
      </c>
    </row>
    <row r="1631" ht="12.75" customHeight="1">
      <c r="A1631" s="19" t="str">
        <f t="shared" si="13"/>
        <v>Wesley Johnson Pelagen (Daphne Textiles)</v>
      </c>
      <c r="B1631" s="19" t="s">
        <v>9554</v>
      </c>
      <c r="C1631" s="121" t="s">
        <v>2107</v>
      </c>
      <c r="D1631" s="121" t="s">
        <v>9555</v>
      </c>
      <c r="E1631" s="105" t="s">
        <v>9556</v>
      </c>
      <c r="F1631" s="210" t="s">
        <v>8822</v>
      </c>
      <c r="G1631" s="24" t="s">
        <v>46</v>
      </c>
      <c r="H1631" s="25" t="s">
        <v>47</v>
      </c>
      <c r="J1631" s="35" t="s">
        <v>9557</v>
      </c>
      <c r="K1631" s="27" t="s">
        <v>50</v>
      </c>
      <c r="L1631" s="13" t="s">
        <v>9558</v>
      </c>
      <c r="M1631" s="26" t="str">
        <f>VLOOKUP(E1631,'MTS 2026 registrations'!B:B,1,false)</f>
        <v>#N/A</v>
      </c>
      <c r="N1631" s="26" t="str">
        <f>VLOOKUP(B1631,'MTS 2026 registrations'!A:A,1,false)</f>
        <v>#N/A</v>
      </c>
      <c r="O1631" s="38" t="str">
        <f t="shared" si="12"/>
        <v>Marked</v>
      </c>
    </row>
    <row r="1632" ht="12.75" customHeight="1">
      <c r="A1632" s="19" t="str">
        <f t="shared" si="13"/>
        <v>Wichert Put YES!Delft Partner</v>
      </c>
      <c r="B1632" s="19" t="s">
        <v>9559</v>
      </c>
      <c r="C1632" s="53" t="s">
        <v>9560</v>
      </c>
      <c r="D1632" s="53" t="s">
        <v>9561</v>
      </c>
      <c r="E1632" s="205" t="s">
        <v>9562</v>
      </c>
      <c r="F1632" s="234" t="s">
        <v>2105</v>
      </c>
      <c r="G1632" s="24" t="s">
        <v>29</v>
      </c>
      <c r="H1632" s="25" t="s">
        <v>47</v>
      </c>
      <c r="I1632" s="96"/>
      <c r="J1632" s="35" t="s">
        <v>9563</v>
      </c>
      <c r="K1632" s="27" t="s">
        <v>50</v>
      </c>
      <c r="L1632" s="13" t="s">
        <v>9564</v>
      </c>
      <c r="M1632" s="26" t="str">
        <f>VLOOKUP(E1632,'MTS 2026 registrations'!B:B,1,false)</f>
        <v>#N/A</v>
      </c>
      <c r="N1632" s="26" t="str">
        <f>VLOOKUP(B1632,'MTS 2026 registrations'!A:A,1,false)</f>
        <v>#N/A</v>
      </c>
      <c r="O1632" s="38" t="str">
        <f t="shared" si="12"/>
        <v>Marked</v>
      </c>
    </row>
    <row r="1633" ht="12.75" customHeight="1">
      <c r="A1633" s="19" t="str">
        <f t="shared" si="13"/>
        <v>Wilfried de Wever minjenv</v>
      </c>
      <c r="B1633" s="19" t="s">
        <v>9565</v>
      </c>
      <c r="C1633" s="124" t="s">
        <v>9566</v>
      </c>
      <c r="D1633" s="124" t="s">
        <v>9567</v>
      </c>
      <c r="E1633" s="140" t="s">
        <v>9568</v>
      </c>
      <c r="F1633" s="121" t="s">
        <v>3559</v>
      </c>
      <c r="G1633" s="32" t="s">
        <v>323</v>
      </c>
      <c r="H1633" s="13" t="s">
        <v>45</v>
      </c>
      <c r="J1633" s="35" t="s">
        <v>9569</v>
      </c>
      <c r="K1633" s="27" t="s">
        <v>50</v>
      </c>
      <c r="L1633" s="13" t="s">
        <v>9570</v>
      </c>
      <c r="M1633" s="26" t="str">
        <f>VLOOKUP(E1633,'MTS 2026 registrations'!B:B,1,false)</f>
        <v>#N/A</v>
      </c>
      <c r="N1633" s="26" t="str">
        <f>VLOOKUP(B1633,'MTS 2026 registrations'!A:A,1,false)</f>
        <v>#N/A</v>
      </c>
      <c r="O1633" s="38" t="str">
        <f t="shared" si="12"/>
        <v>Marked</v>
      </c>
    </row>
    <row r="1634" ht="12.75" customHeight="1">
      <c r="A1634" s="19" t="str">
        <f t="shared" si="13"/>
        <v>Willem Ridderhof ISPS software</v>
      </c>
      <c r="B1634" s="19" t="s">
        <v>9571</v>
      </c>
      <c r="C1634" s="121" t="s">
        <v>1160</v>
      </c>
      <c r="D1634" s="121" t="s">
        <v>9572</v>
      </c>
      <c r="E1634" s="105" t="s">
        <v>9573</v>
      </c>
      <c r="F1634" s="210" t="s">
        <v>9574</v>
      </c>
      <c r="G1634" s="32" t="s">
        <v>46</v>
      </c>
      <c r="H1634" s="25" t="s">
        <v>47</v>
      </c>
      <c r="J1634" s="35" t="s">
        <v>9575</v>
      </c>
      <c r="K1634" s="27" t="s">
        <v>50</v>
      </c>
      <c r="L1634" s="13" t="s">
        <v>9576</v>
      </c>
      <c r="M1634" s="26" t="str">
        <f>VLOOKUP(E1634,'MTS 2026 registrations'!B:B,1,false)</f>
        <v>#N/A</v>
      </c>
      <c r="N1634" s="26" t="str">
        <f>VLOOKUP(B1634,'MTS 2026 registrations'!A:A,1,false)</f>
        <v>#N/A</v>
      </c>
      <c r="O1634" s="38" t="str">
        <f t="shared" si="12"/>
        <v>Marked</v>
      </c>
    </row>
    <row r="1635" ht="12.75" customHeight="1">
      <c r="A1635" s="19" t="str">
        <f t="shared" si="13"/>
        <v>Willem Weijers multifix</v>
      </c>
      <c r="B1635" s="19" t="s">
        <v>9577</v>
      </c>
      <c r="C1635" s="53" t="s">
        <v>1160</v>
      </c>
      <c r="D1635" s="53" t="s">
        <v>9578</v>
      </c>
      <c r="E1635" s="88" t="s">
        <v>9579</v>
      </c>
      <c r="F1635" s="28" t="s">
        <v>2389</v>
      </c>
      <c r="G1635" s="24" t="s">
        <v>163</v>
      </c>
      <c r="H1635" s="25" t="s">
        <v>164</v>
      </c>
      <c r="J1635" s="35" t="s">
        <v>9580</v>
      </c>
      <c r="K1635" s="27" t="s">
        <v>50</v>
      </c>
      <c r="L1635" s="13" t="s">
        <v>9581</v>
      </c>
      <c r="M1635" s="26" t="str">
        <f>VLOOKUP(E1635,'MTS 2026 registrations'!B:B,1,false)</f>
        <v>#N/A</v>
      </c>
      <c r="N1635" s="26" t="str">
        <f>VLOOKUP(B1635,'MTS 2026 registrations'!A:A,1,false)</f>
        <v>#N/A</v>
      </c>
      <c r="O1635" s="38" t="str">
        <f t="shared" si="12"/>
        <v>Marked</v>
      </c>
    </row>
    <row r="1636" ht="12.75" customHeight="1">
      <c r="A1636" s="19" t="str">
        <f t="shared" si="13"/>
        <v>Willem Zwetsloot SeaState5</v>
      </c>
      <c r="B1636" s="19" t="s">
        <v>9582</v>
      </c>
      <c r="C1636" s="121" t="s">
        <v>1160</v>
      </c>
      <c r="D1636" s="121" t="s">
        <v>9583</v>
      </c>
      <c r="E1636" s="105" t="s">
        <v>9584</v>
      </c>
      <c r="F1636" s="210" t="s">
        <v>4399</v>
      </c>
      <c r="G1636" s="24" t="s">
        <v>46</v>
      </c>
      <c r="H1636" s="25" t="s">
        <v>47</v>
      </c>
      <c r="J1636" s="35" t="s">
        <v>9585</v>
      </c>
      <c r="K1636" s="27" t="s">
        <v>50</v>
      </c>
      <c r="L1636" s="13" t="s">
        <v>9586</v>
      </c>
      <c r="M1636" s="26" t="str">
        <f>VLOOKUP(E1636,'MTS 2026 registrations'!B:B,1,false)</f>
        <v>#N/A</v>
      </c>
      <c r="N1636" s="26" t="str">
        <f>VLOOKUP(B1636,'MTS 2026 registrations'!A:A,1,false)</f>
        <v>#N/A</v>
      </c>
      <c r="O1636" s="38" t="str">
        <f t="shared" si="12"/>
        <v>Marked</v>
      </c>
    </row>
    <row r="1637" ht="12.75" customHeight="1">
      <c r="A1637" s="19" t="str">
        <f t="shared" si="13"/>
        <v>Willem Kesteloo FOTONIQ (Physee spin-out)</v>
      </c>
      <c r="B1637" s="19" t="s">
        <v>9587</v>
      </c>
      <c r="C1637" s="121" t="s">
        <v>1160</v>
      </c>
      <c r="D1637" s="121" t="s">
        <v>9588</v>
      </c>
      <c r="E1637" s="235" t="s">
        <v>9589</v>
      </c>
      <c r="F1637" s="210" t="s">
        <v>9590</v>
      </c>
      <c r="G1637" s="24" t="s">
        <v>46</v>
      </c>
      <c r="H1637" s="25" t="s">
        <v>47</v>
      </c>
      <c r="J1637" s="35" t="s">
        <v>9591</v>
      </c>
      <c r="K1637" s="27" t="s">
        <v>50</v>
      </c>
      <c r="L1637" s="13" t="s">
        <v>9592</v>
      </c>
      <c r="M1637" s="26" t="str">
        <f>VLOOKUP(E1637,'MTS 2026 registrations'!B:B,1,false)</f>
        <v>#N/A</v>
      </c>
      <c r="N1637" s="26" t="str">
        <f>VLOOKUP(B1637,'MTS 2026 registrations'!A:A,1,false)</f>
        <v>#N/A</v>
      </c>
      <c r="O1637" s="38" t="str">
        <f t="shared" si="12"/>
        <v>Marked</v>
      </c>
    </row>
    <row r="1638" ht="12.75" customHeight="1">
      <c r="A1638" s="19" t="str">
        <f t="shared" si="13"/>
        <v>Willem van der Graaf McNetiq</v>
      </c>
      <c r="B1638" s="19" t="s">
        <v>9593</v>
      </c>
      <c r="C1638" s="121" t="s">
        <v>1160</v>
      </c>
      <c r="D1638" s="121" t="s">
        <v>8790</v>
      </c>
      <c r="E1638" s="105" t="s">
        <v>9594</v>
      </c>
      <c r="F1638" s="210" t="s">
        <v>3643</v>
      </c>
      <c r="G1638" s="24" t="s">
        <v>46</v>
      </c>
      <c r="H1638" s="25" t="s">
        <v>47</v>
      </c>
      <c r="J1638" s="35" t="s">
        <v>9595</v>
      </c>
      <c r="K1638" s="27" t="s">
        <v>50</v>
      </c>
      <c r="L1638" s="13" t="s">
        <v>9596</v>
      </c>
      <c r="M1638" s="26" t="str">
        <f>VLOOKUP(E1638,'MTS 2026 registrations'!B:B,1,false)</f>
        <v>#N/A</v>
      </c>
      <c r="N1638" s="26" t="str">
        <f>VLOOKUP(B1638,'MTS 2026 registrations'!A:A,1,false)</f>
        <v>#N/A</v>
      </c>
      <c r="O1638" s="38" t="str">
        <f t="shared" si="12"/>
        <v>Marked</v>
      </c>
    </row>
    <row r="1639" ht="12.75" customHeight="1">
      <c r="A1639" s="19" t="str">
        <f t="shared" si="13"/>
        <v>Willem Nerkens medishielddelft</v>
      </c>
      <c r="B1639" s="19" t="s">
        <v>9597</v>
      </c>
      <c r="C1639" s="53" t="s">
        <v>1160</v>
      </c>
      <c r="D1639" s="53" t="s">
        <v>9598</v>
      </c>
      <c r="E1639" s="88" t="s">
        <v>9599</v>
      </c>
      <c r="F1639" s="28" t="s">
        <v>9269</v>
      </c>
      <c r="G1639" s="32" t="s">
        <v>46</v>
      </c>
      <c r="H1639" s="25" t="s">
        <v>47</v>
      </c>
      <c r="J1639" s="35" t="s">
        <v>9600</v>
      </c>
      <c r="K1639" s="27" t="s">
        <v>50</v>
      </c>
      <c r="L1639" s="13" t="s">
        <v>9601</v>
      </c>
      <c r="M1639" s="26" t="str">
        <f>VLOOKUP(E1639,'MTS 2026 registrations'!B:B,1,false)</f>
        <v>#N/A</v>
      </c>
      <c r="N1639" s="26" t="str">
        <f>VLOOKUP(B1639,'MTS 2026 registrations'!A:A,1,false)</f>
        <v>#N/A</v>
      </c>
      <c r="O1639" s="38" t="str">
        <f t="shared" si="12"/>
        <v>Marked</v>
      </c>
    </row>
    <row r="1640" ht="12.75" customHeight="1">
      <c r="A1640" s="19" t="str">
        <f t="shared" si="13"/>
        <v>Willem Schellekens velotech</v>
      </c>
      <c r="B1640" s="19" t="s">
        <v>9602</v>
      </c>
      <c r="C1640" s="53" t="s">
        <v>9603</v>
      </c>
      <c r="D1640" s="184" t="s">
        <v>9604</v>
      </c>
      <c r="E1640" s="224" t="s">
        <v>9605</v>
      </c>
      <c r="F1640" s="28" t="s">
        <v>9606</v>
      </c>
      <c r="G1640" s="32" t="s">
        <v>46</v>
      </c>
      <c r="H1640" s="25" t="s">
        <v>47</v>
      </c>
      <c r="I1640" s="96"/>
      <c r="J1640" s="35" t="s">
        <v>9607</v>
      </c>
      <c r="K1640" s="27" t="s">
        <v>50</v>
      </c>
      <c r="L1640" s="13" t="s">
        <v>9608</v>
      </c>
      <c r="M1640" s="26" t="str">
        <f>VLOOKUP(E1640,'MTS 2026 registrations'!B:B,1,false)</f>
        <v>#N/A</v>
      </c>
      <c r="N1640" s="26" t="str">
        <f>VLOOKUP(B1640,'MTS 2026 registrations'!A:A,1,false)</f>
        <v>#N/A</v>
      </c>
      <c r="O1640" s="38" t="str">
        <f t="shared" si="12"/>
        <v>Marked</v>
      </c>
    </row>
    <row r="1641" ht="12.75" customHeight="1">
      <c r="A1641" s="19" t="str">
        <f t="shared" si="13"/>
        <v>Willem Mees van der Bijl YSVOGEL</v>
      </c>
      <c r="B1641" s="19" t="s">
        <v>9609</v>
      </c>
      <c r="C1641" s="124" t="s">
        <v>9610</v>
      </c>
      <c r="D1641" s="124" t="s">
        <v>2236</v>
      </c>
      <c r="E1641" s="105" t="s">
        <v>9611</v>
      </c>
      <c r="F1641" s="220" t="s">
        <v>1065</v>
      </c>
      <c r="G1641" s="32" t="s">
        <v>46</v>
      </c>
      <c r="H1641" s="25" t="s">
        <v>47</v>
      </c>
      <c r="J1641" s="35" t="s">
        <v>9612</v>
      </c>
      <c r="K1641" s="27" t="s">
        <v>50</v>
      </c>
      <c r="L1641" s="13" t="s">
        <v>9613</v>
      </c>
      <c r="M1641" s="26" t="str">
        <f>VLOOKUP(E1641,'MTS 2026 registrations'!B:B,1,false)</f>
        <v>#N/A</v>
      </c>
      <c r="N1641" s="26" t="str">
        <f>VLOOKUP(B1641,'MTS 2026 registrations'!A:A,1,false)</f>
        <v>#N/A</v>
      </c>
      <c r="O1641" s="38" t="str">
        <f t="shared" si="12"/>
        <v>Marked</v>
      </c>
    </row>
    <row r="1642" ht="12.75" customHeight="1">
      <c r="A1642" s="19" t="str">
        <f t="shared" si="13"/>
        <v>William Nefkens pnptc</v>
      </c>
      <c r="B1642" s="19" t="s">
        <v>9614</v>
      </c>
      <c r="C1642" s="53" t="s">
        <v>3011</v>
      </c>
      <c r="D1642" s="53" t="s">
        <v>9615</v>
      </c>
      <c r="E1642" s="88" t="s">
        <v>9616</v>
      </c>
      <c r="F1642" s="28" t="s">
        <v>6523</v>
      </c>
      <c r="G1642" s="24" t="s">
        <v>163</v>
      </c>
      <c r="H1642" s="25" t="s">
        <v>164</v>
      </c>
      <c r="J1642" s="35" t="s">
        <v>9617</v>
      </c>
      <c r="K1642" s="27" t="s">
        <v>50</v>
      </c>
      <c r="L1642" s="13" t="s">
        <v>9618</v>
      </c>
      <c r="M1642" s="26" t="str">
        <f>VLOOKUP(E1642,'MTS 2026 registrations'!B:B,1,false)</f>
        <v>#N/A</v>
      </c>
      <c r="N1642" s="26" t="str">
        <f>VLOOKUP(B1642,'MTS 2026 registrations'!A:A,1,false)</f>
        <v>#N/A</v>
      </c>
      <c r="O1642" s="38" t="str">
        <f t="shared" si="12"/>
        <v>Marked</v>
      </c>
    </row>
    <row r="1643" ht="12.75" customHeight="1">
      <c r="A1643" s="19" t="str">
        <f t="shared" si="13"/>
        <v>William Simmonds ADI Innovations</v>
      </c>
      <c r="B1643" s="19" t="s">
        <v>9619</v>
      </c>
      <c r="C1643" s="227" t="s">
        <v>3011</v>
      </c>
      <c r="D1643" s="216" t="s">
        <v>9620</v>
      </c>
      <c r="E1643" s="199" t="s">
        <v>9621</v>
      </c>
      <c r="F1643" s="95" t="s">
        <v>9622</v>
      </c>
      <c r="G1643" s="32" t="s">
        <v>46</v>
      </c>
      <c r="H1643" s="25" t="s">
        <v>47</v>
      </c>
      <c r="J1643" s="35" t="s">
        <v>9623</v>
      </c>
      <c r="K1643" s="27" t="s">
        <v>50</v>
      </c>
      <c r="L1643" s="13" t="s">
        <v>9624</v>
      </c>
      <c r="M1643" s="26" t="str">
        <f>VLOOKUP(E1643,'MTS 2026 registrations'!B:B,1,false)</f>
        <v>#N/A</v>
      </c>
      <c r="N1643" s="26" t="str">
        <f>VLOOKUP(B1643,'MTS 2026 registrations'!A:A,1,false)</f>
        <v>#N/A</v>
      </c>
      <c r="O1643" s="38" t="str">
        <f t="shared" si="12"/>
        <v>Marked</v>
      </c>
    </row>
    <row r="1644" ht="12.75" customHeight="1">
      <c r="A1644" s="19" t="str">
        <f t="shared" si="13"/>
        <v>William Madsen NOON ventures</v>
      </c>
      <c r="B1644" s="19" t="s">
        <v>9625</v>
      </c>
      <c r="C1644" s="222" t="s">
        <v>3011</v>
      </c>
      <c r="D1644" s="222" t="s">
        <v>9626</v>
      </c>
      <c r="E1644" s="223" t="s">
        <v>9627</v>
      </c>
      <c r="F1644" s="206" t="s">
        <v>9628</v>
      </c>
      <c r="G1644" s="42" t="s">
        <v>163</v>
      </c>
      <c r="H1644" s="25" t="s">
        <v>164</v>
      </c>
      <c r="J1644" s="35" t="s">
        <v>9629</v>
      </c>
      <c r="K1644" s="27" t="s">
        <v>50</v>
      </c>
      <c r="L1644" s="13" t="s">
        <v>9630</v>
      </c>
      <c r="M1644" s="26" t="str">
        <f>VLOOKUP(E1644,'MTS 2026 registrations'!B:B,1,false)</f>
        <v>#N/A</v>
      </c>
      <c r="N1644" s="26" t="str">
        <f>VLOOKUP(B1644,'MTS 2026 registrations'!A:A,1,false)</f>
        <v>#N/A</v>
      </c>
      <c r="O1644" s="38" t="str">
        <f t="shared" si="12"/>
        <v>Marked</v>
      </c>
    </row>
    <row r="1645" ht="12.75" customHeight="1">
      <c r="A1645" s="19" t="str">
        <f t="shared" si="13"/>
        <v>Wim Grootscholten rijkzwaan</v>
      </c>
      <c r="B1645" s="19" t="s">
        <v>9631</v>
      </c>
      <c r="C1645" s="121" t="s">
        <v>134</v>
      </c>
      <c r="D1645" s="121" t="s">
        <v>9632</v>
      </c>
      <c r="E1645" s="140" t="s">
        <v>9633</v>
      </c>
      <c r="F1645" s="121" t="s">
        <v>7412</v>
      </c>
      <c r="G1645" s="32" t="s">
        <v>323</v>
      </c>
      <c r="H1645" s="13" t="s">
        <v>213</v>
      </c>
      <c r="J1645" s="35" t="s">
        <v>9634</v>
      </c>
      <c r="K1645" s="27" t="s">
        <v>50</v>
      </c>
      <c r="L1645" s="13" t="s">
        <v>9635</v>
      </c>
      <c r="M1645" s="26" t="str">
        <f>VLOOKUP(E1645,'MTS 2026 registrations'!B:B,1,false)</f>
        <v>#N/A</v>
      </c>
      <c r="N1645" s="26" t="str">
        <f>VLOOKUP(B1645,'MTS 2026 registrations'!A:A,1,false)</f>
        <v>#N/A</v>
      </c>
      <c r="O1645" s="38" t="str">
        <f t="shared" si="12"/>
        <v>Marked</v>
      </c>
    </row>
    <row r="1646" ht="12.75" customHeight="1">
      <c r="A1646" s="19" t="str">
        <f t="shared" si="13"/>
        <v>Wim Reyntiens RE:Wire Ventures</v>
      </c>
      <c r="B1646" s="19" t="s">
        <v>9636</v>
      </c>
      <c r="C1646" s="53" t="s">
        <v>134</v>
      </c>
      <c r="D1646" s="53" t="s">
        <v>9637</v>
      </c>
      <c r="E1646" s="88" t="s">
        <v>9638</v>
      </c>
      <c r="F1646" s="95" t="s">
        <v>7789</v>
      </c>
      <c r="G1646" s="24" t="s">
        <v>163</v>
      </c>
      <c r="H1646" s="26" t="s">
        <v>164</v>
      </c>
      <c r="I1646" s="7"/>
      <c r="J1646" s="35" t="s">
        <v>9639</v>
      </c>
      <c r="K1646" s="27" t="s">
        <v>50</v>
      </c>
      <c r="L1646" s="25" t="s">
        <v>9640</v>
      </c>
      <c r="M1646" s="26" t="str">
        <f>VLOOKUP(E1646,'MTS 2026 registrations'!B:B,1,false)</f>
        <v>#N/A</v>
      </c>
      <c r="N1646" s="26" t="str">
        <f>VLOOKUP(B1646,'MTS 2026 registrations'!A:A,1,false)</f>
        <v>#N/A</v>
      </c>
      <c r="O1646" s="38" t="str">
        <f t="shared" si="12"/>
        <v>Marked</v>
      </c>
    </row>
    <row r="1647" ht="12.75" customHeight="1">
      <c r="A1647" s="19" t="str">
        <f t="shared" si="13"/>
        <v>Wim van der Zande VCM Holding vcmholding</v>
      </c>
      <c r="B1647" s="19" t="s">
        <v>9641</v>
      </c>
      <c r="C1647" s="53" t="s">
        <v>134</v>
      </c>
      <c r="D1647" s="53" t="s">
        <v>9642</v>
      </c>
      <c r="E1647" s="88" t="s">
        <v>9643</v>
      </c>
      <c r="F1647" s="28" t="s">
        <v>9644</v>
      </c>
      <c r="G1647" s="24" t="s">
        <v>163</v>
      </c>
      <c r="H1647" s="25" t="s">
        <v>164</v>
      </c>
      <c r="I1647" s="96"/>
      <c r="J1647" s="35" t="s">
        <v>9645</v>
      </c>
      <c r="K1647" s="27" t="s">
        <v>50</v>
      </c>
      <c r="L1647" s="13" t="s">
        <v>9646</v>
      </c>
      <c r="M1647" s="26" t="str">
        <f>VLOOKUP(E1647,'MTS 2026 registrations'!B:B,1,false)</f>
        <v>wpm.vanderzande@vcmholding.nl</v>
      </c>
      <c r="N1647" s="26" t="str">
        <f>VLOOKUP(B1647,'MTS 2026 registrations'!A:A,1,false)</f>
        <v>#N/A</v>
      </c>
      <c r="O1647" s="38" t="str">
        <f t="shared" si="12"/>
        <v/>
      </c>
    </row>
    <row r="1648" ht="12.75" customHeight="1">
      <c r="A1648" s="19" t="str">
        <f t="shared" si="13"/>
        <v>Wout Rensink leiden</v>
      </c>
      <c r="B1648" s="19" t="s">
        <v>9647</v>
      </c>
      <c r="C1648" s="124" t="s">
        <v>9648</v>
      </c>
      <c r="D1648" s="124" t="s">
        <v>9649</v>
      </c>
      <c r="E1648" s="140" t="s">
        <v>9650</v>
      </c>
      <c r="F1648" s="121" t="s">
        <v>9651</v>
      </c>
      <c r="G1648" s="32" t="s">
        <v>323</v>
      </c>
      <c r="H1648" s="13" t="s">
        <v>45</v>
      </c>
      <c r="J1648" s="35" t="s">
        <v>9652</v>
      </c>
      <c r="K1648" s="27" t="s">
        <v>50</v>
      </c>
      <c r="L1648" s="13" t="s">
        <v>9653</v>
      </c>
      <c r="M1648" s="26" t="str">
        <f>VLOOKUP(E1648,'MTS 2026 registrations'!B:B,1,false)</f>
        <v>#N/A</v>
      </c>
      <c r="N1648" s="26" t="str">
        <f>VLOOKUP(B1648,'MTS 2026 registrations'!A:A,1,false)</f>
        <v>#N/A</v>
      </c>
      <c r="O1648" s="38" t="str">
        <f t="shared" si="12"/>
        <v>Marked</v>
      </c>
    </row>
    <row r="1649" ht="12.75" customHeight="1">
      <c r="A1649" s="19" t="str">
        <f t="shared" si="13"/>
        <v>Wout van Dijken SOL-R&amp;D</v>
      </c>
      <c r="B1649" s="19" t="s">
        <v>9654</v>
      </c>
      <c r="C1649" s="53" t="s">
        <v>9655</v>
      </c>
      <c r="D1649" s="184" t="s">
        <v>7267</v>
      </c>
      <c r="E1649" s="224" t="s">
        <v>9656</v>
      </c>
      <c r="F1649" s="35" t="s">
        <v>9657</v>
      </c>
      <c r="G1649" s="32" t="s">
        <v>46</v>
      </c>
      <c r="H1649" s="25" t="s">
        <v>47</v>
      </c>
      <c r="J1649" s="35" t="s">
        <v>9658</v>
      </c>
      <c r="K1649" s="27" t="s">
        <v>50</v>
      </c>
      <c r="L1649" s="13" t="s">
        <v>9659</v>
      </c>
      <c r="M1649" s="26" t="str">
        <f>VLOOKUP(E1649,'MTS 2026 registrations'!B:B,1,false)</f>
        <v>#N/A</v>
      </c>
      <c r="N1649" s="26" t="str">
        <f>VLOOKUP(B1649,'MTS 2026 registrations'!A:A,1,false)</f>
        <v>#N/A</v>
      </c>
      <c r="O1649" s="38" t="str">
        <f t="shared" si="12"/>
        <v>Marked</v>
      </c>
    </row>
    <row r="1650" ht="12.75" customHeight="1">
      <c r="A1650" s="19" t="str">
        <f t="shared" si="13"/>
        <v>Wouter van Dorsser InteSpring</v>
      </c>
      <c r="B1650" s="19" t="s">
        <v>9660</v>
      </c>
      <c r="C1650" s="121" t="s">
        <v>1165</v>
      </c>
      <c r="D1650" s="121" t="s">
        <v>9661</v>
      </c>
      <c r="E1650" s="226" t="s">
        <v>9662</v>
      </c>
      <c r="F1650" s="210" t="s">
        <v>2875</v>
      </c>
      <c r="G1650" s="24" t="s">
        <v>46</v>
      </c>
      <c r="H1650" s="25" t="s">
        <v>47</v>
      </c>
      <c r="J1650" s="35" t="s">
        <v>9663</v>
      </c>
      <c r="K1650" s="27" t="s">
        <v>50</v>
      </c>
      <c r="L1650" s="13" t="s">
        <v>9664</v>
      </c>
      <c r="M1650" s="26" t="str">
        <f>VLOOKUP(E1650,'MTS 2026 registrations'!B:B,1,false)</f>
        <v>#N/A</v>
      </c>
      <c r="N1650" s="26" t="str">
        <f>VLOOKUP(B1650,'MTS 2026 registrations'!A:A,1,false)</f>
        <v>#N/A</v>
      </c>
      <c r="O1650" s="38" t="str">
        <f t="shared" si="12"/>
        <v>Marked</v>
      </c>
    </row>
    <row r="1651" ht="12.75" customHeight="1">
      <c r="A1651" s="19" t="str">
        <f t="shared" si="13"/>
        <v>Wouter Holtslag angel</v>
      </c>
      <c r="B1651" s="19" t="s">
        <v>9665</v>
      </c>
      <c r="C1651" s="53" t="s">
        <v>1165</v>
      </c>
      <c r="D1651" s="53" t="s">
        <v>9666</v>
      </c>
      <c r="E1651" s="223" t="s">
        <v>9667</v>
      </c>
      <c r="F1651" s="206" t="s">
        <v>4916</v>
      </c>
      <c r="G1651" s="42" t="s">
        <v>3034</v>
      </c>
      <c r="H1651" s="25" t="s">
        <v>164</v>
      </c>
      <c r="I1651" s="96"/>
      <c r="J1651" s="35" t="s">
        <v>9668</v>
      </c>
      <c r="K1651" s="27" t="s">
        <v>50</v>
      </c>
      <c r="L1651" s="13" t="s">
        <v>9669</v>
      </c>
      <c r="M1651" s="26" t="str">
        <f>VLOOKUP(E1651,'MTS 2026 registrations'!B:B,1,false)</f>
        <v>#N/A</v>
      </c>
      <c r="N1651" s="26" t="str">
        <f>VLOOKUP(B1651,'MTS 2026 registrations'!A:A,1,false)</f>
        <v>#N/A</v>
      </c>
      <c r="O1651" s="38" t="str">
        <f t="shared" si="12"/>
        <v>Marked</v>
      </c>
    </row>
    <row r="1652" ht="12.75" customHeight="1">
      <c r="A1652" s="19" t="str">
        <f t="shared" si="13"/>
        <v>Wouter Smit Epyon</v>
      </c>
      <c r="B1652" s="19" t="s">
        <v>9670</v>
      </c>
      <c r="C1652" s="121" t="s">
        <v>1165</v>
      </c>
      <c r="D1652" s="121" t="s">
        <v>521</v>
      </c>
      <c r="E1652" s="105" t="s">
        <v>9671</v>
      </c>
      <c r="F1652" s="210" t="s">
        <v>4055</v>
      </c>
      <c r="G1652" s="24" t="s">
        <v>46</v>
      </c>
      <c r="H1652" s="25" t="s">
        <v>47</v>
      </c>
      <c r="J1652" s="35" t="s">
        <v>9672</v>
      </c>
      <c r="K1652" s="27" t="s">
        <v>50</v>
      </c>
      <c r="L1652" s="13" t="s">
        <v>9673</v>
      </c>
      <c r="M1652" s="26" t="str">
        <f>VLOOKUP(E1652,'MTS 2026 registrations'!B:B,1,false)</f>
        <v>#N/A</v>
      </c>
      <c r="N1652" s="26" t="str">
        <f>VLOOKUP(B1652,'MTS 2026 registrations'!A:A,1,false)</f>
        <v>#N/A</v>
      </c>
      <c r="O1652" s="38" t="str">
        <f t="shared" si="12"/>
        <v>Marked</v>
      </c>
    </row>
    <row r="1653" ht="12.75" customHeight="1">
      <c r="A1653" s="19" t="str">
        <f t="shared" si="13"/>
        <v>Wouter van Guldener somnox</v>
      </c>
      <c r="B1653" s="19" t="s">
        <v>9674</v>
      </c>
      <c r="C1653" s="53" t="s">
        <v>1165</v>
      </c>
      <c r="D1653" s="53" t="s">
        <v>9675</v>
      </c>
      <c r="E1653" s="105" t="s">
        <v>9676</v>
      </c>
      <c r="F1653" s="28" t="s">
        <v>5951</v>
      </c>
      <c r="G1653" s="32" t="s">
        <v>46</v>
      </c>
      <c r="H1653" s="25" t="s">
        <v>47</v>
      </c>
      <c r="J1653" s="35" t="s">
        <v>9677</v>
      </c>
      <c r="K1653" s="27" t="s">
        <v>50</v>
      </c>
      <c r="L1653" s="13" t="s">
        <v>9678</v>
      </c>
      <c r="M1653" s="26" t="str">
        <f>VLOOKUP(E1653,'MTS 2026 registrations'!B:B,1,false)</f>
        <v>#N/A</v>
      </c>
      <c r="N1653" s="26" t="str">
        <f>VLOOKUP(B1653,'MTS 2026 registrations'!A:A,1,false)</f>
        <v>#N/A</v>
      </c>
      <c r="O1653" s="38" t="str">
        <f t="shared" si="12"/>
        <v>Marked</v>
      </c>
    </row>
    <row r="1654" ht="12.75" customHeight="1">
      <c r="A1654" s="19" t="str">
        <f t="shared" si="13"/>
        <v>Wouter de Bruijne ParkBee, YES!Delft</v>
      </c>
      <c r="B1654" s="19" t="s">
        <v>9679</v>
      </c>
      <c r="C1654" s="121" t="s">
        <v>1165</v>
      </c>
      <c r="D1654" s="121" t="s">
        <v>9680</v>
      </c>
      <c r="E1654" s="191" t="s">
        <v>9681</v>
      </c>
      <c r="F1654" s="35" t="s">
        <v>9682</v>
      </c>
      <c r="G1654" s="32" t="s">
        <v>46</v>
      </c>
      <c r="H1654" s="25" t="s">
        <v>139</v>
      </c>
      <c r="J1654" s="35" t="s">
        <v>9683</v>
      </c>
      <c r="K1654" s="27" t="s">
        <v>50</v>
      </c>
      <c r="L1654" s="13" t="s">
        <v>9684</v>
      </c>
      <c r="M1654" s="26" t="str">
        <f>VLOOKUP(E1654,'MTS 2026 registrations'!B:B,1,false)</f>
        <v>#N/A</v>
      </c>
      <c r="N1654" s="26" t="str">
        <f>VLOOKUP(B1654,'MTS 2026 registrations'!A:A,1,false)</f>
        <v>#N/A</v>
      </c>
      <c r="O1654" s="38" t="str">
        <f t="shared" si="12"/>
        <v>Marked</v>
      </c>
    </row>
    <row r="1655" ht="12.75" customHeight="1">
      <c r="A1655" s="19" t="str">
        <f t="shared" si="13"/>
        <v>Wouter Riedijk mocs</v>
      </c>
      <c r="B1655" s="19" t="s">
        <v>9685</v>
      </c>
      <c r="C1655" s="53" t="s">
        <v>1165</v>
      </c>
      <c r="D1655" s="53" t="s">
        <v>9686</v>
      </c>
      <c r="E1655" s="105" t="s">
        <v>9687</v>
      </c>
      <c r="F1655" s="28" t="s">
        <v>7890</v>
      </c>
      <c r="G1655" s="32" t="s">
        <v>46</v>
      </c>
      <c r="H1655" s="25" t="s">
        <v>47</v>
      </c>
      <c r="J1655" s="35" t="s">
        <v>9688</v>
      </c>
      <c r="K1655" s="27" t="s">
        <v>50</v>
      </c>
      <c r="L1655" s="13" t="s">
        <v>9689</v>
      </c>
      <c r="M1655" s="26" t="str">
        <f>VLOOKUP(E1655,'MTS 2026 registrations'!B:B,1,false)</f>
        <v>#N/A</v>
      </c>
      <c r="N1655" s="26" t="str">
        <f>VLOOKUP(B1655,'MTS 2026 registrations'!A:A,1,false)</f>
        <v>#N/A</v>
      </c>
      <c r="O1655" s="38" t="str">
        <f t="shared" si="12"/>
        <v>Marked</v>
      </c>
    </row>
    <row r="1656" ht="12.75" customHeight="1">
      <c r="A1656" s="19" t="str">
        <f t="shared" si="13"/>
        <v>Wouter Jan Ubbels isispace</v>
      </c>
      <c r="B1656" s="19" t="s">
        <v>9690</v>
      </c>
      <c r="C1656" s="53" t="s">
        <v>9691</v>
      </c>
      <c r="D1656" s="53" t="s">
        <v>9692</v>
      </c>
      <c r="E1656" s="105" t="s">
        <v>9693</v>
      </c>
      <c r="F1656" s="28" t="s">
        <v>3055</v>
      </c>
      <c r="G1656" s="32" t="s">
        <v>46</v>
      </c>
      <c r="H1656" s="25" t="s">
        <v>47</v>
      </c>
      <c r="J1656" s="35" t="s">
        <v>9694</v>
      </c>
      <c r="K1656" s="27" t="s">
        <v>50</v>
      </c>
      <c r="L1656" s="13" t="s">
        <v>9695</v>
      </c>
      <c r="M1656" s="26" t="str">
        <f>VLOOKUP(E1656,'MTS 2026 registrations'!B:B,1,false)</f>
        <v>#N/A</v>
      </c>
      <c r="N1656" s="26" t="str">
        <f>VLOOKUP(B1656,'MTS 2026 registrations'!A:A,1,false)</f>
        <v>#N/A</v>
      </c>
      <c r="O1656" s="38" t="str">
        <f t="shared" si="12"/>
        <v>Marked</v>
      </c>
    </row>
    <row r="1657" ht="12.75" customHeight="1">
      <c r="A1657" s="19" t="str">
        <f t="shared" si="13"/>
        <v>Wytze Vries Effium (NeoStove)</v>
      </c>
      <c r="B1657" s="19" t="s">
        <v>9696</v>
      </c>
      <c r="C1657" s="121" t="s">
        <v>9697</v>
      </c>
      <c r="D1657" s="121" t="s">
        <v>9154</v>
      </c>
      <c r="E1657" s="236" t="s">
        <v>9698</v>
      </c>
      <c r="F1657" s="210" t="s">
        <v>9071</v>
      </c>
      <c r="G1657" s="24" t="s">
        <v>46</v>
      </c>
      <c r="H1657" s="25" t="s">
        <v>47</v>
      </c>
      <c r="J1657" s="35" t="s">
        <v>9699</v>
      </c>
      <c r="K1657" s="27" t="s">
        <v>50</v>
      </c>
      <c r="L1657" s="13" t="s">
        <v>9700</v>
      </c>
      <c r="M1657" s="26" t="str">
        <f>VLOOKUP(E1657,'MTS 2026 registrations'!B:B,1,false)</f>
        <v>#N/A</v>
      </c>
      <c r="N1657" s="26" t="str">
        <f>VLOOKUP(B1657,'MTS 2026 registrations'!A:A,1,false)</f>
        <v>#N/A</v>
      </c>
      <c r="O1657" s="38" t="str">
        <f t="shared" si="12"/>
        <v>Marked</v>
      </c>
    </row>
    <row r="1658" ht="12.75" customHeight="1">
      <c r="A1658" s="19" t="str">
        <f t="shared" si="13"/>
        <v>Xavier Aubry ZAZ Ventures</v>
      </c>
      <c r="B1658" s="19" t="s">
        <v>9701</v>
      </c>
      <c r="C1658" s="53" t="s">
        <v>9702</v>
      </c>
      <c r="D1658" s="53" t="s">
        <v>9703</v>
      </c>
      <c r="E1658" s="205" t="s">
        <v>9704</v>
      </c>
      <c r="F1658" s="206" t="s">
        <v>9705</v>
      </c>
      <c r="G1658" s="42" t="s">
        <v>163</v>
      </c>
      <c r="H1658" s="25" t="s">
        <v>164</v>
      </c>
      <c r="I1658" s="96"/>
      <c r="J1658" s="35" t="s">
        <v>9706</v>
      </c>
      <c r="K1658" s="27" t="s">
        <v>50</v>
      </c>
      <c r="L1658" s="13" t="s">
        <v>9707</v>
      </c>
      <c r="M1658" s="26" t="str">
        <f>VLOOKUP(E1658,'MTS 2026 registrations'!B:B,1,false)</f>
        <v>#N/A</v>
      </c>
      <c r="N1658" s="26" t="str">
        <f>VLOOKUP(B1658,'MTS 2026 registrations'!A:A,1,false)</f>
        <v>#N/A</v>
      </c>
      <c r="O1658" s="38" t="str">
        <f t="shared" si="12"/>
        <v>Marked</v>
      </c>
    </row>
    <row r="1659" ht="12.75" customHeight="1">
      <c r="A1659" s="19" t="str">
        <f t="shared" si="13"/>
        <v>Yaella Essed innovationquarter</v>
      </c>
      <c r="B1659" s="19" t="s">
        <v>9708</v>
      </c>
      <c r="C1659" s="193" t="s">
        <v>9709</v>
      </c>
      <c r="D1659" s="193" t="s">
        <v>9710</v>
      </c>
      <c r="E1659" s="191" t="s">
        <v>9711</v>
      </c>
      <c r="F1659" s="209" t="s">
        <v>161</v>
      </c>
      <c r="G1659" s="24" t="s">
        <v>29</v>
      </c>
      <c r="H1659" s="25" t="s">
        <v>139</v>
      </c>
      <c r="J1659" s="35" t="s">
        <v>9712</v>
      </c>
      <c r="K1659" s="27" t="s">
        <v>50</v>
      </c>
      <c r="L1659" s="13" t="s">
        <v>9713</v>
      </c>
      <c r="M1659" s="26" t="str">
        <f>VLOOKUP(E1659,'MTS 2026 registrations'!B:B,1,false)</f>
        <v>yaella.essed@innovationquarter.nl</v>
      </c>
      <c r="N1659" s="26" t="str">
        <f>VLOOKUP(B1659,'MTS 2026 registrations'!A:A,1,false)</f>
        <v>Yaella Essed</v>
      </c>
      <c r="O1659" s="38" t="str">
        <f t="shared" si="12"/>
        <v/>
      </c>
    </row>
    <row r="1660" ht="12.75" customHeight="1">
      <c r="A1660" s="19" t="str">
        <f t="shared" si="13"/>
        <v>Yannick Maltha </v>
      </c>
      <c r="B1660" s="19" t="s">
        <v>9714</v>
      </c>
      <c r="C1660" s="237" t="s">
        <v>2116</v>
      </c>
      <c r="D1660" s="216" t="s">
        <v>9715</v>
      </c>
      <c r="E1660" s="199" t="s">
        <v>9716</v>
      </c>
      <c r="F1660" s="231"/>
      <c r="G1660" s="104"/>
      <c r="H1660" s="13" t="s">
        <v>213</v>
      </c>
      <c r="I1660" s="7" t="s">
        <v>2939</v>
      </c>
      <c r="J1660" s="35" t="s">
        <v>9717</v>
      </c>
      <c r="K1660" s="27" t="s">
        <v>50</v>
      </c>
      <c r="L1660" s="13" t="s">
        <v>9718</v>
      </c>
      <c r="M1660" s="26" t="str">
        <f>VLOOKUP(E1660,'MTS 2026 registrations'!B:B,1,false)</f>
        <v>#N/A</v>
      </c>
      <c r="N1660" s="26" t="str">
        <f>VLOOKUP(B1660,'MTS 2026 registrations'!A:A,1,false)</f>
        <v>#N/A</v>
      </c>
      <c r="O1660" s="38" t="str">
        <f t="shared" si="12"/>
        <v>Marked</v>
      </c>
    </row>
    <row r="1661" ht="12.75" customHeight="1">
      <c r="A1661" s="19" t="str">
        <f t="shared" si="13"/>
        <v>Yoeri Nagtegaal evening-breeze</v>
      </c>
      <c r="B1661" s="19" t="s">
        <v>9719</v>
      </c>
      <c r="C1661" s="53" t="s">
        <v>9720</v>
      </c>
      <c r="D1661" s="53" t="s">
        <v>9721</v>
      </c>
      <c r="E1661" s="105" t="s">
        <v>9722</v>
      </c>
      <c r="F1661" s="28" t="s">
        <v>9218</v>
      </c>
      <c r="G1661" s="32" t="s">
        <v>46</v>
      </c>
      <c r="H1661" s="25" t="s">
        <v>47</v>
      </c>
      <c r="J1661" s="35" t="s">
        <v>9723</v>
      </c>
      <c r="K1661" s="27" t="s">
        <v>50</v>
      </c>
      <c r="L1661" s="13" t="s">
        <v>9724</v>
      </c>
      <c r="M1661" s="26" t="str">
        <f>VLOOKUP(E1661,'MTS 2026 registrations'!B:B,1,false)</f>
        <v>#N/A</v>
      </c>
      <c r="N1661" s="26" t="str">
        <f>VLOOKUP(B1661,'MTS 2026 registrations'!A:A,1,false)</f>
        <v>#N/A</v>
      </c>
      <c r="O1661" s="38" t="str">
        <f t="shared" si="12"/>
        <v>Marked</v>
      </c>
    </row>
    <row r="1662" ht="12.75" customHeight="1">
      <c r="A1662" s="19" t="str">
        <f t="shared" si="13"/>
        <v>Yorick Niessink fluxthor</v>
      </c>
      <c r="B1662" s="19" t="s">
        <v>9725</v>
      </c>
      <c r="C1662" s="238" t="s">
        <v>9726</v>
      </c>
      <c r="D1662" s="53" t="s">
        <v>9727</v>
      </c>
      <c r="E1662" s="239" t="s">
        <v>9728</v>
      </c>
      <c r="F1662" s="28" t="s">
        <v>5903</v>
      </c>
      <c r="G1662" s="32" t="s">
        <v>46</v>
      </c>
      <c r="H1662" s="25" t="s">
        <v>47</v>
      </c>
      <c r="J1662" s="35" t="s">
        <v>9729</v>
      </c>
      <c r="K1662" s="27" t="s">
        <v>50</v>
      </c>
      <c r="L1662" s="13" t="s">
        <v>9730</v>
      </c>
      <c r="M1662" s="26" t="str">
        <f>VLOOKUP(E1662,'MTS 2026 registrations'!B:B,1,false)</f>
        <v>#N/A</v>
      </c>
      <c r="N1662" s="26" t="str">
        <f>VLOOKUP(B1662,'MTS 2026 registrations'!A:A,1,false)</f>
        <v>#N/A</v>
      </c>
      <c r="O1662" s="38" t="str">
        <f t="shared" si="12"/>
        <v>Marked</v>
      </c>
    </row>
    <row r="1663" ht="12.75" customHeight="1">
      <c r="A1663" s="19" t="str">
        <f t="shared" si="13"/>
        <v>Yuri Meijer MangoStone</v>
      </c>
      <c r="B1663" s="19" t="s">
        <v>9731</v>
      </c>
      <c r="C1663" s="121" t="s">
        <v>1188</v>
      </c>
      <c r="D1663" s="121" t="s">
        <v>1731</v>
      </c>
      <c r="E1663" s="105" t="s">
        <v>9732</v>
      </c>
      <c r="F1663" s="210" t="s">
        <v>7337</v>
      </c>
      <c r="G1663" s="24" t="s">
        <v>46</v>
      </c>
      <c r="H1663" s="25" t="s">
        <v>47</v>
      </c>
      <c r="J1663" s="35" t="s">
        <v>9733</v>
      </c>
      <c r="K1663" s="27" t="s">
        <v>50</v>
      </c>
      <c r="L1663" s="13" t="s">
        <v>9734</v>
      </c>
      <c r="M1663" s="26" t="str">
        <f>VLOOKUP(E1663,'MTS 2026 registrations'!B:B,1,false)</f>
        <v>#N/A</v>
      </c>
      <c r="N1663" s="26" t="str">
        <f>VLOOKUP(B1663,'MTS 2026 registrations'!A:A,1,false)</f>
        <v>#N/A</v>
      </c>
      <c r="O1663" s="38" t="str">
        <f t="shared" si="12"/>
        <v>Marked</v>
      </c>
    </row>
    <row r="1664" ht="12.75" customHeight="1">
      <c r="A1664" s="19" t="str">
        <f t="shared" si="13"/>
        <v>Yvette Fleming TNO</v>
      </c>
      <c r="B1664" s="19" t="s">
        <v>9735</v>
      </c>
      <c r="C1664" s="205" t="s">
        <v>9736</v>
      </c>
      <c r="D1664" s="121" t="s">
        <v>6384</v>
      </c>
      <c r="E1664" s="140" t="s">
        <v>9737</v>
      </c>
      <c r="F1664" s="124" t="s">
        <v>2484</v>
      </c>
      <c r="G1664" s="32" t="s">
        <v>43</v>
      </c>
      <c r="H1664" s="13" t="s">
        <v>45</v>
      </c>
      <c r="J1664" s="35" t="s">
        <v>9738</v>
      </c>
      <c r="K1664" s="27" t="s">
        <v>50</v>
      </c>
      <c r="L1664" s="13" t="s">
        <v>9739</v>
      </c>
      <c r="M1664" s="26" t="str">
        <f>VLOOKUP(E1664,'MTS 2026 registrations'!B:B,1,false)</f>
        <v>#N/A</v>
      </c>
      <c r="N1664" s="26" t="str">
        <f>VLOOKUP(B1664,'MTS 2026 registrations'!A:A,1,false)</f>
        <v>#N/A</v>
      </c>
      <c r="O1664" s="38" t="str">
        <f t="shared" si="12"/>
        <v>Marked</v>
      </c>
    </row>
    <row r="1665" ht="12.75" customHeight="1">
      <c r="A1665" s="19" t="str">
        <f t="shared" si="13"/>
        <v>Yvonne Ramdin-Trip rotterdam</v>
      </c>
      <c r="B1665" s="19" t="s">
        <v>9740</v>
      </c>
      <c r="C1665" s="193" t="s">
        <v>9741</v>
      </c>
      <c r="D1665" s="193" t="s">
        <v>9742</v>
      </c>
      <c r="E1665" s="191" t="s">
        <v>9743</v>
      </c>
      <c r="F1665" s="209" t="s">
        <v>1597</v>
      </c>
      <c r="G1665" s="32" t="s">
        <v>323</v>
      </c>
      <c r="H1665" s="25" t="s">
        <v>139</v>
      </c>
      <c r="J1665" s="35" t="s">
        <v>9744</v>
      </c>
      <c r="K1665" s="27" t="s">
        <v>50</v>
      </c>
      <c r="L1665" s="13" t="s">
        <v>9745</v>
      </c>
      <c r="M1665" s="26" t="str">
        <f>VLOOKUP(E1665,'MTS 2026 registrations'!B:B,1,false)</f>
        <v>#N/A</v>
      </c>
      <c r="N1665" s="26" t="str">
        <f>VLOOKUP(B1665,'MTS 2026 registrations'!A:A,1,false)</f>
        <v>#N/A</v>
      </c>
      <c r="O1665" s="38" t="str">
        <f t="shared" si="12"/>
        <v>Marked</v>
      </c>
    </row>
    <row r="1666" ht="12.75" customHeight="1">
      <c r="A1666" s="19" t="str">
        <f t="shared" si="13"/>
        <v>Yvonne de Greeuw Invest-NL</v>
      </c>
      <c r="B1666" s="19" t="s">
        <v>9746</v>
      </c>
      <c r="C1666" s="53" t="s">
        <v>9741</v>
      </c>
      <c r="D1666" s="53" t="s">
        <v>9747</v>
      </c>
      <c r="E1666" s="140" t="s">
        <v>9748</v>
      </c>
      <c r="F1666" s="28" t="s">
        <v>9749</v>
      </c>
      <c r="G1666" s="129" t="s">
        <v>163</v>
      </c>
      <c r="H1666" s="13" t="s">
        <v>213</v>
      </c>
      <c r="J1666" s="35" t="s">
        <v>9750</v>
      </c>
      <c r="K1666" s="27" t="s">
        <v>50</v>
      </c>
      <c r="L1666" s="13" t="s">
        <v>9751</v>
      </c>
      <c r="M1666" s="26" t="str">
        <f>VLOOKUP(E1666,'MTS 2026 registrations'!B:B,1,false)</f>
        <v>#N/A</v>
      </c>
      <c r="N1666" s="26" t="str">
        <f>VLOOKUP(B1666,'MTS 2026 registrations'!A:A,1,false)</f>
        <v>#N/A</v>
      </c>
      <c r="O1666" s="38" t="str">
        <f t="shared" si="12"/>
        <v>Marked</v>
      </c>
    </row>
    <row r="1667" ht="12.75" customHeight="1">
      <c r="A1667" s="19" t="str">
        <f t="shared" si="13"/>
        <v>Zac Cesaro Hymonic</v>
      </c>
      <c r="B1667" s="19" t="s">
        <v>9752</v>
      </c>
      <c r="C1667" s="193" t="s">
        <v>9753</v>
      </c>
      <c r="D1667" s="193" t="s">
        <v>9754</v>
      </c>
      <c r="E1667" s="240" t="s">
        <v>9755</v>
      </c>
      <c r="F1667" s="28" t="s">
        <v>8026</v>
      </c>
      <c r="G1667" s="32" t="s">
        <v>46</v>
      </c>
      <c r="H1667" s="25" t="s">
        <v>31</v>
      </c>
      <c r="J1667" s="35" t="s">
        <v>9756</v>
      </c>
      <c r="K1667" s="27" t="s">
        <v>50</v>
      </c>
      <c r="L1667" s="13" t="s">
        <v>9757</v>
      </c>
      <c r="M1667" s="26" t="str">
        <f>VLOOKUP(E1667,'MTS 2026 registrations'!B:B,1,false)</f>
        <v>zachary.cesaro@hymonic.com</v>
      </c>
      <c r="N1667" s="26" t="str">
        <f>VLOOKUP(B1667,'MTS 2026 registrations'!A:A,1,false)</f>
        <v>#N/A</v>
      </c>
      <c r="O1667" s="38" t="str">
        <f t="shared" si="12"/>
        <v/>
      </c>
    </row>
    <row r="1668" ht="12.75" customHeight="1">
      <c r="A1668" s="19" t="str">
        <f t="shared" si="13"/>
        <v>Zdravko Angelov vizionz</v>
      </c>
      <c r="B1668" s="19" t="s">
        <v>9758</v>
      </c>
      <c r="C1668" s="53" t="s">
        <v>9759</v>
      </c>
      <c r="D1668" s="53" t="s">
        <v>9451</v>
      </c>
      <c r="E1668" s="105" t="s">
        <v>9760</v>
      </c>
      <c r="F1668" s="28" t="s">
        <v>9453</v>
      </c>
      <c r="G1668" s="32" t="s">
        <v>46</v>
      </c>
      <c r="H1668" s="25" t="s">
        <v>47</v>
      </c>
      <c r="I1668" s="96"/>
      <c r="J1668" s="35" t="s">
        <v>9761</v>
      </c>
      <c r="K1668" s="27" t="s">
        <v>50</v>
      </c>
      <c r="L1668" s="13" t="s">
        <v>9762</v>
      </c>
      <c r="M1668" s="26" t="str">
        <f>VLOOKUP(E1668,'MTS 2026 registrations'!B:B,1,false)</f>
        <v>#N/A</v>
      </c>
      <c r="N1668" s="26" t="str">
        <f>VLOOKUP(B1668,'MTS 2026 registrations'!A:A,1,false)</f>
        <v>#N/A</v>
      </c>
      <c r="O1668" s="38" t="str">
        <f t="shared" si="12"/>
        <v>Marked</v>
      </c>
    </row>
    <row r="1669" ht="12.75" customHeight="1">
      <c r="A1669" s="19" t="str">
        <f t="shared" si="13"/>
        <v>Ziyaad Jaber medvice</v>
      </c>
      <c r="B1669" s="241" t="s">
        <v>9763</v>
      </c>
      <c r="C1669" s="53" t="s">
        <v>9764</v>
      </c>
      <c r="D1669" s="53" t="s">
        <v>9104</v>
      </c>
      <c r="E1669" s="105" t="s">
        <v>9765</v>
      </c>
      <c r="F1669" s="28" t="s">
        <v>9106</v>
      </c>
      <c r="G1669" s="219" t="s">
        <v>46</v>
      </c>
      <c r="H1669" s="110" t="s">
        <v>47</v>
      </c>
      <c r="J1669" s="35" t="s">
        <v>9766</v>
      </c>
      <c r="K1669" s="146" t="s">
        <v>50</v>
      </c>
      <c r="L1669" s="7" t="s">
        <v>9767</v>
      </c>
      <c r="M1669" s="26" t="str">
        <f>VLOOKUP(E1669,'MTS 2026 registrations'!B:B,1,false)</f>
        <v>#N/A</v>
      </c>
      <c r="N1669" s="26" t="str">
        <f>VLOOKUP(B1669,'MTS 2026 registrations'!A:A,1,false)</f>
        <v>#N/A</v>
      </c>
      <c r="O1669" s="38" t="str">
        <f t="shared" si="12"/>
        <v>Marked</v>
      </c>
    </row>
    <row r="1670" ht="12.75" customHeight="1">
      <c r="A1670" s="241"/>
      <c r="B1670" s="241" t="s">
        <v>329</v>
      </c>
      <c r="C1670" s="53"/>
      <c r="D1670" s="242"/>
      <c r="E1670" s="88"/>
      <c r="F1670" s="207"/>
      <c r="G1670" s="243"/>
      <c r="H1670" s="95"/>
      <c r="I1670" s="110"/>
      <c r="J1670" s="96"/>
      <c r="K1670" s="146"/>
      <c r="L1670" s="146"/>
      <c r="M1670" s="26" t="str">
        <f>VLOOKUP(E1670,'MTS 2026 registrations'!B:B,1,false)</f>
        <v>#N/A</v>
      </c>
      <c r="N1670" s="26" t="str">
        <f>VLOOKUP(B1670,'MTS 2026 registrations'!A:A,1,false)</f>
        <v>#N/A</v>
      </c>
      <c r="O1670" s="28"/>
    </row>
    <row r="1671" ht="12.75" customHeight="1">
      <c r="A1671" s="241"/>
      <c r="B1671" s="241" t="s">
        <v>329</v>
      </c>
      <c r="C1671" s="53"/>
      <c r="D1671" s="242"/>
      <c r="E1671" s="88"/>
      <c r="F1671" s="207"/>
      <c r="G1671" s="243"/>
      <c r="H1671" s="95"/>
      <c r="I1671" s="110"/>
      <c r="J1671" s="96"/>
      <c r="K1671" s="146"/>
      <c r="L1671" s="146"/>
      <c r="M1671" s="26" t="str">
        <f>VLOOKUP(E1671,'MTS 2026 registrations'!B:B,1,false)</f>
        <v>#N/A</v>
      </c>
      <c r="N1671" s="26" t="str">
        <f>VLOOKUP(B1671,'MTS 2026 registrations'!A:A,1,false)</f>
        <v>#N/A</v>
      </c>
      <c r="O1671" s="28"/>
    </row>
    <row r="1672" ht="12.75" customHeight="1">
      <c r="A1672" s="241"/>
      <c r="B1672" s="241" t="s">
        <v>329</v>
      </c>
      <c r="C1672" s="53"/>
      <c r="D1672" s="242"/>
      <c r="E1672" s="88"/>
      <c r="F1672" s="207"/>
      <c r="G1672" s="243"/>
      <c r="H1672" s="95"/>
      <c r="I1672" s="110"/>
      <c r="J1672" s="96"/>
      <c r="K1672" s="146"/>
      <c r="L1672" s="146"/>
      <c r="M1672" s="26" t="str">
        <f>VLOOKUP(E1672,'MTS 2026 registrations'!B:B,1,false)</f>
        <v>#N/A</v>
      </c>
      <c r="N1672" s="26" t="str">
        <f>VLOOKUP(B1672,'MTS 2026 registrations'!A:A,1,false)</f>
        <v>#N/A</v>
      </c>
      <c r="O1672" s="28"/>
    </row>
    <row r="1673" ht="12.75" customHeight="1">
      <c r="A1673" s="241"/>
      <c r="B1673" s="241" t="s">
        <v>329</v>
      </c>
      <c r="C1673" s="53"/>
      <c r="D1673" s="242"/>
      <c r="E1673" s="88"/>
      <c r="F1673" s="207"/>
      <c r="G1673" s="243"/>
      <c r="H1673" s="95"/>
      <c r="I1673" s="110"/>
      <c r="J1673" s="96"/>
      <c r="K1673" s="146"/>
      <c r="L1673" s="146"/>
      <c r="M1673" s="26" t="str">
        <f>VLOOKUP(E1673,'MTS 2026 registrations'!B:B,1,false)</f>
        <v>#N/A</v>
      </c>
      <c r="N1673" s="26" t="str">
        <f>VLOOKUP(B1673,'MTS 2026 registrations'!A:A,1,false)</f>
        <v>#N/A</v>
      </c>
      <c r="O1673" s="28"/>
    </row>
    <row r="1674" ht="12.75" customHeight="1">
      <c r="A1674" s="241"/>
      <c r="B1674" s="241" t="s">
        <v>329</v>
      </c>
      <c r="C1674" s="53"/>
      <c r="D1674" s="242"/>
      <c r="E1674" s="88"/>
      <c r="F1674" s="207"/>
      <c r="G1674" s="243"/>
      <c r="H1674" s="95"/>
      <c r="I1674" s="110"/>
      <c r="J1674" s="96"/>
      <c r="K1674" s="146"/>
      <c r="L1674" s="146"/>
      <c r="M1674" s="26" t="str">
        <f>VLOOKUP(E1674,'MTS 2026 registrations'!B:B,1,false)</f>
        <v>#N/A</v>
      </c>
      <c r="N1674" s="26" t="str">
        <f>VLOOKUP(B1674,'MTS 2026 registrations'!A:A,1,false)</f>
        <v>#N/A</v>
      </c>
      <c r="O1674" s="28"/>
    </row>
    <row r="1675" ht="12.75" customHeight="1">
      <c r="A1675" s="241"/>
      <c r="B1675" s="241" t="s">
        <v>329</v>
      </c>
      <c r="C1675" s="53"/>
      <c r="D1675" s="242"/>
      <c r="E1675" s="88"/>
      <c r="F1675" s="207"/>
      <c r="G1675" s="243"/>
      <c r="H1675" s="95"/>
      <c r="I1675" s="110"/>
      <c r="J1675" s="96"/>
      <c r="K1675" s="146"/>
      <c r="L1675" s="146"/>
      <c r="M1675" s="26" t="str">
        <f>VLOOKUP(E1675,'MTS 2026 registrations'!B:B,1,false)</f>
        <v>#N/A</v>
      </c>
      <c r="N1675" s="26" t="str">
        <f>VLOOKUP(B1675,'MTS 2026 registrations'!A:A,1,false)</f>
        <v>#N/A</v>
      </c>
      <c r="O1675" s="28"/>
    </row>
    <row r="1676" ht="12.75" customHeight="1">
      <c r="A1676" s="241"/>
      <c r="B1676" s="241" t="s">
        <v>329</v>
      </c>
      <c r="C1676" s="53"/>
      <c r="D1676" s="242"/>
      <c r="E1676" s="88"/>
      <c r="F1676" s="207"/>
      <c r="G1676" s="243"/>
      <c r="H1676" s="95"/>
      <c r="I1676" s="110"/>
      <c r="J1676" s="96"/>
      <c r="K1676" s="146"/>
      <c r="L1676" s="146"/>
      <c r="M1676" s="26" t="str">
        <f>VLOOKUP(E1676,'MTS 2026 registrations'!B:B,1,false)</f>
        <v>#N/A</v>
      </c>
      <c r="N1676" s="26" t="str">
        <f>VLOOKUP(B1676,'MTS 2026 registrations'!A:A,1,false)</f>
        <v>#N/A</v>
      </c>
      <c r="O1676" s="28"/>
    </row>
    <row r="1677" ht="12.75" customHeight="1">
      <c r="A1677" s="241"/>
      <c r="B1677" s="241" t="s">
        <v>329</v>
      </c>
      <c r="C1677" s="53"/>
      <c r="D1677" s="242"/>
      <c r="E1677" s="88"/>
      <c r="F1677" s="207"/>
      <c r="G1677" s="243"/>
      <c r="H1677" s="95"/>
      <c r="I1677" s="110"/>
      <c r="J1677" s="96"/>
      <c r="K1677" s="146"/>
      <c r="L1677" s="146"/>
      <c r="M1677" s="26" t="str">
        <f>VLOOKUP(E1677,'MTS 2026 registrations'!B:B,1,false)</f>
        <v>#N/A</v>
      </c>
      <c r="N1677" s="26" t="str">
        <f>VLOOKUP(B1677,'MTS 2026 registrations'!A:A,1,false)</f>
        <v>#N/A</v>
      </c>
      <c r="O1677" s="28"/>
    </row>
    <row r="1678" ht="12.75" customHeight="1">
      <c r="A1678" s="241"/>
      <c r="B1678" s="241" t="s">
        <v>329</v>
      </c>
      <c r="C1678" s="53"/>
      <c r="D1678" s="242"/>
      <c r="E1678" s="88"/>
      <c r="F1678" s="207"/>
      <c r="G1678" s="243"/>
      <c r="H1678" s="95"/>
      <c r="I1678" s="110"/>
      <c r="J1678" s="96"/>
      <c r="K1678" s="146"/>
      <c r="L1678" s="146"/>
      <c r="M1678" s="26" t="str">
        <f>VLOOKUP(E1678,'MTS 2026 registrations'!B:B,1,false)</f>
        <v>#N/A</v>
      </c>
      <c r="N1678" s="26" t="str">
        <f>VLOOKUP(B1678,'MTS 2026 registrations'!A:A,1,false)</f>
        <v>#N/A</v>
      </c>
      <c r="O1678" s="28"/>
    </row>
    <row r="1679" ht="12.75" customHeight="1">
      <c r="A1679" s="241"/>
      <c r="B1679" s="241" t="s">
        <v>329</v>
      </c>
      <c r="C1679" s="53"/>
      <c r="D1679" s="242"/>
      <c r="E1679" s="88"/>
      <c r="F1679" s="207"/>
      <c r="G1679" s="243"/>
      <c r="H1679" s="95"/>
      <c r="I1679" s="110"/>
      <c r="J1679" s="96"/>
      <c r="K1679" s="146"/>
      <c r="L1679" s="146"/>
      <c r="M1679" s="26" t="str">
        <f>VLOOKUP(E1679,'MTS 2026 registrations'!B:B,1,false)</f>
        <v>#N/A</v>
      </c>
      <c r="N1679" s="26" t="str">
        <f>VLOOKUP(B1679,'MTS 2026 registrations'!A:A,1,false)</f>
        <v>#N/A</v>
      </c>
      <c r="O1679" s="28"/>
    </row>
    <row r="1680" ht="12.75" customHeight="1">
      <c r="A1680" s="241"/>
      <c r="B1680" s="241" t="s">
        <v>329</v>
      </c>
      <c r="C1680" s="53"/>
      <c r="D1680" s="242"/>
      <c r="E1680" s="88"/>
      <c r="F1680" s="207"/>
      <c r="G1680" s="243"/>
      <c r="H1680" s="95"/>
      <c r="I1680" s="110"/>
      <c r="J1680" s="96"/>
      <c r="K1680" s="146"/>
      <c r="L1680" s="146"/>
      <c r="M1680" s="26" t="str">
        <f>VLOOKUP(E1680,'MTS 2026 registrations'!B:B,1,false)</f>
        <v>#N/A</v>
      </c>
      <c r="N1680" s="26" t="str">
        <f>VLOOKUP(B1680,'MTS 2026 registrations'!A:A,1,false)</f>
        <v>#N/A</v>
      </c>
      <c r="O1680" s="28"/>
    </row>
    <row r="1681" ht="12.75" customHeight="1">
      <c r="A1681" s="241"/>
      <c r="B1681" s="241" t="s">
        <v>329</v>
      </c>
      <c r="C1681" s="53"/>
      <c r="D1681" s="242"/>
      <c r="E1681" s="88"/>
      <c r="F1681" s="207"/>
      <c r="G1681" s="243"/>
      <c r="H1681" s="95"/>
      <c r="I1681" s="110"/>
      <c r="J1681" s="96"/>
      <c r="K1681" s="146"/>
      <c r="L1681" s="146"/>
      <c r="M1681" s="26" t="str">
        <f>VLOOKUP(E1681,'MTS 2026 registrations'!B:B,1,false)</f>
        <v>#N/A</v>
      </c>
      <c r="N1681" s="26" t="str">
        <f>VLOOKUP(B1681,'MTS 2026 registrations'!A:A,1,false)</f>
        <v>#N/A</v>
      </c>
      <c r="O1681" s="28"/>
    </row>
    <row r="1682" ht="12.75" customHeight="1">
      <c r="A1682" s="241"/>
      <c r="B1682" s="241" t="s">
        <v>329</v>
      </c>
      <c r="C1682" s="53"/>
      <c r="D1682" s="242"/>
      <c r="E1682" s="88"/>
      <c r="F1682" s="207"/>
      <c r="G1682" s="243"/>
      <c r="H1682" s="95"/>
      <c r="I1682" s="110"/>
      <c r="J1682" s="96"/>
      <c r="K1682" s="146"/>
      <c r="L1682" s="146"/>
      <c r="M1682" s="26" t="str">
        <f>VLOOKUP(E1682,'MTS 2026 registrations'!B:B,1,false)</f>
        <v>#N/A</v>
      </c>
      <c r="N1682" s="26" t="str">
        <f>VLOOKUP(B1682,'MTS 2026 registrations'!A:A,1,false)</f>
        <v>#N/A</v>
      </c>
      <c r="O1682" s="28"/>
    </row>
    <row r="1683" ht="12.75" customHeight="1">
      <c r="A1683" s="241"/>
      <c r="B1683" s="241" t="s">
        <v>329</v>
      </c>
      <c r="C1683" s="53"/>
      <c r="D1683" s="242"/>
      <c r="E1683" s="88"/>
      <c r="F1683" s="207"/>
      <c r="G1683" s="243"/>
      <c r="H1683" s="95"/>
      <c r="I1683" s="110"/>
      <c r="J1683" s="96"/>
      <c r="K1683" s="146"/>
      <c r="L1683" s="146"/>
      <c r="M1683" s="26" t="str">
        <f>VLOOKUP(E1683,'MTS 2026 registrations'!B:B,1,false)</f>
        <v>#N/A</v>
      </c>
      <c r="N1683" s="26" t="str">
        <f>VLOOKUP(B1683,'MTS 2026 registrations'!A:A,1,false)</f>
        <v>#N/A</v>
      </c>
      <c r="O1683" s="28"/>
    </row>
    <row r="1684" ht="12.75" customHeight="1">
      <c r="A1684" s="241"/>
      <c r="B1684" s="241" t="s">
        <v>329</v>
      </c>
      <c r="C1684" s="53"/>
      <c r="D1684" s="242"/>
      <c r="E1684" s="88"/>
      <c r="F1684" s="207"/>
      <c r="G1684" s="243"/>
      <c r="H1684" s="95"/>
      <c r="I1684" s="110"/>
      <c r="J1684" s="96"/>
      <c r="K1684" s="146"/>
      <c r="L1684" s="146"/>
      <c r="M1684" s="26" t="str">
        <f>VLOOKUP(E1684,'MTS 2026 registrations'!B:B,1,false)</f>
        <v>#N/A</v>
      </c>
      <c r="N1684" s="26" t="str">
        <f>VLOOKUP(B1684,'MTS 2026 registrations'!A:A,1,false)</f>
        <v>#N/A</v>
      </c>
      <c r="O1684" s="28"/>
    </row>
    <row r="1685" ht="12.75" customHeight="1">
      <c r="A1685" s="241"/>
      <c r="B1685" s="241" t="s">
        <v>329</v>
      </c>
      <c r="C1685" s="53"/>
      <c r="D1685" s="242"/>
      <c r="E1685" s="88"/>
      <c r="F1685" s="207"/>
      <c r="G1685" s="243"/>
      <c r="H1685" s="95"/>
      <c r="I1685" s="110"/>
      <c r="J1685" s="96"/>
      <c r="K1685" s="146"/>
      <c r="L1685" s="146"/>
      <c r="M1685" s="26" t="str">
        <f>VLOOKUP(E1685,'MTS 2026 registrations'!B:B,1,false)</f>
        <v>#N/A</v>
      </c>
      <c r="N1685" s="26" t="str">
        <f>VLOOKUP(B1685,'MTS 2026 registrations'!A:A,1,false)</f>
        <v>#N/A</v>
      </c>
      <c r="O1685" s="28"/>
    </row>
    <row r="1686" ht="12.75" customHeight="1">
      <c r="A1686" s="241"/>
      <c r="B1686" s="241" t="s">
        <v>329</v>
      </c>
      <c r="C1686" s="53"/>
      <c r="D1686" s="242"/>
      <c r="E1686" s="88"/>
      <c r="F1686" s="207"/>
      <c r="G1686" s="243"/>
      <c r="H1686" s="95"/>
      <c r="I1686" s="110"/>
      <c r="J1686" s="96"/>
      <c r="K1686" s="146"/>
      <c r="L1686" s="146"/>
      <c r="M1686" s="26" t="str">
        <f>VLOOKUP(E1686,'MTS 2026 registrations'!B:B,1,false)</f>
        <v>#N/A</v>
      </c>
      <c r="N1686" s="26" t="str">
        <f>VLOOKUP(B1686,'MTS 2026 registrations'!A:A,1,false)</f>
        <v>#N/A</v>
      </c>
      <c r="O1686" s="28"/>
    </row>
    <row r="1687" ht="12.75" customHeight="1">
      <c r="A1687" s="241"/>
      <c r="B1687" s="241" t="s">
        <v>329</v>
      </c>
      <c r="C1687" s="53"/>
      <c r="D1687" s="242"/>
      <c r="E1687" s="88"/>
      <c r="F1687" s="207"/>
      <c r="G1687" s="243"/>
      <c r="H1687" s="95"/>
      <c r="I1687" s="110"/>
      <c r="J1687" s="96"/>
      <c r="K1687" s="146"/>
      <c r="L1687" s="146"/>
      <c r="M1687" s="26" t="str">
        <f>VLOOKUP(E1687,'MTS 2026 registrations'!B:B,1,false)</f>
        <v>#N/A</v>
      </c>
      <c r="N1687" s="26" t="str">
        <f>VLOOKUP(B1687,'MTS 2026 registrations'!A:A,1,false)</f>
        <v>#N/A</v>
      </c>
      <c r="O1687" s="28"/>
    </row>
    <row r="1688" ht="12.75" customHeight="1">
      <c r="A1688" s="241"/>
      <c r="B1688" s="241" t="s">
        <v>329</v>
      </c>
      <c r="C1688" s="53"/>
      <c r="D1688" s="242"/>
      <c r="E1688" s="88"/>
      <c r="F1688" s="207"/>
      <c r="G1688" s="243"/>
      <c r="H1688" s="95"/>
      <c r="I1688" s="110"/>
      <c r="J1688" s="96"/>
      <c r="K1688" s="146"/>
      <c r="L1688" s="146"/>
      <c r="M1688" s="26" t="str">
        <f>VLOOKUP(E1688,'MTS 2026 registrations'!B:B,1,false)</f>
        <v>#N/A</v>
      </c>
      <c r="N1688" s="26" t="str">
        <f>VLOOKUP(B1688,'MTS 2026 registrations'!A:A,1,false)</f>
        <v>#N/A</v>
      </c>
      <c r="O1688" s="28"/>
    </row>
    <row r="1689" ht="12.75" customHeight="1">
      <c r="A1689" s="241"/>
      <c r="B1689" s="241" t="s">
        <v>329</v>
      </c>
      <c r="C1689" s="53"/>
      <c r="D1689" s="242"/>
      <c r="E1689" s="88"/>
      <c r="F1689" s="207"/>
      <c r="G1689" s="243"/>
      <c r="H1689" s="95"/>
      <c r="I1689" s="110"/>
      <c r="J1689" s="96"/>
      <c r="K1689" s="146"/>
      <c r="L1689" s="146"/>
      <c r="M1689" s="26" t="str">
        <f>VLOOKUP(E1689,'MTS 2026 registrations'!B:B,1,false)</f>
        <v>#N/A</v>
      </c>
      <c r="N1689" s="26" t="str">
        <f>VLOOKUP(B1689,'MTS 2026 registrations'!A:A,1,false)</f>
        <v>#N/A</v>
      </c>
      <c r="O1689" s="28"/>
    </row>
    <row r="1690" ht="12.75" customHeight="1">
      <c r="A1690" s="241"/>
      <c r="B1690" s="241" t="s">
        <v>329</v>
      </c>
      <c r="C1690" s="53"/>
      <c r="D1690" s="242"/>
      <c r="E1690" s="88"/>
      <c r="F1690" s="207"/>
      <c r="G1690" s="243"/>
      <c r="H1690" s="95"/>
      <c r="I1690" s="110"/>
      <c r="J1690" s="96"/>
      <c r="K1690" s="146"/>
      <c r="L1690" s="146"/>
      <c r="M1690" s="26" t="str">
        <f>VLOOKUP(E1690,'MTS 2026 registrations'!B:B,1,false)</f>
        <v>#N/A</v>
      </c>
      <c r="N1690" s="26" t="str">
        <f>VLOOKUP(B1690,'MTS 2026 registrations'!A:A,1,false)</f>
        <v>#N/A</v>
      </c>
      <c r="O1690" s="28"/>
    </row>
    <row r="1691" ht="12.75" customHeight="1">
      <c r="A1691" s="241"/>
      <c r="B1691" s="241" t="s">
        <v>329</v>
      </c>
      <c r="C1691" s="53"/>
      <c r="D1691" s="242"/>
      <c r="E1691" s="88"/>
      <c r="F1691" s="207"/>
      <c r="G1691" s="243"/>
      <c r="H1691" s="95"/>
      <c r="I1691" s="110"/>
      <c r="J1691" s="96"/>
      <c r="K1691" s="146"/>
      <c r="L1691" s="146"/>
      <c r="M1691" s="26" t="str">
        <f>VLOOKUP(E1691,'MTS 2026 registrations'!B:B,1,false)</f>
        <v>#N/A</v>
      </c>
      <c r="N1691" s="26" t="str">
        <f>VLOOKUP(B1691,'MTS 2026 registrations'!A:A,1,false)</f>
        <v>#N/A</v>
      </c>
      <c r="O1691" s="28"/>
    </row>
    <row r="1692" ht="12.75" customHeight="1">
      <c r="A1692" s="241"/>
      <c r="B1692" s="241" t="s">
        <v>329</v>
      </c>
      <c r="C1692" s="53"/>
      <c r="D1692" s="242"/>
      <c r="E1692" s="88"/>
      <c r="F1692" s="207"/>
      <c r="G1692" s="243"/>
      <c r="H1692" s="95"/>
      <c r="I1692" s="110"/>
      <c r="J1692" s="96"/>
      <c r="K1692" s="146"/>
      <c r="L1692" s="146"/>
      <c r="M1692" s="26" t="str">
        <f>VLOOKUP(E1692,'MTS 2026 registrations'!B:B,1,false)</f>
        <v>#N/A</v>
      </c>
      <c r="N1692" s="26" t="str">
        <f>VLOOKUP(B1692,'MTS 2026 registrations'!A:A,1,false)</f>
        <v>#N/A</v>
      </c>
      <c r="O1692" s="28"/>
    </row>
    <row r="1693" ht="12.75" customHeight="1">
      <c r="A1693" s="241"/>
      <c r="B1693" s="241" t="s">
        <v>329</v>
      </c>
      <c r="C1693" s="53"/>
      <c r="D1693" s="242"/>
      <c r="E1693" s="88"/>
      <c r="F1693" s="207"/>
      <c r="G1693" s="243"/>
      <c r="H1693" s="95"/>
      <c r="I1693" s="110"/>
      <c r="J1693" s="96"/>
      <c r="K1693" s="146"/>
      <c r="L1693" s="146"/>
      <c r="M1693" s="26" t="str">
        <f>VLOOKUP(E1693,'MTS 2026 registrations'!B:B,1,false)</f>
        <v>#N/A</v>
      </c>
      <c r="N1693" s="26" t="str">
        <f>VLOOKUP(B1693,'MTS 2026 registrations'!A:A,1,false)</f>
        <v>#N/A</v>
      </c>
      <c r="O1693" s="28"/>
    </row>
    <row r="1694" ht="12.75" customHeight="1">
      <c r="A1694" s="241"/>
      <c r="B1694" s="241" t="s">
        <v>329</v>
      </c>
      <c r="C1694" s="53"/>
      <c r="D1694" s="242"/>
      <c r="E1694" s="88"/>
      <c r="F1694" s="207"/>
      <c r="G1694" s="243"/>
      <c r="H1694" s="95"/>
      <c r="I1694" s="110"/>
      <c r="J1694" s="96"/>
      <c r="K1694" s="146"/>
      <c r="L1694" s="146"/>
      <c r="M1694" s="26" t="str">
        <f>VLOOKUP(E1694,'MTS 2026 registrations'!B:B,1,false)</f>
        <v>#N/A</v>
      </c>
      <c r="N1694" s="26" t="str">
        <f>VLOOKUP(B1694,'MTS 2026 registrations'!A:A,1,false)</f>
        <v>#N/A</v>
      </c>
      <c r="O1694" s="28"/>
    </row>
    <row r="1695" ht="12.75" customHeight="1">
      <c r="A1695" s="241"/>
      <c r="B1695" s="241" t="s">
        <v>329</v>
      </c>
      <c r="C1695" s="53"/>
      <c r="D1695" s="242"/>
      <c r="E1695" s="88"/>
      <c r="F1695" s="207"/>
      <c r="G1695" s="243"/>
      <c r="H1695" s="95"/>
      <c r="I1695" s="110"/>
      <c r="J1695" s="96"/>
      <c r="K1695" s="146"/>
      <c r="L1695" s="146"/>
      <c r="M1695" s="26" t="str">
        <f>VLOOKUP(E1695,'MTS 2026 registrations'!B:B,1,false)</f>
        <v>#N/A</v>
      </c>
      <c r="N1695" s="26" t="str">
        <f>VLOOKUP(B1695,'MTS 2026 registrations'!A:A,1,false)</f>
        <v>#N/A</v>
      </c>
      <c r="O1695" s="28"/>
    </row>
    <row r="1696" ht="12.75" customHeight="1">
      <c r="A1696" s="241"/>
      <c r="B1696" s="241" t="s">
        <v>329</v>
      </c>
      <c r="C1696" s="53"/>
      <c r="D1696" s="242"/>
      <c r="E1696" s="88"/>
      <c r="F1696" s="207"/>
      <c r="G1696" s="243"/>
      <c r="H1696" s="95"/>
      <c r="I1696" s="110"/>
      <c r="J1696" s="96"/>
      <c r="K1696" s="146"/>
      <c r="L1696" s="146"/>
      <c r="M1696" s="26" t="str">
        <f>VLOOKUP(E1696,'MTS 2026 registrations'!B:B,1,false)</f>
        <v>#N/A</v>
      </c>
      <c r="N1696" s="26" t="str">
        <f>VLOOKUP(B1696,'MTS 2026 registrations'!A:A,1,false)</f>
        <v>#N/A</v>
      </c>
      <c r="O1696" s="28"/>
    </row>
    <row r="1697" ht="12.75" customHeight="1">
      <c r="A1697" s="241"/>
      <c r="B1697" s="241" t="s">
        <v>329</v>
      </c>
      <c r="C1697" s="53"/>
      <c r="D1697" s="242"/>
      <c r="E1697" s="88"/>
      <c r="F1697" s="207"/>
      <c r="G1697" s="243"/>
      <c r="H1697" s="95"/>
      <c r="I1697" s="110"/>
      <c r="J1697" s="96"/>
      <c r="K1697" s="146"/>
      <c r="L1697" s="146"/>
      <c r="M1697" s="26" t="str">
        <f>VLOOKUP(E1697,'MTS 2026 registrations'!B:B,1,false)</f>
        <v>#N/A</v>
      </c>
      <c r="N1697" s="26" t="str">
        <f>VLOOKUP(B1697,'MTS 2026 registrations'!A:A,1,false)</f>
        <v>#N/A</v>
      </c>
      <c r="O1697" s="28"/>
    </row>
    <row r="1698" ht="12.75" customHeight="1">
      <c r="A1698" s="241"/>
      <c r="B1698" s="241" t="s">
        <v>329</v>
      </c>
      <c r="C1698" s="53"/>
      <c r="D1698" s="242"/>
      <c r="E1698" s="88"/>
      <c r="F1698" s="207"/>
      <c r="G1698" s="243"/>
      <c r="H1698" s="95"/>
      <c r="I1698" s="110"/>
      <c r="J1698" s="96"/>
      <c r="K1698" s="146"/>
      <c r="L1698" s="146"/>
      <c r="M1698" s="26" t="str">
        <f>VLOOKUP(E1698,'MTS 2026 registrations'!B:B,1,false)</f>
        <v>#N/A</v>
      </c>
      <c r="N1698" s="26" t="str">
        <f>VLOOKUP(B1698,'MTS 2026 registrations'!A:A,1,false)</f>
        <v>#N/A</v>
      </c>
      <c r="O1698" s="28"/>
    </row>
    <row r="1699" ht="12.75" customHeight="1">
      <c r="A1699" s="241"/>
      <c r="B1699" s="241" t="s">
        <v>329</v>
      </c>
      <c r="C1699" s="53"/>
      <c r="D1699" s="242"/>
      <c r="E1699" s="88"/>
      <c r="F1699" s="207"/>
      <c r="G1699" s="243"/>
      <c r="H1699" s="95"/>
      <c r="I1699" s="110"/>
      <c r="J1699" s="96"/>
      <c r="K1699" s="146"/>
      <c r="L1699" s="146"/>
      <c r="M1699" s="26" t="str">
        <f>VLOOKUP(E1699,'MTS 2026 registrations'!B:B,1,false)</f>
        <v>#N/A</v>
      </c>
      <c r="N1699" s="26" t="str">
        <f>VLOOKUP(B1699,'MTS 2026 registrations'!A:A,1,false)</f>
        <v>#N/A</v>
      </c>
      <c r="O1699" s="28"/>
    </row>
    <row r="1700" ht="12.75" customHeight="1">
      <c r="A1700" s="241"/>
      <c r="B1700" s="241" t="s">
        <v>329</v>
      </c>
      <c r="C1700" s="53"/>
      <c r="D1700" s="242"/>
      <c r="E1700" s="88"/>
      <c r="F1700" s="207"/>
      <c r="G1700" s="243"/>
      <c r="H1700" s="95"/>
      <c r="I1700" s="110"/>
      <c r="J1700" s="96"/>
      <c r="K1700" s="146"/>
      <c r="L1700" s="146"/>
      <c r="M1700" s="26" t="str">
        <f>VLOOKUP(E1700,'MTS 2026 registrations'!B:B,1,false)</f>
        <v>#N/A</v>
      </c>
      <c r="N1700" s="26" t="str">
        <f>VLOOKUP(B1700,'MTS 2026 registrations'!A:A,1,false)</f>
        <v>#N/A</v>
      </c>
      <c r="O1700" s="28"/>
    </row>
    <row r="1701" ht="12.75" customHeight="1">
      <c r="A1701" s="241"/>
      <c r="B1701" s="241" t="s">
        <v>329</v>
      </c>
      <c r="C1701" s="53"/>
      <c r="D1701" s="242"/>
      <c r="E1701" s="88"/>
      <c r="F1701" s="207"/>
      <c r="G1701" s="243"/>
      <c r="H1701" s="95"/>
      <c r="I1701" s="110"/>
      <c r="J1701" s="96"/>
      <c r="K1701" s="146"/>
      <c r="L1701" s="146"/>
      <c r="M1701" s="26" t="str">
        <f>VLOOKUP(E1701,'MTS 2026 registrations'!B:B,1,false)</f>
        <v>#N/A</v>
      </c>
      <c r="N1701" s="26" t="str">
        <f>VLOOKUP(B1701,'MTS 2026 registrations'!A:A,1,false)</f>
        <v>#N/A</v>
      </c>
      <c r="O1701" s="28"/>
    </row>
    <row r="1702" ht="12.75" customHeight="1">
      <c r="A1702" s="241"/>
      <c r="B1702" s="241" t="s">
        <v>329</v>
      </c>
      <c r="C1702" s="53"/>
      <c r="D1702" s="242"/>
      <c r="E1702" s="88"/>
      <c r="F1702" s="207"/>
      <c r="G1702" s="243"/>
      <c r="H1702" s="95"/>
      <c r="I1702" s="110"/>
      <c r="J1702" s="96"/>
      <c r="K1702" s="146"/>
      <c r="L1702" s="146"/>
      <c r="M1702" s="26" t="str">
        <f>VLOOKUP(E1702,'MTS 2026 registrations'!B:B,1,false)</f>
        <v>#N/A</v>
      </c>
      <c r="N1702" s="26" t="str">
        <f>VLOOKUP(B1702,'MTS 2026 registrations'!A:A,1,false)</f>
        <v>#N/A</v>
      </c>
      <c r="O1702" s="28"/>
    </row>
    <row r="1703" ht="12.75" customHeight="1">
      <c r="A1703" s="241"/>
      <c r="B1703" s="241" t="s">
        <v>329</v>
      </c>
      <c r="C1703" s="53"/>
      <c r="D1703" s="242"/>
      <c r="E1703" s="88"/>
      <c r="F1703" s="207"/>
      <c r="G1703" s="243"/>
      <c r="H1703" s="95"/>
      <c r="I1703" s="110"/>
      <c r="J1703" s="96"/>
      <c r="K1703" s="146"/>
      <c r="L1703" s="146"/>
      <c r="M1703" s="26" t="str">
        <f>VLOOKUP(E1703,'MTS 2026 registrations'!B:B,1,false)</f>
        <v>#N/A</v>
      </c>
      <c r="N1703" s="26" t="str">
        <f>VLOOKUP(B1703,'MTS 2026 registrations'!A:A,1,false)</f>
        <v>#N/A</v>
      </c>
      <c r="O1703" s="28"/>
    </row>
    <row r="1704" ht="12.75" customHeight="1">
      <c r="A1704" s="241"/>
      <c r="B1704" s="241" t="s">
        <v>329</v>
      </c>
      <c r="C1704" s="53"/>
      <c r="D1704" s="242"/>
      <c r="E1704" s="88"/>
      <c r="F1704" s="207"/>
      <c r="G1704" s="243"/>
      <c r="H1704" s="95"/>
      <c r="I1704" s="110"/>
      <c r="J1704" s="96"/>
      <c r="K1704" s="146"/>
      <c r="L1704" s="146"/>
      <c r="M1704" s="26" t="str">
        <f>VLOOKUP(E1704,'MTS 2026 registrations'!B:B,1,false)</f>
        <v>#N/A</v>
      </c>
      <c r="N1704" s="26" t="str">
        <f>VLOOKUP(B1704,'MTS 2026 registrations'!A:A,1,false)</f>
        <v>#N/A</v>
      </c>
      <c r="O1704" s="28"/>
    </row>
    <row r="1705" ht="12.75" customHeight="1">
      <c r="A1705" s="241"/>
      <c r="B1705" s="241" t="s">
        <v>329</v>
      </c>
      <c r="C1705" s="53"/>
      <c r="D1705" s="242"/>
      <c r="E1705" s="88"/>
      <c r="F1705" s="207"/>
      <c r="G1705" s="243"/>
      <c r="H1705" s="95"/>
      <c r="I1705" s="110"/>
      <c r="J1705" s="96"/>
      <c r="K1705" s="146"/>
      <c r="L1705" s="146"/>
      <c r="M1705" s="26" t="str">
        <f>VLOOKUP(E1705,'MTS 2026 registrations'!B:B,1,false)</f>
        <v>#N/A</v>
      </c>
      <c r="N1705" s="26" t="str">
        <f>VLOOKUP(B1705,'MTS 2026 registrations'!A:A,1,false)</f>
        <v>#N/A</v>
      </c>
      <c r="O1705" s="28"/>
    </row>
    <row r="1706" ht="12.75" customHeight="1">
      <c r="A1706" s="241"/>
      <c r="B1706" s="241" t="s">
        <v>329</v>
      </c>
      <c r="C1706" s="53"/>
      <c r="D1706" s="242"/>
      <c r="E1706" s="88"/>
      <c r="F1706" s="207"/>
      <c r="G1706" s="243"/>
      <c r="H1706" s="95"/>
      <c r="I1706" s="110"/>
      <c r="J1706" s="96"/>
      <c r="K1706" s="146"/>
      <c r="L1706" s="146"/>
      <c r="M1706" s="26" t="str">
        <f>VLOOKUP(E1706,'MTS 2026 registrations'!B:B,1,false)</f>
        <v>#N/A</v>
      </c>
      <c r="N1706" s="26" t="str">
        <f>VLOOKUP(B1706,'MTS 2026 registrations'!A:A,1,false)</f>
        <v>#N/A</v>
      </c>
      <c r="O1706" s="28"/>
    </row>
    <row r="1707" ht="12.75" customHeight="1">
      <c r="A1707" s="241"/>
      <c r="B1707" s="241" t="s">
        <v>329</v>
      </c>
      <c r="C1707" s="53"/>
      <c r="D1707" s="242"/>
      <c r="E1707" s="88"/>
      <c r="F1707" s="207"/>
      <c r="G1707" s="243"/>
      <c r="H1707" s="95"/>
      <c r="I1707" s="110"/>
      <c r="J1707" s="96"/>
      <c r="K1707" s="146"/>
      <c r="L1707" s="146"/>
      <c r="M1707" s="26" t="str">
        <f>VLOOKUP(E1707,'MTS 2026 registrations'!B:B,1,false)</f>
        <v>#N/A</v>
      </c>
      <c r="N1707" s="26" t="str">
        <f>VLOOKUP(B1707,'MTS 2026 registrations'!A:A,1,false)</f>
        <v>#N/A</v>
      </c>
      <c r="O1707" s="28"/>
    </row>
    <row r="1708" ht="12.75" customHeight="1">
      <c r="A1708" s="241"/>
      <c r="B1708" s="241" t="s">
        <v>329</v>
      </c>
      <c r="C1708" s="53"/>
      <c r="D1708" s="242"/>
      <c r="E1708" s="88"/>
      <c r="F1708" s="207"/>
      <c r="G1708" s="243"/>
      <c r="H1708" s="95"/>
      <c r="I1708" s="110"/>
      <c r="J1708" s="96"/>
      <c r="K1708" s="146"/>
      <c r="L1708" s="146"/>
      <c r="M1708" s="26" t="str">
        <f>VLOOKUP(E1708,'MTS 2026 registrations'!B:B,1,false)</f>
        <v>#N/A</v>
      </c>
      <c r="N1708" s="26" t="str">
        <f>VLOOKUP(B1708,'MTS 2026 registrations'!A:A,1,false)</f>
        <v>#N/A</v>
      </c>
      <c r="O1708" s="28"/>
    </row>
    <row r="1709" ht="12.75" customHeight="1">
      <c r="A1709" s="241"/>
      <c r="B1709" s="241" t="s">
        <v>329</v>
      </c>
      <c r="C1709" s="53"/>
      <c r="D1709" s="242"/>
      <c r="E1709" s="88"/>
      <c r="F1709" s="207"/>
      <c r="G1709" s="243"/>
      <c r="H1709" s="95"/>
      <c r="I1709" s="110"/>
      <c r="J1709" s="96"/>
      <c r="K1709" s="146"/>
      <c r="L1709" s="146"/>
      <c r="M1709" s="26" t="str">
        <f>VLOOKUP(E1709,'MTS 2026 registrations'!B:B,1,false)</f>
        <v>#N/A</v>
      </c>
      <c r="N1709" s="26" t="str">
        <f>VLOOKUP(B1709,'MTS 2026 registrations'!A:A,1,false)</f>
        <v>#N/A</v>
      </c>
      <c r="O1709" s="28"/>
    </row>
    <row r="1710" ht="12.75" customHeight="1">
      <c r="A1710" s="241"/>
      <c r="B1710" s="241" t="s">
        <v>329</v>
      </c>
      <c r="C1710" s="53"/>
      <c r="D1710" s="242"/>
      <c r="E1710" s="88"/>
      <c r="F1710" s="207"/>
      <c r="G1710" s="243"/>
      <c r="H1710" s="95"/>
      <c r="I1710" s="110"/>
      <c r="J1710" s="96"/>
      <c r="K1710" s="146"/>
      <c r="L1710" s="146"/>
      <c r="M1710" s="26" t="str">
        <f>VLOOKUP(E1710,'MTS 2026 registrations'!B:B,1,false)</f>
        <v>#N/A</v>
      </c>
      <c r="N1710" s="26" t="str">
        <f>VLOOKUP(B1710,'MTS 2026 registrations'!A:A,1,false)</f>
        <v>#N/A</v>
      </c>
      <c r="O1710" s="28"/>
    </row>
    <row r="1711" ht="12.75" customHeight="1">
      <c r="A1711" s="241"/>
      <c r="B1711" s="241" t="s">
        <v>329</v>
      </c>
      <c r="C1711" s="53"/>
      <c r="D1711" s="242"/>
      <c r="E1711" s="88"/>
      <c r="F1711" s="207"/>
      <c r="G1711" s="243"/>
      <c r="H1711" s="95"/>
      <c r="I1711" s="110"/>
      <c r="J1711" s="96"/>
      <c r="K1711" s="146"/>
      <c r="L1711" s="146"/>
      <c r="M1711" s="26" t="str">
        <f>VLOOKUP(E1711,'MTS 2026 registrations'!B:B,1,false)</f>
        <v>#N/A</v>
      </c>
      <c r="N1711" s="26" t="str">
        <f>VLOOKUP(B1711,'MTS 2026 registrations'!A:A,1,false)</f>
        <v>#N/A</v>
      </c>
      <c r="O1711" s="28"/>
    </row>
    <row r="1712" ht="12.75" customHeight="1">
      <c r="A1712" s="241"/>
      <c r="B1712" s="241" t="s">
        <v>329</v>
      </c>
      <c r="C1712" s="53"/>
      <c r="D1712" s="242"/>
      <c r="E1712" s="88"/>
      <c r="F1712" s="207"/>
      <c r="G1712" s="243"/>
      <c r="H1712" s="95"/>
      <c r="I1712" s="110"/>
      <c r="J1712" s="96"/>
      <c r="K1712" s="146"/>
      <c r="L1712" s="146"/>
      <c r="M1712" s="26" t="str">
        <f>VLOOKUP(E1712,'MTS 2026 registrations'!B:B,1,false)</f>
        <v>#N/A</v>
      </c>
      <c r="N1712" s="26" t="str">
        <f>VLOOKUP(B1712,'MTS 2026 registrations'!A:A,1,false)</f>
        <v>#N/A</v>
      </c>
      <c r="O1712" s="28"/>
    </row>
    <row r="1713" ht="12.75" customHeight="1">
      <c r="A1713" s="241"/>
      <c r="B1713" s="241" t="s">
        <v>329</v>
      </c>
      <c r="C1713" s="53"/>
      <c r="D1713" s="242"/>
      <c r="E1713" s="88"/>
      <c r="F1713" s="207"/>
      <c r="G1713" s="243"/>
      <c r="H1713" s="95"/>
      <c r="I1713" s="110"/>
      <c r="J1713" s="96"/>
      <c r="K1713" s="146"/>
      <c r="L1713" s="146"/>
      <c r="M1713" s="26" t="str">
        <f>VLOOKUP(E1713,'MTS 2026 registrations'!B:B,1,false)</f>
        <v>#N/A</v>
      </c>
      <c r="N1713" s="26" t="str">
        <f>VLOOKUP(B1713,'MTS 2026 registrations'!A:A,1,false)</f>
        <v>#N/A</v>
      </c>
      <c r="O1713" s="28"/>
    </row>
    <row r="1714" ht="12.75" customHeight="1">
      <c r="A1714" s="241"/>
      <c r="B1714" s="241" t="s">
        <v>329</v>
      </c>
      <c r="C1714" s="53"/>
      <c r="D1714" s="242"/>
      <c r="E1714" s="88"/>
      <c r="F1714" s="207"/>
      <c r="G1714" s="243"/>
      <c r="H1714" s="95"/>
      <c r="I1714" s="110"/>
      <c r="J1714" s="96"/>
      <c r="K1714" s="146"/>
      <c r="L1714" s="146"/>
      <c r="M1714" s="26" t="str">
        <f>VLOOKUP(E1714,'MTS 2026 registrations'!B:B,1,false)</f>
        <v>#N/A</v>
      </c>
      <c r="N1714" s="26" t="str">
        <f>VLOOKUP(B1714,'MTS 2026 registrations'!A:A,1,false)</f>
        <v>#N/A</v>
      </c>
      <c r="O1714" s="28"/>
    </row>
    <row r="1715" ht="12.75" customHeight="1">
      <c r="A1715" s="241"/>
      <c r="B1715" s="241" t="s">
        <v>329</v>
      </c>
      <c r="C1715" s="53"/>
      <c r="D1715" s="242"/>
      <c r="E1715" s="88"/>
      <c r="F1715" s="207"/>
      <c r="G1715" s="243"/>
      <c r="H1715" s="95"/>
      <c r="I1715" s="110"/>
      <c r="J1715" s="96"/>
      <c r="K1715" s="146"/>
      <c r="L1715" s="146"/>
      <c r="M1715" s="26" t="str">
        <f>VLOOKUP(E1715,'MTS 2026 registrations'!B:B,1,false)</f>
        <v>#N/A</v>
      </c>
      <c r="N1715" s="26" t="str">
        <f>VLOOKUP(B1715,'MTS 2026 registrations'!A:A,1,false)</f>
        <v>#N/A</v>
      </c>
      <c r="O1715" s="28"/>
    </row>
    <row r="1716" ht="12.75" customHeight="1">
      <c r="A1716" s="241"/>
      <c r="B1716" s="241" t="s">
        <v>329</v>
      </c>
      <c r="C1716" s="53"/>
      <c r="D1716" s="242"/>
      <c r="E1716" s="88"/>
      <c r="F1716" s="207"/>
      <c r="G1716" s="243"/>
      <c r="H1716" s="95"/>
      <c r="I1716" s="110"/>
      <c r="J1716" s="96"/>
      <c r="K1716" s="146"/>
      <c r="L1716" s="146"/>
      <c r="M1716" s="26" t="str">
        <f>VLOOKUP(E1716,'MTS 2026 registrations'!B:B,1,false)</f>
        <v>#N/A</v>
      </c>
      <c r="N1716" s="26" t="str">
        <f>VLOOKUP(B1716,'MTS 2026 registrations'!A:A,1,false)</f>
        <v>#N/A</v>
      </c>
      <c r="O1716" s="28"/>
    </row>
    <row r="1717" ht="12.75" customHeight="1">
      <c r="A1717" s="241"/>
      <c r="B1717" s="241" t="s">
        <v>329</v>
      </c>
      <c r="C1717" s="53"/>
      <c r="D1717" s="242"/>
      <c r="E1717" s="88"/>
      <c r="F1717" s="207"/>
      <c r="G1717" s="243"/>
      <c r="H1717" s="95"/>
      <c r="I1717" s="110"/>
      <c r="J1717" s="96"/>
      <c r="K1717" s="146"/>
      <c r="L1717" s="146"/>
      <c r="M1717" s="26" t="str">
        <f>VLOOKUP(E1717,'MTS 2026 registrations'!B:B,1,false)</f>
        <v>#N/A</v>
      </c>
      <c r="N1717" s="26" t="str">
        <f>VLOOKUP(B1717,'MTS 2026 registrations'!A:A,1,false)</f>
        <v>#N/A</v>
      </c>
      <c r="O1717" s="28"/>
    </row>
    <row r="1718" ht="12.75" customHeight="1">
      <c r="A1718" s="241"/>
      <c r="B1718" s="241" t="s">
        <v>329</v>
      </c>
      <c r="C1718" s="53"/>
      <c r="D1718" s="242"/>
      <c r="E1718" s="88"/>
      <c r="F1718" s="207"/>
      <c r="G1718" s="243"/>
      <c r="H1718" s="95"/>
      <c r="I1718" s="110"/>
      <c r="J1718" s="96"/>
      <c r="K1718" s="146"/>
      <c r="L1718" s="146"/>
      <c r="M1718" s="26" t="str">
        <f>VLOOKUP(E1718,'MTS 2026 registrations'!B:B,1,false)</f>
        <v>#N/A</v>
      </c>
      <c r="N1718" s="26" t="str">
        <f>VLOOKUP(B1718,'MTS 2026 registrations'!A:A,1,false)</f>
        <v>#N/A</v>
      </c>
      <c r="O1718" s="28"/>
    </row>
    <row r="1719" ht="12.75" customHeight="1">
      <c r="A1719" s="241"/>
      <c r="B1719" s="241" t="s">
        <v>329</v>
      </c>
      <c r="C1719" s="53"/>
      <c r="D1719" s="242"/>
      <c r="E1719" s="88"/>
      <c r="F1719" s="207"/>
      <c r="G1719" s="243"/>
      <c r="H1719" s="95"/>
      <c r="I1719" s="110"/>
      <c r="J1719" s="96"/>
      <c r="K1719" s="146"/>
      <c r="L1719" s="146"/>
      <c r="M1719" s="26" t="str">
        <f>VLOOKUP(E1719,'MTS 2026 registrations'!B:B,1,false)</f>
        <v>#N/A</v>
      </c>
      <c r="N1719" s="26" t="str">
        <f>VLOOKUP(B1719,'MTS 2026 registrations'!A:A,1,false)</f>
        <v>#N/A</v>
      </c>
      <c r="O1719" s="28"/>
    </row>
    <row r="1720" ht="12.75" customHeight="1">
      <c r="A1720" s="241"/>
      <c r="B1720" s="241" t="s">
        <v>329</v>
      </c>
      <c r="C1720" s="53"/>
      <c r="D1720" s="242"/>
      <c r="E1720" s="88"/>
      <c r="F1720" s="207"/>
      <c r="G1720" s="243"/>
      <c r="H1720" s="95"/>
      <c r="I1720" s="110"/>
      <c r="J1720" s="96"/>
      <c r="K1720" s="146"/>
      <c r="L1720" s="146"/>
      <c r="M1720" s="26" t="str">
        <f>VLOOKUP(E1720,'MTS 2026 registrations'!B:B,1,false)</f>
        <v>#N/A</v>
      </c>
      <c r="N1720" s="26" t="str">
        <f>VLOOKUP(B1720,'MTS 2026 registrations'!A:A,1,false)</f>
        <v>#N/A</v>
      </c>
      <c r="O1720" s="28"/>
    </row>
    <row r="1721" ht="12.75" customHeight="1">
      <c r="A1721" s="241"/>
      <c r="B1721" s="241" t="s">
        <v>329</v>
      </c>
      <c r="C1721" s="53"/>
      <c r="D1721" s="242"/>
      <c r="E1721" s="88"/>
      <c r="F1721" s="207"/>
      <c r="G1721" s="243"/>
      <c r="H1721" s="95"/>
      <c r="I1721" s="110"/>
      <c r="J1721" s="96"/>
      <c r="K1721" s="146"/>
      <c r="L1721" s="146"/>
      <c r="M1721" s="26" t="str">
        <f>VLOOKUP(E1721,'MTS 2026 registrations'!B:B,1,false)</f>
        <v>#N/A</v>
      </c>
      <c r="N1721" s="26" t="str">
        <f>VLOOKUP(B1721,'MTS 2026 registrations'!A:A,1,false)</f>
        <v>#N/A</v>
      </c>
      <c r="O1721" s="28"/>
    </row>
    <row r="1722" ht="12.75" customHeight="1">
      <c r="A1722" s="241"/>
      <c r="B1722" s="241" t="s">
        <v>329</v>
      </c>
      <c r="C1722" s="53"/>
      <c r="D1722" s="242"/>
      <c r="E1722" s="88"/>
      <c r="F1722" s="207"/>
      <c r="G1722" s="243"/>
      <c r="H1722" s="95"/>
      <c r="I1722" s="110"/>
      <c r="J1722" s="96"/>
      <c r="K1722" s="146"/>
      <c r="L1722" s="146"/>
      <c r="M1722" s="26" t="str">
        <f>VLOOKUP(E1722,'MTS 2026 registrations'!B:B,1,false)</f>
        <v>#N/A</v>
      </c>
      <c r="N1722" s="26" t="str">
        <f>VLOOKUP(B1722,'MTS 2026 registrations'!A:A,1,false)</f>
        <v>#N/A</v>
      </c>
      <c r="O1722" s="28"/>
    </row>
    <row r="1723" ht="12.75" customHeight="1">
      <c r="A1723" s="241"/>
      <c r="B1723" s="241" t="s">
        <v>329</v>
      </c>
      <c r="C1723" s="53"/>
      <c r="D1723" s="242"/>
      <c r="E1723" s="88"/>
      <c r="F1723" s="207"/>
      <c r="G1723" s="243"/>
      <c r="H1723" s="95"/>
      <c r="I1723" s="110"/>
      <c r="J1723" s="96"/>
      <c r="K1723" s="146"/>
      <c r="L1723" s="146"/>
      <c r="M1723" s="26" t="str">
        <f>VLOOKUP(E1723,'MTS 2026 registrations'!B:B,1,false)</f>
        <v>#N/A</v>
      </c>
      <c r="N1723" s="26" t="str">
        <f>VLOOKUP(B1723,'MTS 2026 registrations'!A:A,1,false)</f>
        <v>#N/A</v>
      </c>
      <c r="O1723" s="28"/>
    </row>
    <row r="1724" ht="12.75" customHeight="1">
      <c r="A1724" s="241"/>
      <c r="B1724" s="241" t="s">
        <v>329</v>
      </c>
      <c r="C1724" s="53"/>
      <c r="D1724" s="242"/>
      <c r="E1724" s="88"/>
      <c r="F1724" s="207"/>
      <c r="G1724" s="243"/>
      <c r="H1724" s="95"/>
      <c r="I1724" s="110"/>
      <c r="J1724" s="96"/>
      <c r="K1724" s="146"/>
      <c r="L1724" s="146"/>
      <c r="M1724" s="26" t="str">
        <f>VLOOKUP(E1724,'MTS 2026 registrations'!B:B,1,false)</f>
        <v>#N/A</v>
      </c>
      <c r="N1724" s="26" t="str">
        <f>VLOOKUP(B1724,'MTS 2026 registrations'!A:A,1,false)</f>
        <v>#N/A</v>
      </c>
      <c r="O1724" s="28"/>
    </row>
    <row r="1725" ht="12.75" customHeight="1">
      <c r="A1725" s="241"/>
      <c r="B1725" s="241" t="s">
        <v>329</v>
      </c>
      <c r="C1725" s="53"/>
      <c r="D1725" s="242"/>
      <c r="E1725" s="88"/>
      <c r="F1725" s="207"/>
      <c r="G1725" s="243"/>
      <c r="H1725" s="95"/>
      <c r="I1725" s="110"/>
      <c r="J1725" s="96"/>
      <c r="K1725" s="146"/>
      <c r="L1725" s="146"/>
      <c r="M1725" s="26" t="str">
        <f>VLOOKUP(E1725,'MTS 2026 registrations'!B:B,1,false)</f>
        <v>#N/A</v>
      </c>
      <c r="N1725" s="26" t="str">
        <f>VLOOKUP(B1725,'MTS 2026 registrations'!A:A,1,false)</f>
        <v>#N/A</v>
      </c>
      <c r="O1725" s="28"/>
    </row>
    <row r="1726" ht="12.75" customHeight="1">
      <c r="A1726" s="241"/>
      <c r="B1726" s="241" t="s">
        <v>329</v>
      </c>
      <c r="C1726" s="53"/>
      <c r="D1726" s="242"/>
      <c r="E1726" s="88"/>
      <c r="F1726" s="207"/>
      <c r="G1726" s="243"/>
      <c r="H1726" s="95"/>
      <c r="I1726" s="110"/>
      <c r="J1726" s="96"/>
      <c r="K1726" s="146"/>
      <c r="L1726" s="146"/>
      <c r="M1726" s="26" t="str">
        <f>VLOOKUP(E1726,'MTS 2026 registrations'!B:B,1,false)</f>
        <v>#N/A</v>
      </c>
      <c r="N1726" s="26" t="str">
        <f>VLOOKUP(B1726,'MTS 2026 registrations'!A:A,1,false)</f>
        <v>#N/A</v>
      </c>
      <c r="O1726" s="28"/>
    </row>
    <row r="1727" ht="12.75" customHeight="1">
      <c r="A1727" s="241"/>
      <c r="B1727" s="241" t="s">
        <v>329</v>
      </c>
      <c r="C1727" s="53"/>
      <c r="D1727" s="242"/>
      <c r="E1727" s="88"/>
      <c r="F1727" s="207"/>
      <c r="G1727" s="243"/>
      <c r="H1727" s="95"/>
      <c r="I1727" s="110"/>
      <c r="J1727" s="96"/>
      <c r="K1727" s="146"/>
      <c r="L1727" s="146"/>
      <c r="M1727" s="26" t="str">
        <f>VLOOKUP(E1727,'MTS 2026 registrations'!B:B,1,false)</f>
        <v>#N/A</v>
      </c>
      <c r="N1727" s="26" t="str">
        <f>VLOOKUP(B1727,'MTS 2026 registrations'!A:A,1,false)</f>
        <v>#N/A</v>
      </c>
      <c r="O1727" s="28"/>
    </row>
    <row r="1728" ht="12.75" customHeight="1">
      <c r="A1728" s="241"/>
      <c r="B1728" s="241" t="s">
        <v>329</v>
      </c>
      <c r="C1728" s="53"/>
      <c r="D1728" s="242"/>
      <c r="E1728" s="88"/>
      <c r="F1728" s="207"/>
      <c r="G1728" s="243"/>
      <c r="H1728" s="95"/>
      <c r="I1728" s="110"/>
      <c r="J1728" s="96"/>
      <c r="K1728" s="146"/>
      <c r="L1728" s="146"/>
      <c r="M1728" s="26" t="str">
        <f>VLOOKUP(E1728,'MTS 2026 registrations'!B:B,1,false)</f>
        <v>#N/A</v>
      </c>
      <c r="N1728" s="26" t="str">
        <f>VLOOKUP(B1728,'MTS 2026 registrations'!A:A,1,false)</f>
        <v>#N/A</v>
      </c>
      <c r="O1728" s="28"/>
    </row>
    <row r="1729" ht="12.75" customHeight="1">
      <c r="A1729" s="241"/>
      <c r="B1729" s="241" t="s">
        <v>329</v>
      </c>
      <c r="C1729" s="53"/>
      <c r="D1729" s="242"/>
      <c r="E1729" s="88"/>
      <c r="F1729" s="207"/>
      <c r="G1729" s="243"/>
      <c r="H1729" s="95"/>
      <c r="I1729" s="110"/>
      <c r="J1729" s="96"/>
      <c r="K1729" s="146"/>
      <c r="L1729" s="146"/>
      <c r="M1729" s="26" t="str">
        <f>VLOOKUP(E1729,'MTS 2026 registrations'!B:B,1,false)</f>
        <v>#N/A</v>
      </c>
      <c r="N1729" s="26" t="str">
        <f>VLOOKUP(B1729,'MTS 2026 registrations'!A:A,1,false)</f>
        <v>#N/A</v>
      </c>
      <c r="O1729" s="28"/>
    </row>
    <row r="1730" ht="12.75" customHeight="1">
      <c r="A1730" s="241"/>
      <c r="B1730" s="241" t="s">
        <v>329</v>
      </c>
      <c r="C1730" s="53"/>
      <c r="D1730" s="242"/>
      <c r="E1730" s="88"/>
      <c r="F1730" s="207"/>
      <c r="G1730" s="243"/>
      <c r="H1730" s="95"/>
      <c r="I1730" s="110"/>
      <c r="J1730" s="96"/>
      <c r="K1730" s="146"/>
      <c r="L1730" s="146"/>
      <c r="M1730" s="26" t="str">
        <f>VLOOKUP(E1730,'MTS 2026 registrations'!B:B,1,false)</f>
        <v>#N/A</v>
      </c>
      <c r="N1730" s="26" t="str">
        <f>VLOOKUP(B1730,'MTS 2026 registrations'!A:A,1,false)</f>
        <v>#N/A</v>
      </c>
      <c r="O1730" s="28"/>
    </row>
    <row r="1731" ht="12.75" customHeight="1">
      <c r="A1731" s="241"/>
      <c r="B1731" s="241" t="s">
        <v>329</v>
      </c>
      <c r="C1731" s="53"/>
      <c r="D1731" s="242"/>
      <c r="E1731" s="88"/>
      <c r="F1731" s="207"/>
      <c r="G1731" s="243"/>
      <c r="H1731" s="95"/>
      <c r="I1731" s="110"/>
      <c r="J1731" s="96"/>
      <c r="K1731" s="146"/>
      <c r="L1731" s="146"/>
      <c r="M1731" s="26" t="str">
        <f>VLOOKUP(E1731,'MTS 2026 registrations'!B:B,1,false)</f>
        <v>#N/A</v>
      </c>
      <c r="N1731" s="26" t="str">
        <f>VLOOKUP(B1731,'MTS 2026 registrations'!A:A,1,false)</f>
        <v>#N/A</v>
      </c>
      <c r="O1731" s="28"/>
    </row>
    <row r="1732" ht="12.75" customHeight="1">
      <c r="A1732" s="241"/>
      <c r="B1732" s="241" t="s">
        <v>329</v>
      </c>
      <c r="C1732" s="53"/>
      <c r="D1732" s="242"/>
      <c r="E1732" s="88"/>
      <c r="F1732" s="207"/>
      <c r="G1732" s="243"/>
      <c r="H1732" s="95"/>
      <c r="I1732" s="110"/>
      <c r="J1732" s="96"/>
      <c r="K1732" s="146"/>
      <c r="L1732" s="146"/>
      <c r="M1732" s="26" t="str">
        <f>VLOOKUP(E1732,'MTS 2026 registrations'!B:B,1,false)</f>
        <v>#N/A</v>
      </c>
      <c r="N1732" s="26" t="str">
        <f>VLOOKUP(B1732,'MTS 2026 registrations'!A:A,1,false)</f>
        <v>#N/A</v>
      </c>
      <c r="O1732" s="28"/>
    </row>
    <row r="1733" ht="12.75" customHeight="1">
      <c r="A1733" s="241"/>
      <c r="B1733" s="241" t="s">
        <v>329</v>
      </c>
      <c r="C1733" s="53"/>
      <c r="D1733" s="242"/>
      <c r="E1733" s="88"/>
      <c r="F1733" s="207"/>
      <c r="G1733" s="243"/>
      <c r="H1733" s="95"/>
      <c r="I1733" s="110"/>
      <c r="J1733" s="96"/>
      <c r="K1733" s="146"/>
      <c r="L1733" s="146"/>
      <c r="M1733" s="26" t="str">
        <f>VLOOKUP(E1733,'MTS 2026 registrations'!B:B,1,false)</f>
        <v>#N/A</v>
      </c>
      <c r="N1733" s="26" t="str">
        <f>VLOOKUP(B1733,'MTS 2026 registrations'!A:A,1,false)</f>
        <v>#N/A</v>
      </c>
      <c r="O1733" s="28"/>
    </row>
    <row r="1734" ht="12.75" customHeight="1">
      <c r="A1734" s="241"/>
      <c r="B1734" s="241" t="s">
        <v>329</v>
      </c>
      <c r="C1734" s="53"/>
      <c r="D1734" s="242"/>
      <c r="E1734" s="88"/>
      <c r="F1734" s="207"/>
      <c r="G1734" s="243"/>
      <c r="H1734" s="95"/>
      <c r="I1734" s="110"/>
      <c r="J1734" s="96"/>
      <c r="K1734" s="146"/>
      <c r="L1734" s="146"/>
      <c r="M1734" s="26" t="str">
        <f>VLOOKUP(E1734,'MTS 2026 registrations'!B:B,1,false)</f>
        <v>#N/A</v>
      </c>
      <c r="N1734" s="26" t="str">
        <f>VLOOKUP(B1734,'MTS 2026 registrations'!A:A,1,false)</f>
        <v>#N/A</v>
      </c>
      <c r="O1734" s="28"/>
    </row>
    <row r="1735" ht="12.75" customHeight="1">
      <c r="A1735" s="241"/>
      <c r="B1735" s="241" t="s">
        <v>329</v>
      </c>
      <c r="C1735" s="53"/>
      <c r="D1735" s="242"/>
      <c r="E1735" s="88"/>
      <c r="F1735" s="207"/>
      <c r="G1735" s="243"/>
      <c r="H1735" s="95"/>
      <c r="I1735" s="110"/>
      <c r="J1735" s="96"/>
      <c r="K1735" s="146"/>
      <c r="L1735" s="146"/>
      <c r="M1735" s="26" t="str">
        <f>VLOOKUP(E1735,'MTS 2026 registrations'!B:B,1,false)</f>
        <v>#N/A</v>
      </c>
      <c r="N1735" s="26" t="str">
        <f>VLOOKUP(B1735,'MTS 2026 registrations'!A:A,1,false)</f>
        <v>#N/A</v>
      </c>
      <c r="O1735" s="28"/>
    </row>
    <row r="1736" ht="12.75" customHeight="1">
      <c r="A1736" s="241"/>
      <c r="B1736" s="241" t="s">
        <v>329</v>
      </c>
      <c r="C1736" s="53"/>
      <c r="D1736" s="242"/>
      <c r="E1736" s="88"/>
      <c r="F1736" s="207"/>
      <c r="G1736" s="243"/>
      <c r="H1736" s="95"/>
      <c r="I1736" s="110"/>
      <c r="J1736" s="96"/>
      <c r="K1736" s="146"/>
      <c r="L1736" s="146"/>
      <c r="M1736" s="26" t="str">
        <f>VLOOKUP(E1736,'MTS 2026 registrations'!B:B,1,false)</f>
        <v>#N/A</v>
      </c>
      <c r="N1736" s="26" t="str">
        <f>VLOOKUP(B1736,'MTS 2026 registrations'!A:A,1,false)</f>
        <v>#N/A</v>
      </c>
      <c r="O1736" s="28"/>
    </row>
    <row r="1737" ht="12.75" customHeight="1">
      <c r="A1737" s="241"/>
      <c r="B1737" s="241" t="s">
        <v>329</v>
      </c>
      <c r="C1737" s="53"/>
      <c r="D1737" s="242"/>
      <c r="E1737" s="88"/>
      <c r="F1737" s="207"/>
      <c r="G1737" s="243"/>
      <c r="H1737" s="95"/>
      <c r="I1737" s="110"/>
      <c r="J1737" s="96"/>
      <c r="K1737" s="146"/>
      <c r="L1737" s="146"/>
      <c r="M1737" s="26" t="str">
        <f>VLOOKUP(E1737,'MTS 2026 registrations'!B:B,1,false)</f>
        <v>#N/A</v>
      </c>
      <c r="N1737" s="26" t="str">
        <f>VLOOKUP(B1737,'MTS 2026 registrations'!A:A,1,false)</f>
        <v>#N/A</v>
      </c>
      <c r="O1737" s="28"/>
    </row>
    <row r="1738" ht="12.75" customHeight="1">
      <c r="A1738" s="241"/>
      <c r="B1738" s="241" t="s">
        <v>329</v>
      </c>
      <c r="C1738" s="53"/>
      <c r="D1738" s="242"/>
      <c r="E1738" s="88"/>
      <c r="F1738" s="207"/>
      <c r="G1738" s="243"/>
      <c r="H1738" s="95"/>
      <c r="I1738" s="110"/>
      <c r="J1738" s="96"/>
      <c r="K1738" s="146"/>
      <c r="L1738" s="146"/>
      <c r="M1738" s="26" t="str">
        <f>VLOOKUP(E1738,'MTS 2026 registrations'!B:B,1,false)</f>
        <v>#N/A</v>
      </c>
      <c r="N1738" s="26" t="str">
        <f>VLOOKUP(B1738,'MTS 2026 registrations'!A:A,1,false)</f>
        <v>#N/A</v>
      </c>
      <c r="O1738" s="28"/>
    </row>
    <row r="1739" ht="12.75" customHeight="1">
      <c r="A1739" s="241"/>
      <c r="B1739" s="241" t="s">
        <v>329</v>
      </c>
      <c r="C1739" s="53"/>
      <c r="D1739" s="242"/>
      <c r="E1739" s="88"/>
      <c r="F1739" s="207"/>
      <c r="G1739" s="243"/>
      <c r="H1739" s="95"/>
      <c r="I1739" s="110"/>
      <c r="J1739" s="96"/>
      <c r="K1739" s="146"/>
      <c r="L1739" s="146"/>
      <c r="M1739" s="26" t="str">
        <f>VLOOKUP(E1739,'MTS 2026 registrations'!B:B,1,false)</f>
        <v>#N/A</v>
      </c>
      <c r="N1739" s="26" t="str">
        <f>VLOOKUP(B1739,'MTS 2026 registrations'!A:A,1,false)</f>
        <v>#N/A</v>
      </c>
      <c r="O1739" s="28"/>
    </row>
    <row r="1740" ht="12.75" customHeight="1">
      <c r="A1740" s="241"/>
      <c r="B1740" s="241" t="s">
        <v>329</v>
      </c>
      <c r="C1740" s="53"/>
      <c r="D1740" s="242"/>
      <c r="E1740" s="88"/>
      <c r="F1740" s="207"/>
      <c r="G1740" s="243"/>
      <c r="H1740" s="95"/>
      <c r="I1740" s="110"/>
      <c r="J1740" s="96"/>
      <c r="K1740" s="146"/>
      <c r="L1740" s="146"/>
      <c r="M1740" s="26" t="str">
        <f>VLOOKUP(E1740,'MTS 2026 registrations'!B:B,1,false)</f>
        <v>#N/A</v>
      </c>
      <c r="N1740" s="26" t="str">
        <f>VLOOKUP(B1740,'MTS 2026 registrations'!A:A,1,false)</f>
        <v>#N/A</v>
      </c>
      <c r="O1740" s="28"/>
    </row>
    <row r="1741" ht="12.75" customHeight="1">
      <c r="A1741" s="241"/>
      <c r="B1741" s="241" t="s">
        <v>329</v>
      </c>
      <c r="C1741" s="53"/>
      <c r="D1741" s="242"/>
      <c r="E1741" s="88"/>
      <c r="F1741" s="207"/>
      <c r="G1741" s="243"/>
      <c r="H1741" s="95"/>
      <c r="I1741" s="110"/>
      <c r="J1741" s="96"/>
      <c r="K1741" s="146"/>
      <c r="L1741" s="146"/>
      <c r="M1741" s="26" t="str">
        <f>VLOOKUP(E1741,'MTS 2026 registrations'!B:B,1,false)</f>
        <v>#N/A</v>
      </c>
      <c r="N1741" s="26" t="str">
        <f>VLOOKUP(B1741,'MTS 2026 registrations'!A:A,1,false)</f>
        <v>#N/A</v>
      </c>
      <c r="O1741" s="28"/>
    </row>
    <row r="1742" ht="12.75" customHeight="1">
      <c r="A1742" s="241"/>
      <c r="B1742" s="241" t="s">
        <v>329</v>
      </c>
      <c r="C1742" s="53"/>
      <c r="D1742" s="242"/>
      <c r="E1742" s="88"/>
      <c r="F1742" s="207"/>
      <c r="G1742" s="243"/>
      <c r="H1742" s="95"/>
      <c r="I1742" s="110"/>
      <c r="J1742" s="96"/>
      <c r="K1742" s="146"/>
      <c r="L1742" s="146"/>
      <c r="M1742" s="26" t="str">
        <f>VLOOKUP(E1742,'MTS 2026 registrations'!B:B,1,false)</f>
        <v>#N/A</v>
      </c>
      <c r="N1742" s="26" t="str">
        <f>VLOOKUP(B1742,'MTS 2026 registrations'!A:A,1,false)</f>
        <v>#N/A</v>
      </c>
      <c r="O1742" s="28"/>
    </row>
    <row r="1743" ht="12.75" customHeight="1">
      <c r="A1743" s="241"/>
      <c r="B1743" s="241" t="s">
        <v>329</v>
      </c>
      <c r="C1743" s="53"/>
      <c r="D1743" s="242"/>
      <c r="E1743" s="88"/>
      <c r="F1743" s="207"/>
      <c r="G1743" s="243"/>
      <c r="H1743" s="95"/>
      <c r="I1743" s="110"/>
      <c r="J1743" s="96"/>
      <c r="K1743" s="146"/>
      <c r="L1743" s="146"/>
      <c r="M1743" s="26" t="str">
        <f>VLOOKUP(E1743,'MTS 2026 registrations'!B:B,1,false)</f>
        <v>#N/A</v>
      </c>
      <c r="N1743" s="26" t="str">
        <f>VLOOKUP(B1743,'MTS 2026 registrations'!A:A,1,false)</f>
        <v>#N/A</v>
      </c>
      <c r="O1743" s="28"/>
    </row>
    <row r="1744" ht="12.75" customHeight="1">
      <c r="A1744" s="241"/>
      <c r="B1744" s="241" t="s">
        <v>329</v>
      </c>
      <c r="C1744" s="53"/>
      <c r="D1744" s="242"/>
      <c r="E1744" s="88"/>
      <c r="F1744" s="207"/>
      <c r="G1744" s="243"/>
      <c r="H1744" s="95"/>
      <c r="I1744" s="110"/>
      <c r="J1744" s="96"/>
      <c r="K1744" s="146"/>
      <c r="L1744" s="146"/>
      <c r="M1744" s="26" t="str">
        <f>VLOOKUP(E1744,'MTS 2026 registrations'!B:B,1,false)</f>
        <v>#N/A</v>
      </c>
      <c r="N1744" s="26" t="str">
        <f>VLOOKUP(B1744,'MTS 2026 registrations'!A:A,1,false)</f>
        <v>#N/A</v>
      </c>
      <c r="O1744" s="28"/>
    </row>
    <row r="1745" ht="12.75" customHeight="1">
      <c r="A1745" s="241"/>
      <c r="B1745" s="241" t="s">
        <v>329</v>
      </c>
      <c r="C1745" s="53"/>
      <c r="D1745" s="242"/>
      <c r="E1745" s="88"/>
      <c r="F1745" s="207"/>
      <c r="G1745" s="243"/>
      <c r="H1745" s="95"/>
      <c r="I1745" s="110"/>
      <c r="J1745" s="96"/>
      <c r="K1745" s="146"/>
      <c r="L1745" s="146"/>
      <c r="M1745" s="26" t="str">
        <f>VLOOKUP(E1745,'MTS 2026 registrations'!B:B,1,false)</f>
        <v>#N/A</v>
      </c>
      <c r="N1745" s="26" t="str">
        <f>VLOOKUP(B1745,'MTS 2026 registrations'!A:A,1,false)</f>
        <v>#N/A</v>
      </c>
      <c r="O1745" s="28"/>
    </row>
    <row r="1746" ht="12.75" customHeight="1">
      <c r="A1746" s="241"/>
      <c r="B1746" s="241" t="s">
        <v>329</v>
      </c>
      <c r="C1746" s="53"/>
      <c r="D1746" s="242"/>
      <c r="E1746" s="88"/>
      <c r="F1746" s="207"/>
      <c r="G1746" s="243"/>
      <c r="H1746" s="95"/>
      <c r="I1746" s="110"/>
      <c r="J1746" s="96"/>
      <c r="K1746" s="146"/>
      <c r="L1746" s="146"/>
      <c r="M1746" s="26" t="str">
        <f>VLOOKUP(E1746,'MTS 2026 registrations'!B:B,1,false)</f>
        <v>#N/A</v>
      </c>
      <c r="N1746" s="26" t="str">
        <f>VLOOKUP(B1746,'MTS 2026 registrations'!A:A,1,false)</f>
        <v>#N/A</v>
      </c>
      <c r="O1746" s="28"/>
    </row>
    <row r="1747" ht="12.75" customHeight="1">
      <c r="A1747" s="241"/>
      <c r="B1747" s="241" t="s">
        <v>329</v>
      </c>
      <c r="C1747" s="53"/>
      <c r="D1747" s="242"/>
      <c r="E1747" s="88"/>
      <c r="F1747" s="207"/>
      <c r="G1747" s="243"/>
      <c r="H1747" s="95"/>
      <c r="I1747" s="110"/>
      <c r="J1747" s="96"/>
      <c r="K1747" s="146"/>
      <c r="L1747" s="146"/>
      <c r="M1747" s="26" t="str">
        <f>VLOOKUP(E1747,'MTS 2026 registrations'!B:B,1,false)</f>
        <v>#N/A</v>
      </c>
      <c r="N1747" s="26" t="str">
        <f>VLOOKUP(B1747,'MTS 2026 registrations'!A:A,1,false)</f>
        <v>#N/A</v>
      </c>
      <c r="O1747" s="28"/>
    </row>
    <row r="1748" ht="12.75" customHeight="1">
      <c r="A1748" s="241"/>
      <c r="B1748" s="241" t="s">
        <v>329</v>
      </c>
      <c r="C1748" s="53"/>
      <c r="D1748" s="242"/>
      <c r="E1748" s="88"/>
      <c r="F1748" s="207"/>
      <c r="G1748" s="243"/>
      <c r="H1748" s="95"/>
      <c r="I1748" s="110"/>
      <c r="J1748" s="96"/>
      <c r="K1748" s="146"/>
      <c r="L1748" s="146"/>
      <c r="M1748" s="26" t="str">
        <f>VLOOKUP(E1748,'MTS 2026 registrations'!B:B,1,false)</f>
        <v>#N/A</v>
      </c>
      <c r="N1748" s="26" t="str">
        <f>VLOOKUP(B1748,'MTS 2026 registrations'!A:A,1,false)</f>
        <v>#N/A</v>
      </c>
      <c r="O1748" s="28"/>
    </row>
    <row r="1749" ht="12.75" customHeight="1">
      <c r="A1749" s="241"/>
      <c r="B1749" s="241" t="s">
        <v>329</v>
      </c>
      <c r="C1749" s="53"/>
      <c r="D1749" s="242"/>
      <c r="E1749" s="88"/>
      <c r="F1749" s="207"/>
      <c r="G1749" s="243"/>
      <c r="H1749" s="95"/>
      <c r="I1749" s="110"/>
      <c r="J1749" s="96"/>
      <c r="K1749" s="146"/>
      <c r="L1749" s="146"/>
      <c r="M1749" s="26" t="str">
        <f>VLOOKUP(E1749,'MTS 2026 registrations'!B:B,1,false)</f>
        <v>#N/A</v>
      </c>
      <c r="N1749" s="26" t="str">
        <f>VLOOKUP(B1749,'MTS 2026 registrations'!A:A,1,false)</f>
        <v>#N/A</v>
      </c>
      <c r="O1749" s="28"/>
    </row>
    <row r="1750" ht="12.75" customHeight="1">
      <c r="A1750" s="241"/>
      <c r="B1750" s="241" t="s">
        <v>329</v>
      </c>
      <c r="C1750" s="53"/>
      <c r="D1750" s="242"/>
      <c r="E1750" s="88"/>
      <c r="F1750" s="207"/>
      <c r="G1750" s="243"/>
      <c r="H1750" s="95"/>
      <c r="I1750" s="110"/>
      <c r="J1750" s="96"/>
      <c r="K1750" s="146"/>
      <c r="L1750" s="146"/>
      <c r="M1750" s="26" t="str">
        <f>VLOOKUP(E1750,'MTS 2026 registrations'!B:B,1,false)</f>
        <v>#N/A</v>
      </c>
      <c r="N1750" s="26" t="str">
        <f>VLOOKUP(B1750,'MTS 2026 registrations'!A:A,1,false)</f>
        <v>#N/A</v>
      </c>
      <c r="O1750" s="28"/>
    </row>
    <row r="1751" ht="12.75" customHeight="1">
      <c r="A1751" s="241"/>
      <c r="B1751" s="241" t="s">
        <v>329</v>
      </c>
      <c r="C1751" s="53"/>
      <c r="D1751" s="242"/>
      <c r="E1751" s="88"/>
      <c r="F1751" s="207"/>
      <c r="G1751" s="243"/>
      <c r="H1751" s="95"/>
      <c r="I1751" s="110"/>
      <c r="J1751" s="96"/>
      <c r="K1751" s="146"/>
      <c r="L1751" s="146"/>
      <c r="M1751" s="26" t="str">
        <f>VLOOKUP(E1751,'MTS 2026 registrations'!B:B,1,false)</f>
        <v>#N/A</v>
      </c>
      <c r="N1751" s="26" t="str">
        <f>VLOOKUP(B1751,'MTS 2026 registrations'!A:A,1,false)</f>
        <v>#N/A</v>
      </c>
      <c r="O1751" s="28"/>
    </row>
    <row r="1752" ht="12.75" customHeight="1">
      <c r="A1752" s="241"/>
      <c r="B1752" s="241" t="s">
        <v>329</v>
      </c>
      <c r="C1752" s="53"/>
      <c r="D1752" s="242"/>
      <c r="E1752" s="88"/>
      <c r="F1752" s="207"/>
      <c r="G1752" s="243"/>
      <c r="H1752" s="95"/>
      <c r="I1752" s="110"/>
      <c r="J1752" s="96"/>
      <c r="K1752" s="146"/>
      <c r="L1752" s="146"/>
      <c r="M1752" s="26" t="str">
        <f>VLOOKUP(E1752,'MTS 2026 registrations'!B:B,1,false)</f>
        <v>#N/A</v>
      </c>
      <c r="N1752" s="26" t="str">
        <f>VLOOKUP(B1752,'MTS 2026 registrations'!A:A,1,false)</f>
        <v>#N/A</v>
      </c>
      <c r="O1752" s="28"/>
    </row>
    <row r="1753" ht="12.75" customHeight="1">
      <c r="A1753" s="241"/>
      <c r="B1753" s="241" t="s">
        <v>329</v>
      </c>
      <c r="C1753" s="53"/>
      <c r="D1753" s="242"/>
      <c r="E1753" s="88"/>
      <c r="F1753" s="207"/>
      <c r="G1753" s="243"/>
      <c r="H1753" s="95"/>
      <c r="I1753" s="110"/>
      <c r="J1753" s="96"/>
      <c r="K1753" s="146"/>
      <c r="L1753" s="146"/>
      <c r="M1753" s="26" t="str">
        <f>VLOOKUP(E1753,'MTS 2026 registrations'!B:B,1,false)</f>
        <v>#N/A</v>
      </c>
      <c r="N1753" s="26" t="str">
        <f>VLOOKUP(B1753,'MTS 2026 registrations'!A:A,1,false)</f>
        <v>#N/A</v>
      </c>
      <c r="O1753" s="28"/>
    </row>
    <row r="1754" ht="12.75" customHeight="1">
      <c r="A1754" s="241"/>
      <c r="B1754" s="241" t="s">
        <v>329</v>
      </c>
      <c r="C1754" s="53"/>
      <c r="D1754" s="242"/>
      <c r="E1754" s="88"/>
      <c r="F1754" s="207"/>
      <c r="G1754" s="243"/>
      <c r="H1754" s="95"/>
      <c r="I1754" s="110"/>
      <c r="J1754" s="96"/>
      <c r="K1754" s="146"/>
      <c r="L1754" s="146"/>
      <c r="M1754" s="26" t="str">
        <f>VLOOKUP(E1754,'MTS 2026 registrations'!B:B,1,false)</f>
        <v>#N/A</v>
      </c>
      <c r="N1754" s="26" t="str">
        <f>VLOOKUP(B1754,'MTS 2026 registrations'!A:A,1,false)</f>
        <v>#N/A</v>
      </c>
      <c r="O1754" s="28"/>
    </row>
    <row r="1755" ht="12.75" customHeight="1">
      <c r="A1755" s="241"/>
      <c r="B1755" s="241" t="s">
        <v>329</v>
      </c>
      <c r="C1755" s="53"/>
      <c r="D1755" s="242"/>
      <c r="E1755" s="88"/>
      <c r="F1755" s="207"/>
      <c r="G1755" s="243"/>
      <c r="H1755" s="95"/>
      <c r="I1755" s="110"/>
      <c r="J1755" s="96"/>
      <c r="K1755" s="146"/>
      <c r="L1755" s="146"/>
      <c r="M1755" s="26" t="str">
        <f>VLOOKUP(E1755,'MTS 2026 registrations'!B:B,1,false)</f>
        <v>#N/A</v>
      </c>
      <c r="N1755" s="26" t="str">
        <f>VLOOKUP(B1755,'MTS 2026 registrations'!A:A,1,false)</f>
        <v>#N/A</v>
      </c>
      <c r="O1755" s="28"/>
    </row>
    <row r="1756" ht="12.75" customHeight="1">
      <c r="A1756" s="241"/>
      <c r="B1756" s="241" t="s">
        <v>329</v>
      </c>
      <c r="C1756" s="53"/>
      <c r="D1756" s="242"/>
      <c r="E1756" s="88"/>
      <c r="F1756" s="207"/>
      <c r="G1756" s="243"/>
      <c r="H1756" s="95"/>
      <c r="I1756" s="110"/>
      <c r="J1756" s="96"/>
      <c r="K1756" s="146"/>
      <c r="L1756" s="146"/>
      <c r="M1756" s="26" t="str">
        <f>VLOOKUP(E1756,'MTS 2026 registrations'!B:B,1,false)</f>
        <v>#N/A</v>
      </c>
      <c r="N1756" s="26" t="str">
        <f>VLOOKUP(B1756,'MTS 2026 registrations'!A:A,1,false)</f>
        <v>#N/A</v>
      </c>
      <c r="O1756" s="28"/>
    </row>
    <row r="1757" ht="12.75" customHeight="1">
      <c r="A1757" s="241"/>
      <c r="B1757" s="241" t="s">
        <v>329</v>
      </c>
      <c r="C1757" s="53"/>
      <c r="D1757" s="242"/>
      <c r="E1757" s="88"/>
      <c r="F1757" s="207"/>
      <c r="G1757" s="243"/>
      <c r="H1757" s="95"/>
      <c r="I1757" s="110"/>
      <c r="J1757" s="96"/>
      <c r="K1757" s="146"/>
      <c r="L1757" s="146"/>
      <c r="M1757" s="26" t="str">
        <f>VLOOKUP(E1757,'MTS 2026 registrations'!B:B,1,false)</f>
        <v>#N/A</v>
      </c>
      <c r="N1757" s="26" t="str">
        <f>VLOOKUP(B1757,'MTS 2026 registrations'!A:A,1,false)</f>
        <v>#N/A</v>
      </c>
      <c r="O1757" s="28"/>
    </row>
    <row r="1758" ht="12.75" customHeight="1">
      <c r="A1758" s="241"/>
      <c r="B1758" s="241" t="s">
        <v>329</v>
      </c>
      <c r="C1758" s="53"/>
      <c r="D1758" s="242"/>
      <c r="E1758" s="88"/>
      <c r="F1758" s="207"/>
      <c r="G1758" s="243"/>
      <c r="H1758" s="95"/>
      <c r="I1758" s="110"/>
      <c r="J1758" s="96"/>
      <c r="K1758" s="146"/>
      <c r="L1758" s="146"/>
      <c r="M1758" s="26" t="str">
        <f>VLOOKUP(E1758,'MTS 2026 registrations'!B:B,1,false)</f>
        <v>#N/A</v>
      </c>
      <c r="N1758" s="26" t="str">
        <f>VLOOKUP(B1758,'MTS 2026 registrations'!A:A,1,false)</f>
        <v>#N/A</v>
      </c>
      <c r="O1758" s="28"/>
    </row>
    <row r="1759" ht="12.75" customHeight="1">
      <c r="A1759" s="241"/>
      <c r="B1759" s="241" t="s">
        <v>329</v>
      </c>
      <c r="C1759" s="53"/>
      <c r="D1759" s="242"/>
      <c r="E1759" s="88"/>
      <c r="F1759" s="207"/>
      <c r="G1759" s="243"/>
      <c r="H1759" s="95"/>
      <c r="I1759" s="110"/>
      <c r="J1759" s="96"/>
      <c r="K1759" s="146"/>
      <c r="L1759" s="146"/>
      <c r="M1759" s="26" t="str">
        <f>VLOOKUP(E1759,'MTS 2026 registrations'!B:B,1,false)</f>
        <v>#N/A</v>
      </c>
      <c r="N1759" s="26" t="str">
        <f>VLOOKUP(B1759,'MTS 2026 registrations'!A:A,1,false)</f>
        <v>#N/A</v>
      </c>
      <c r="O1759" s="28"/>
    </row>
    <row r="1760" ht="12.75" customHeight="1">
      <c r="A1760" s="241"/>
      <c r="B1760" s="241" t="s">
        <v>329</v>
      </c>
      <c r="C1760" s="53"/>
      <c r="D1760" s="242"/>
      <c r="E1760" s="88"/>
      <c r="F1760" s="207"/>
      <c r="G1760" s="243"/>
      <c r="H1760" s="95"/>
      <c r="I1760" s="110"/>
      <c r="J1760" s="96"/>
      <c r="K1760" s="146"/>
      <c r="L1760" s="146"/>
      <c r="M1760" s="26" t="str">
        <f>VLOOKUP(E1760,'MTS 2026 registrations'!B:B,1,false)</f>
        <v>#N/A</v>
      </c>
      <c r="N1760" s="26" t="str">
        <f>VLOOKUP(B1760,'MTS 2026 registrations'!A:A,1,false)</f>
        <v>#N/A</v>
      </c>
      <c r="O1760" s="28"/>
    </row>
    <row r="1761" ht="12.75" customHeight="1">
      <c r="A1761" s="241"/>
      <c r="B1761" s="241" t="s">
        <v>329</v>
      </c>
      <c r="C1761" s="53"/>
      <c r="D1761" s="242"/>
      <c r="E1761" s="88"/>
      <c r="F1761" s="207"/>
      <c r="G1761" s="243"/>
      <c r="H1761" s="95"/>
      <c r="I1761" s="110"/>
      <c r="J1761" s="96"/>
      <c r="K1761" s="146"/>
      <c r="L1761" s="146"/>
      <c r="M1761" s="26" t="str">
        <f>VLOOKUP(E1761,'MTS 2026 registrations'!B:B,1,false)</f>
        <v>#N/A</v>
      </c>
      <c r="N1761" s="26" t="str">
        <f>VLOOKUP(B1761,'MTS 2026 registrations'!A:A,1,false)</f>
        <v>#N/A</v>
      </c>
      <c r="O1761" s="28"/>
    </row>
    <row r="1762" ht="12.75" customHeight="1">
      <c r="A1762" s="241"/>
      <c r="B1762" s="241" t="s">
        <v>329</v>
      </c>
      <c r="C1762" s="53"/>
      <c r="D1762" s="242"/>
      <c r="E1762" s="88"/>
      <c r="F1762" s="207"/>
      <c r="G1762" s="243"/>
      <c r="H1762" s="95"/>
      <c r="I1762" s="110"/>
      <c r="J1762" s="96"/>
      <c r="K1762" s="146"/>
      <c r="L1762" s="146"/>
      <c r="M1762" s="26" t="str">
        <f>VLOOKUP(E1762,'MTS 2026 registrations'!B:B,1,false)</f>
        <v>#N/A</v>
      </c>
      <c r="N1762" s="26" t="str">
        <f>VLOOKUP(B1762,'MTS 2026 registrations'!A:A,1,false)</f>
        <v>#N/A</v>
      </c>
      <c r="O1762" s="28"/>
    </row>
    <row r="1763" ht="12.75" customHeight="1">
      <c r="A1763" s="241"/>
      <c r="B1763" s="241" t="s">
        <v>329</v>
      </c>
      <c r="C1763" s="53"/>
      <c r="D1763" s="242"/>
      <c r="E1763" s="88"/>
      <c r="F1763" s="207"/>
      <c r="G1763" s="243"/>
      <c r="H1763" s="95"/>
      <c r="I1763" s="110"/>
      <c r="J1763" s="96"/>
      <c r="K1763" s="146"/>
      <c r="L1763" s="146"/>
      <c r="M1763" s="26" t="str">
        <f>VLOOKUP(E1763,'MTS 2026 registrations'!B:B,1,false)</f>
        <v>#N/A</v>
      </c>
      <c r="N1763" s="26" t="str">
        <f>VLOOKUP(B1763,'MTS 2026 registrations'!A:A,1,false)</f>
        <v>#N/A</v>
      </c>
      <c r="O1763" s="28"/>
    </row>
    <row r="1764" ht="12.75" customHeight="1">
      <c r="A1764" s="241"/>
      <c r="B1764" s="241" t="s">
        <v>329</v>
      </c>
      <c r="C1764" s="53"/>
      <c r="D1764" s="242"/>
      <c r="E1764" s="88"/>
      <c r="F1764" s="207"/>
      <c r="G1764" s="243"/>
      <c r="H1764" s="95"/>
      <c r="I1764" s="110"/>
      <c r="J1764" s="96"/>
      <c r="K1764" s="146"/>
      <c r="L1764" s="146"/>
      <c r="M1764" s="26" t="str">
        <f>VLOOKUP(E1764,'MTS 2026 registrations'!B:B,1,false)</f>
        <v>#N/A</v>
      </c>
      <c r="N1764" s="26" t="str">
        <f>VLOOKUP(B1764,'MTS 2026 registrations'!A:A,1,false)</f>
        <v>#N/A</v>
      </c>
      <c r="O1764" s="28"/>
    </row>
    <row r="1765" ht="12.75" customHeight="1">
      <c r="A1765" s="241"/>
      <c r="B1765" s="241" t="s">
        <v>329</v>
      </c>
      <c r="C1765" s="53"/>
      <c r="D1765" s="242"/>
      <c r="E1765" s="88"/>
      <c r="F1765" s="207"/>
      <c r="G1765" s="243"/>
      <c r="H1765" s="95"/>
      <c r="I1765" s="110"/>
      <c r="J1765" s="96"/>
      <c r="K1765" s="146"/>
      <c r="L1765" s="146"/>
      <c r="M1765" s="26" t="str">
        <f>VLOOKUP(E1765,'MTS 2026 registrations'!B:B,1,false)</f>
        <v>#N/A</v>
      </c>
      <c r="N1765" s="26" t="str">
        <f>VLOOKUP(B1765,'MTS 2026 registrations'!A:A,1,false)</f>
        <v>#N/A</v>
      </c>
      <c r="O1765" s="28"/>
    </row>
    <row r="1766" ht="12.75" customHeight="1">
      <c r="A1766" s="241"/>
      <c r="B1766" s="241" t="s">
        <v>329</v>
      </c>
      <c r="C1766" s="53"/>
      <c r="D1766" s="242"/>
      <c r="E1766" s="88"/>
      <c r="F1766" s="207"/>
      <c r="G1766" s="243"/>
      <c r="H1766" s="95"/>
      <c r="I1766" s="110"/>
      <c r="J1766" s="96"/>
      <c r="K1766" s="146"/>
      <c r="L1766" s="146"/>
      <c r="M1766" s="26" t="str">
        <f>VLOOKUP(E1766,'MTS 2026 registrations'!B:B,1,false)</f>
        <v>#N/A</v>
      </c>
      <c r="N1766" s="26" t="str">
        <f>VLOOKUP(B1766,'MTS 2026 registrations'!A:A,1,false)</f>
        <v>#N/A</v>
      </c>
      <c r="O1766" s="28"/>
    </row>
    <row r="1767" ht="12.75" customHeight="1">
      <c r="A1767" s="241"/>
      <c r="B1767" s="241" t="s">
        <v>329</v>
      </c>
      <c r="C1767" s="53"/>
      <c r="D1767" s="242"/>
      <c r="E1767" s="88"/>
      <c r="F1767" s="207"/>
      <c r="G1767" s="243"/>
      <c r="H1767" s="95"/>
      <c r="I1767" s="110"/>
      <c r="J1767" s="96"/>
      <c r="K1767" s="146"/>
      <c r="L1767" s="146"/>
      <c r="M1767" s="26" t="str">
        <f>VLOOKUP(E1767,'MTS 2026 registrations'!B:B,1,false)</f>
        <v>#N/A</v>
      </c>
      <c r="N1767" s="26" t="str">
        <f>VLOOKUP(B1767,'MTS 2026 registrations'!A:A,1,false)</f>
        <v>#N/A</v>
      </c>
      <c r="O1767" s="28"/>
    </row>
    <row r="1768" ht="12.75" customHeight="1">
      <c r="A1768" s="241"/>
      <c r="B1768" s="241" t="s">
        <v>329</v>
      </c>
      <c r="C1768" s="53"/>
      <c r="D1768" s="242"/>
      <c r="E1768" s="88"/>
      <c r="F1768" s="207"/>
      <c r="G1768" s="243"/>
      <c r="H1768" s="95"/>
      <c r="I1768" s="110"/>
      <c r="J1768" s="96"/>
      <c r="K1768" s="146"/>
      <c r="L1768" s="146"/>
      <c r="M1768" s="26" t="str">
        <f>VLOOKUP(E1768,'MTS 2026 registrations'!B:B,1,false)</f>
        <v>#N/A</v>
      </c>
      <c r="N1768" s="26" t="str">
        <f>VLOOKUP(B1768,'MTS 2026 registrations'!A:A,1,false)</f>
        <v>#N/A</v>
      </c>
      <c r="O1768" s="28"/>
    </row>
    <row r="1769" ht="12.75" customHeight="1">
      <c r="A1769" s="241"/>
      <c r="B1769" s="241" t="s">
        <v>329</v>
      </c>
      <c r="C1769" s="53"/>
      <c r="D1769" s="242"/>
      <c r="E1769" s="88"/>
      <c r="F1769" s="207"/>
      <c r="G1769" s="243"/>
      <c r="H1769" s="95"/>
      <c r="I1769" s="110"/>
      <c r="J1769" s="96"/>
      <c r="K1769" s="146"/>
      <c r="L1769" s="146"/>
      <c r="M1769" s="26" t="str">
        <f>VLOOKUP(E1769,'MTS 2026 registrations'!B:B,1,false)</f>
        <v>#N/A</v>
      </c>
      <c r="N1769" s="26" t="str">
        <f>VLOOKUP(B1769,'MTS 2026 registrations'!A:A,1,false)</f>
        <v>#N/A</v>
      </c>
      <c r="O1769" s="28"/>
    </row>
    <row r="1770" ht="12.75" customHeight="1">
      <c r="A1770" s="241"/>
      <c r="B1770" s="241" t="s">
        <v>329</v>
      </c>
      <c r="C1770" s="53"/>
      <c r="D1770" s="242"/>
      <c r="E1770" s="88"/>
      <c r="F1770" s="207"/>
      <c r="G1770" s="243"/>
      <c r="H1770" s="95"/>
      <c r="I1770" s="110"/>
      <c r="J1770" s="96"/>
      <c r="K1770" s="146"/>
      <c r="L1770" s="146"/>
      <c r="M1770" s="26" t="str">
        <f>VLOOKUP(E1770,'MTS 2026 registrations'!B:B,1,false)</f>
        <v>#N/A</v>
      </c>
      <c r="N1770" s="26" t="str">
        <f>VLOOKUP(B1770,'MTS 2026 registrations'!A:A,1,false)</f>
        <v>#N/A</v>
      </c>
      <c r="O1770" s="28"/>
    </row>
    <row r="1771" ht="12.75" customHeight="1">
      <c r="A1771" s="241"/>
      <c r="B1771" s="241" t="s">
        <v>329</v>
      </c>
      <c r="C1771" s="53"/>
      <c r="D1771" s="242"/>
      <c r="E1771" s="88"/>
      <c r="F1771" s="207"/>
      <c r="G1771" s="243"/>
      <c r="H1771" s="95"/>
      <c r="I1771" s="110"/>
      <c r="J1771" s="96"/>
      <c r="K1771" s="146"/>
      <c r="L1771" s="146"/>
      <c r="M1771" s="26" t="str">
        <f>VLOOKUP(E1771,'MTS 2026 registrations'!B:B,1,false)</f>
        <v>#N/A</v>
      </c>
      <c r="N1771" s="26" t="str">
        <f>VLOOKUP(B1771,'MTS 2026 registrations'!A:A,1,false)</f>
        <v>#N/A</v>
      </c>
      <c r="O1771" s="28"/>
    </row>
    <row r="1772" ht="12.75" customHeight="1">
      <c r="A1772" s="241"/>
      <c r="B1772" s="241" t="s">
        <v>329</v>
      </c>
      <c r="C1772" s="53"/>
      <c r="D1772" s="242"/>
      <c r="E1772" s="88"/>
      <c r="F1772" s="207"/>
      <c r="G1772" s="243"/>
      <c r="H1772" s="95"/>
      <c r="I1772" s="110"/>
      <c r="J1772" s="96"/>
      <c r="K1772" s="146"/>
      <c r="L1772" s="146"/>
      <c r="M1772" s="26" t="str">
        <f>VLOOKUP(E1772,'MTS 2026 registrations'!B:B,1,false)</f>
        <v>#N/A</v>
      </c>
      <c r="N1772" s="26" t="str">
        <f>VLOOKUP(B1772,'MTS 2026 registrations'!A:A,1,false)</f>
        <v>#N/A</v>
      </c>
      <c r="O1772" s="28"/>
    </row>
    <row r="1773" ht="12.75" customHeight="1">
      <c r="A1773" s="241"/>
      <c r="B1773" s="241" t="s">
        <v>329</v>
      </c>
      <c r="C1773" s="53"/>
      <c r="D1773" s="242"/>
      <c r="E1773" s="88"/>
      <c r="F1773" s="207"/>
      <c r="G1773" s="243"/>
      <c r="H1773" s="95"/>
      <c r="I1773" s="110"/>
      <c r="J1773" s="96"/>
      <c r="K1773" s="146"/>
      <c r="L1773" s="146"/>
      <c r="M1773" s="26" t="str">
        <f>VLOOKUP(E1773,'MTS 2026 registrations'!B:B,1,false)</f>
        <v>#N/A</v>
      </c>
      <c r="N1773" s="26" t="str">
        <f>VLOOKUP(B1773,'MTS 2026 registrations'!A:A,1,false)</f>
        <v>#N/A</v>
      </c>
      <c r="O1773" s="28"/>
    </row>
    <row r="1774" ht="12.75" customHeight="1">
      <c r="A1774" s="241"/>
      <c r="B1774" s="241" t="s">
        <v>329</v>
      </c>
      <c r="C1774" s="53"/>
      <c r="D1774" s="242"/>
      <c r="E1774" s="88"/>
      <c r="F1774" s="207"/>
      <c r="G1774" s="243"/>
      <c r="H1774" s="95"/>
      <c r="I1774" s="110"/>
      <c r="J1774" s="96"/>
      <c r="K1774" s="146"/>
      <c r="L1774" s="146"/>
      <c r="M1774" s="26" t="str">
        <f>VLOOKUP(E1774,'MTS 2026 registrations'!B:B,1,false)</f>
        <v>#N/A</v>
      </c>
      <c r="N1774" s="26" t="str">
        <f>VLOOKUP(B1774,'MTS 2026 registrations'!A:A,1,false)</f>
        <v>#N/A</v>
      </c>
      <c r="O1774" s="28"/>
    </row>
    <row r="1775" ht="12.75" customHeight="1">
      <c r="A1775" s="241"/>
      <c r="B1775" s="241" t="s">
        <v>329</v>
      </c>
      <c r="C1775" s="53"/>
      <c r="D1775" s="242"/>
      <c r="E1775" s="88"/>
      <c r="F1775" s="207"/>
      <c r="G1775" s="243"/>
      <c r="H1775" s="95"/>
      <c r="I1775" s="110"/>
      <c r="J1775" s="96"/>
      <c r="K1775" s="146"/>
      <c r="L1775" s="146"/>
      <c r="M1775" s="26" t="str">
        <f>VLOOKUP(E1775,'MTS 2026 registrations'!B:B,1,false)</f>
        <v>#N/A</v>
      </c>
      <c r="N1775" s="26" t="str">
        <f>VLOOKUP(B1775,'MTS 2026 registrations'!A:A,1,false)</f>
        <v>#N/A</v>
      </c>
      <c r="O1775" s="28"/>
    </row>
    <row r="1776" ht="12.75" customHeight="1">
      <c r="A1776" s="241"/>
      <c r="B1776" s="241" t="s">
        <v>329</v>
      </c>
      <c r="C1776" s="53"/>
      <c r="D1776" s="242"/>
      <c r="E1776" s="88"/>
      <c r="F1776" s="207"/>
      <c r="G1776" s="243"/>
      <c r="H1776" s="95"/>
      <c r="I1776" s="110"/>
      <c r="J1776" s="96"/>
      <c r="K1776" s="146"/>
      <c r="L1776" s="146"/>
      <c r="M1776" s="26" t="str">
        <f>VLOOKUP(E1776,'MTS 2026 registrations'!B:B,1,false)</f>
        <v>#N/A</v>
      </c>
      <c r="N1776" s="26" t="str">
        <f>VLOOKUP(B1776,'MTS 2026 registrations'!A:A,1,false)</f>
        <v>#N/A</v>
      </c>
      <c r="O1776" s="28"/>
    </row>
    <row r="1777" ht="12.75" customHeight="1">
      <c r="A1777" s="241"/>
      <c r="B1777" s="241" t="s">
        <v>329</v>
      </c>
      <c r="C1777" s="53"/>
      <c r="D1777" s="242"/>
      <c r="E1777" s="88"/>
      <c r="F1777" s="207"/>
      <c r="G1777" s="243"/>
      <c r="H1777" s="95"/>
      <c r="I1777" s="110"/>
      <c r="J1777" s="96"/>
      <c r="K1777" s="146"/>
      <c r="L1777" s="146"/>
      <c r="M1777" s="26" t="str">
        <f>VLOOKUP(E1777,'MTS 2026 registrations'!B:B,1,false)</f>
        <v>#N/A</v>
      </c>
      <c r="N1777" s="26" t="str">
        <f>VLOOKUP(B1777,'MTS 2026 registrations'!A:A,1,false)</f>
        <v>#N/A</v>
      </c>
      <c r="O1777" s="28"/>
    </row>
    <row r="1778" ht="12.75" customHeight="1">
      <c r="A1778" s="241"/>
      <c r="B1778" s="241" t="s">
        <v>329</v>
      </c>
      <c r="C1778" s="53"/>
      <c r="D1778" s="242"/>
      <c r="E1778" s="88"/>
      <c r="F1778" s="207"/>
      <c r="G1778" s="243"/>
      <c r="H1778" s="95"/>
      <c r="I1778" s="110"/>
      <c r="J1778" s="96"/>
      <c r="K1778" s="146"/>
      <c r="L1778" s="146"/>
      <c r="M1778" s="26" t="str">
        <f>VLOOKUP(E1778,'MTS 2026 registrations'!B:B,1,false)</f>
        <v>#N/A</v>
      </c>
      <c r="N1778" s="26" t="str">
        <f>VLOOKUP(B1778,'MTS 2026 registrations'!A:A,1,false)</f>
        <v>#N/A</v>
      </c>
      <c r="O1778" s="28"/>
    </row>
    <row r="1779" ht="12.75" customHeight="1">
      <c r="A1779" s="241"/>
      <c r="B1779" s="241" t="s">
        <v>329</v>
      </c>
      <c r="C1779" s="53"/>
      <c r="D1779" s="242"/>
      <c r="E1779" s="88"/>
      <c r="F1779" s="207"/>
      <c r="G1779" s="243"/>
      <c r="H1779" s="95"/>
      <c r="I1779" s="110"/>
      <c r="J1779" s="96"/>
      <c r="K1779" s="146"/>
      <c r="L1779" s="146"/>
      <c r="M1779" s="26" t="str">
        <f>VLOOKUP(E1779,'MTS 2026 registrations'!B:B,1,false)</f>
        <v>#N/A</v>
      </c>
      <c r="N1779" s="26" t="str">
        <f>VLOOKUP(B1779,'MTS 2026 registrations'!A:A,1,false)</f>
        <v>#N/A</v>
      </c>
      <c r="O1779" s="28"/>
    </row>
    <row r="1780" ht="12.75" customHeight="1">
      <c r="A1780" s="241"/>
      <c r="B1780" s="241" t="s">
        <v>329</v>
      </c>
      <c r="C1780" s="53"/>
      <c r="D1780" s="242"/>
      <c r="E1780" s="88"/>
      <c r="F1780" s="207"/>
      <c r="G1780" s="243"/>
      <c r="H1780" s="95"/>
      <c r="I1780" s="110"/>
      <c r="J1780" s="96"/>
      <c r="K1780" s="146"/>
      <c r="L1780" s="146"/>
      <c r="M1780" s="26" t="str">
        <f>VLOOKUP(E1780,'MTS 2026 registrations'!B:B,1,false)</f>
        <v>#N/A</v>
      </c>
      <c r="N1780" s="26" t="str">
        <f>VLOOKUP(B1780,'MTS 2026 registrations'!A:A,1,false)</f>
        <v>#N/A</v>
      </c>
      <c r="O1780" s="28"/>
    </row>
    <row r="1781" ht="12.75" customHeight="1">
      <c r="A1781" s="241"/>
      <c r="B1781" s="241" t="s">
        <v>329</v>
      </c>
      <c r="C1781" s="53"/>
      <c r="D1781" s="242"/>
      <c r="E1781" s="88"/>
      <c r="F1781" s="207"/>
      <c r="G1781" s="243"/>
      <c r="H1781" s="95"/>
      <c r="I1781" s="110"/>
      <c r="J1781" s="96"/>
      <c r="K1781" s="146"/>
      <c r="L1781" s="146"/>
      <c r="M1781" s="26" t="str">
        <f>VLOOKUP(E1781,'MTS 2026 registrations'!B:B,1,false)</f>
        <v>#N/A</v>
      </c>
      <c r="N1781" s="26" t="str">
        <f>VLOOKUP(B1781,'MTS 2026 registrations'!A:A,1,false)</f>
        <v>#N/A</v>
      </c>
      <c r="O1781" s="28"/>
    </row>
    <row r="1782" ht="12.75" customHeight="1">
      <c r="A1782" s="241"/>
      <c r="B1782" s="241" t="s">
        <v>329</v>
      </c>
      <c r="C1782" s="53"/>
      <c r="D1782" s="242"/>
      <c r="E1782" s="88"/>
      <c r="F1782" s="207"/>
      <c r="G1782" s="243"/>
      <c r="H1782" s="95"/>
      <c r="I1782" s="110"/>
      <c r="J1782" s="96"/>
      <c r="K1782" s="146"/>
      <c r="L1782" s="146"/>
      <c r="M1782" s="26" t="str">
        <f>VLOOKUP(E1782,'MTS 2026 registrations'!B:B,1,false)</f>
        <v>#N/A</v>
      </c>
      <c r="N1782" s="26" t="str">
        <f>VLOOKUP(B1782,'MTS 2026 registrations'!A:A,1,false)</f>
        <v>#N/A</v>
      </c>
      <c r="O1782" s="28"/>
    </row>
    <row r="1783" ht="12.75" customHeight="1">
      <c r="A1783" s="241"/>
      <c r="B1783" s="241" t="s">
        <v>329</v>
      </c>
      <c r="C1783" s="53"/>
      <c r="D1783" s="242"/>
      <c r="E1783" s="88"/>
      <c r="F1783" s="207"/>
      <c r="G1783" s="243"/>
      <c r="H1783" s="95"/>
      <c r="I1783" s="110"/>
      <c r="J1783" s="96"/>
      <c r="K1783" s="146"/>
      <c r="L1783" s="146"/>
      <c r="M1783" s="26" t="str">
        <f>VLOOKUP(E1783,'MTS 2026 registrations'!B:B,1,false)</f>
        <v>#N/A</v>
      </c>
      <c r="N1783" s="26" t="str">
        <f>VLOOKUP(B1783,'MTS 2026 registrations'!A:A,1,false)</f>
        <v>#N/A</v>
      </c>
      <c r="O1783" s="28"/>
    </row>
    <row r="1784" ht="12.75" customHeight="1">
      <c r="A1784" s="241"/>
      <c r="B1784" s="241" t="s">
        <v>329</v>
      </c>
      <c r="C1784" s="53"/>
      <c r="D1784" s="242"/>
      <c r="E1784" s="88"/>
      <c r="F1784" s="207"/>
      <c r="G1784" s="243"/>
      <c r="H1784" s="95"/>
      <c r="I1784" s="110"/>
      <c r="J1784" s="96"/>
      <c r="K1784" s="146"/>
      <c r="L1784" s="146"/>
      <c r="M1784" s="26" t="str">
        <f>VLOOKUP(E1784,'MTS 2026 registrations'!B:B,1,false)</f>
        <v>#N/A</v>
      </c>
      <c r="N1784" s="26" t="str">
        <f>VLOOKUP(B1784,'MTS 2026 registrations'!A:A,1,false)</f>
        <v>#N/A</v>
      </c>
      <c r="O1784" s="28"/>
    </row>
    <row r="1785" ht="12.75" customHeight="1">
      <c r="A1785" s="241"/>
      <c r="B1785" s="241" t="s">
        <v>329</v>
      </c>
      <c r="C1785" s="53"/>
      <c r="D1785" s="242"/>
      <c r="E1785" s="88"/>
      <c r="F1785" s="207"/>
      <c r="G1785" s="243"/>
      <c r="H1785" s="95"/>
      <c r="I1785" s="110"/>
      <c r="J1785" s="96"/>
      <c r="K1785" s="146"/>
      <c r="L1785" s="146"/>
      <c r="M1785" s="26" t="str">
        <f>VLOOKUP(E1785,'MTS 2026 registrations'!B:B,1,false)</f>
        <v>#N/A</v>
      </c>
      <c r="N1785" s="26" t="str">
        <f>VLOOKUP(B1785,'MTS 2026 registrations'!A:A,1,false)</f>
        <v>#N/A</v>
      </c>
      <c r="O1785" s="28"/>
    </row>
    <row r="1786" ht="12.75" customHeight="1">
      <c r="A1786" s="241"/>
      <c r="B1786" s="241" t="s">
        <v>329</v>
      </c>
      <c r="C1786" s="53"/>
      <c r="D1786" s="242"/>
      <c r="E1786" s="88"/>
      <c r="F1786" s="207"/>
      <c r="G1786" s="243"/>
      <c r="H1786" s="95"/>
      <c r="I1786" s="110"/>
      <c r="J1786" s="96"/>
      <c r="K1786" s="146"/>
      <c r="L1786" s="146"/>
      <c r="M1786" s="26" t="str">
        <f>VLOOKUP(E1786,'MTS 2026 registrations'!B:B,1,false)</f>
        <v>#N/A</v>
      </c>
      <c r="N1786" s="26" t="str">
        <f>VLOOKUP(B1786,'MTS 2026 registrations'!A:A,1,false)</f>
        <v>#N/A</v>
      </c>
      <c r="O1786" s="28"/>
    </row>
    <row r="1787" ht="12.75" customHeight="1">
      <c r="A1787" s="241"/>
      <c r="B1787" s="241" t="s">
        <v>329</v>
      </c>
      <c r="C1787" s="53"/>
      <c r="D1787" s="242"/>
      <c r="E1787" s="88"/>
      <c r="F1787" s="207"/>
      <c r="G1787" s="243"/>
      <c r="H1787" s="95"/>
      <c r="I1787" s="110"/>
      <c r="J1787" s="96"/>
      <c r="K1787" s="146"/>
      <c r="L1787" s="146"/>
      <c r="M1787" s="26" t="str">
        <f>VLOOKUP(E1787,'MTS 2026 registrations'!B:B,1,false)</f>
        <v>#N/A</v>
      </c>
      <c r="N1787" s="26" t="str">
        <f>VLOOKUP(B1787,'MTS 2026 registrations'!A:A,1,false)</f>
        <v>#N/A</v>
      </c>
      <c r="O1787" s="28"/>
    </row>
    <row r="1788" ht="12.75" customHeight="1">
      <c r="A1788" s="241"/>
      <c r="B1788" s="241" t="s">
        <v>329</v>
      </c>
      <c r="C1788" s="53"/>
      <c r="D1788" s="242"/>
      <c r="E1788" s="88"/>
      <c r="F1788" s="207"/>
      <c r="G1788" s="243"/>
      <c r="H1788" s="95"/>
      <c r="I1788" s="110"/>
      <c r="J1788" s="96"/>
      <c r="K1788" s="146"/>
      <c r="L1788" s="146"/>
      <c r="M1788" s="26" t="str">
        <f>VLOOKUP(E1788,'MTS 2026 registrations'!B:B,1,false)</f>
        <v>#N/A</v>
      </c>
      <c r="N1788" s="26" t="str">
        <f>VLOOKUP(B1788,'MTS 2026 registrations'!A:A,1,false)</f>
        <v>#N/A</v>
      </c>
      <c r="O1788" s="28"/>
    </row>
    <row r="1789" ht="12.75" customHeight="1">
      <c r="A1789" s="241"/>
      <c r="B1789" s="241" t="s">
        <v>329</v>
      </c>
      <c r="C1789" s="53"/>
      <c r="D1789" s="242"/>
      <c r="E1789" s="88"/>
      <c r="F1789" s="207"/>
      <c r="G1789" s="243"/>
      <c r="H1789" s="95"/>
      <c r="I1789" s="110"/>
      <c r="J1789" s="96"/>
      <c r="K1789" s="146"/>
      <c r="L1789" s="146"/>
      <c r="M1789" s="26" t="str">
        <f>VLOOKUP(E1789,'MTS 2026 registrations'!B:B,1,false)</f>
        <v>#N/A</v>
      </c>
      <c r="N1789" s="26" t="str">
        <f>VLOOKUP(B1789,'MTS 2026 registrations'!A:A,1,false)</f>
        <v>#N/A</v>
      </c>
      <c r="O1789" s="28"/>
    </row>
    <row r="1790" ht="12.75" customHeight="1">
      <c r="A1790" s="241"/>
      <c r="B1790" s="241" t="s">
        <v>329</v>
      </c>
      <c r="C1790" s="53"/>
      <c r="D1790" s="242"/>
      <c r="E1790" s="88"/>
      <c r="F1790" s="207"/>
      <c r="G1790" s="243"/>
      <c r="H1790" s="95"/>
      <c r="I1790" s="110"/>
      <c r="J1790" s="96"/>
      <c r="K1790" s="146"/>
      <c r="L1790" s="146"/>
      <c r="M1790" s="26" t="str">
        <f>VLOOKUP(E1790,'MTS 2026 registrations'!B:B,1,false)</f>
        <v>#N/A</v>
      </c>
      <c r="N1790" s="26" t="str">
        <f>VLOOKUP(B1790,'MTS 2026 registrations'!A:A,1,false)</f>
        <v>#N/A</v>
      </c>
      <c r="O1790" s="28"/>
    </row>
    <row r="1791" ht="12.75" customHeight="1">
      <c r="A1791" s="241"/>
      <c r="B1791" s="241" t="s">
        <v>329</v>
      </c>
      <c r="C1791" s="53"/>
      <c r="D1791" s="242"/>
      <c r="E1791" s="88"/>
      <c r="F1791" s="207"/>
      <c r="G1791" s="243"/>
      <c r="H1791" s="95"/>
      <c r="I1791" s="110"/>
      <c r="J1791" s="96"/>
      <c r="K1791" s="146"/>
      <c r="L1791" s="146"/>
      <c r="M1791" s="26" t="str">
        <f>VLOOKUP(E1791,'MTS 2026 registrations'!B:B,1,false)</f>
        <v>#N/A</v>
      </c>
      <c r="N1791" s="26" t="str">
        <f>VLOOKUP(B1791,'MTS 2026 registrations'!A:A,1,false)</f>
        <v>#N/A</v>
      </c>
      <c r="O1791" s="28"/>
    </row>
    <row r="1792" ht="12.75" customHeight="1">
      <c r="A1792" s="241"/>
      <c r="B1792" s="241" t="s">
        <v>329</v>
      </c>
      <c r="C1792" s="53"/>
      <c r="D1792" s="242"/>
      <c r="E1792" s="88"/>
      <c r="F1792" s="207"/>
      <c r="G1792" s="243"/>
      <c r="H1792" s="95"/>
      <c r="I1792" s="110"/>
      <c r="J1792" s="96"/>
      <c r="K1792" s="146"/>
      <c r="L1792" s="146"/>
      <c r="M1792" s="26" t="str">
        <f>VLOOKUP(E1792,'MTS 2026 registrations'!B:B,1,false)</f>
        <v>#N/A</v>
      </c>
      <c r="N1792" s="26" t="str">
        <f>VLOOKUP(B1792,'MTS 2026 registrations'!A:A,1,false)</f>
        <v>#N/A</v>
      </c>
      <c r="O1792" s="28"/>
    </row>
    <row r="1793" ht="12.75" customHeight="1">
      <c r="A1793" s="241"/>
      <c r="B1793" s="241" t="s">
        <v>329</v>
      </c>
      <c r="C1793" s="53"/>
      <c r="D1793" s="242"/>
      <c r="E1793" s="88"/>
      <c r="F1793" s="207"/>
      <c r="G1793" s="243"/>
      <c r="H1793" s="95"/>
      <c r="I1793" s="110"/>
      <c r="J1793" s="96"/>
      <c r="K1793" s="146"/>
      <c r="L1793" s="146"/>
      <c r="M1793" s="26" t="str">
        <f>VLOOKUP(E1793,'MTS 2026 registrations'!B:B,1,false)</f>
        <v>#N/A</v>
      </c>
      <c r="N1793" s="26" t="str">
        <f>VLOOKUP(B1793,'MTS 2026 registrations'!A:A,1,false)</f>
        <v>#N/A</v>
      </c>
      <c r="O1793" s="28"/>
    </row>
    <row r="1794" ht="12.75" customHeight="1">
      <c r="A1794" s="241"/>
      <c r="B1794" s="241" t="s">
        <v>329</v>
      </c>
      <c r="C1794" s="53"/>
      <c r="D1794" s="242"/>
      <c r="E1794" s="88"/>
      <c r="F1794" s="207"/>
      <c r="G1794" s="243"/>
      <c r="H1794" s="95"/>
      <c r="I1794" s="110"/>
      <c r="J1794" s="96"/>
      <c r="K1794" s="146"/>
      <c r="L1794" s="146"/>
      <c r="M1794" s="26" t="str">
        <f>VLOOKUP(E1794,'MTS 2026 registrations'!B:B,1,false)</f>
        <v>#N/A</v>
      </c>
      <c r="N1794" s="26" t="str">
        <f>VLOOKUP(B1794,'MTS 2026 registrations'!A:A,1,false)</f>
        <v>#N/A</v>
      </c>
      <c r="O1794" s="28"/>
    </row>
    <row r="1795" ht="12.75" customHeight="1">
      <c r="A1795" s="241"/>
      <c r="B1795" s="241" t="s">
        <v>329</v>
      </c>
      <c r="C1795" s="53"/>
      <c r="D1795" s="242"/>
      <c r="E1795" s="88"/>
      <c r="F1795" s="207"/>
      <c r="G1795" s="243"/>
      <c r="H1795" s="95"/>
      <c r="I1795" s="110"/>
      <c r="J1795" s="96"/>
      <c r="K1795" s="146"/>
      <c r="L1795" s="146"/>
      <c r="M1795" s="26" t="str">
        <f>VLOOKUP(E1795,'MTS 2026 registrations'!B:B,1,false)</f>
        <v>#N/A</v>
      </c>
      <c r="N1795" s="26" t="str">
        <f>VLOOKUP(B1795,'MTS 2026 registrations'!A:A,1,false)</f>
        <v>#N/A</v>
      </c>
      <c r="O1795" s="28"/>
    </row>
    <row r="1796" ht="12.75" customHeight="1">
      <c r="A1796" s="241"/>
      <c r="B1796" s="241" t="s">
        <v>329</v>
      </c>
      <c r="C1796" s="53"/>
      <c r="D1796" s="242"/>
      <c r="E1796" s="88"/>
      <c r="F1796" s="207"/>
      <c r="G1796" s="243"/>
      <c r="H1796" s="95"/>
      <c r="I1796" s="110"/>
      <c r="J1796" s="96"/>
      <c r="K1796" s="146"/>
      <c r="L1796" s="146"/>
      <c r="M1796" s="26" t="str">
        <f>VLOOKUP(E1796,'MTS 2026 registrations'!B:B,1,false)</f>
        <v>#N/A</v>
      </c>
      <c r="N1796" s="26" t="str">
        <f>VLOOKUP(B1796,'MTS 2026 registrations'!A:A,1,false)</f>
        <v>#N/A</v>
      </c>
      <c r="O1796" s="28"/>
    </row>
    <row r="1797" ht="12.75" customHeight="1">
      <c r="A1797" s="241"/>
      <c r="B1797" s="241" t="s">
        <v>329</v>
      </c>
      <c r="C1797" s="53"/>
      <c r="D1797" s="242"/>
      <c r="E1797" s="88"/>
      <c r="F1797" s="207"/>
      <c r="G1797" s="243"/>
      <c r="H1797" s="95"/>
      <c r="I1797" s="110"/>
      <c r="J1797" s="96"/>
      <c r="K1797" s="146"/>
      <c r="L1797" s="146"/>
      <c r="M1797" s="26" t="str">
        <f>VLOOKUP(E1797,'MTS 2026 registrations'!B:B,1,false)</f>
        <v>#N/A</v>
      </c>
      <c r="N1797" s="26" t="str">
        <f>VLOOKUP(B1797,'MTS 2026 registrations'!A:A,1,false)</f>
        <v>#N/A</v>
      </c>
      <c r="O1797" s="28"/>
    </row>
    <row r="1798" ht="12.75" customHeight="1">
      <c r="A1798" s="241"/>
      <c r="B1798" s="241" t="s">
        <v>329</v>
      </c>
      <c r="C1798" s="53"/>
      <c r="D1798" s="242"/>
      <c r="E1798" s="88"/>
      <c r="F1798" s="207"/>
      <c r="G1798" s="243"/>
      <c r="H1798" s="95"/>
      <c r="I1798" s="110"/>
      <c r="J1798" s="96"/>
      <c r="K1798" s="146"/>
      <c r="L1798" s="146"/>
      <c r="M1798" s="26" t="str">
        <f>VLOOKUP(E1798,'MTS 2026 registrations'!B:B,1,false)</f>
        <v>#N/A</v>
      </c>
      <c r="N1798" s="26" t="str">
        <f>VLOOKUP(B1798,'MTS 2026 registrations'!A:A,1,false)</f>
        <v>#N/A</v>
      </c>
      <c r="O1798" s="28"/>
    </row>
    <row r="1799" ht="12.75" customHeight="1">
      <c r="A1799" s="241"/>
      <c r="B1799" s="241" t="s">
        <v>329</v>
      </c>
      <c r="C1799" s="53"/>
      <c r="D1799" s="242"/>
      <c r="E1799" s="88"/>
      <c r="F1799" s="207"/>
      <c r="G1799" s="243"/>
      <c r="H1799" s="95"/>
      <c r="I1799" s="110"/>
      <c r="J1799" s="96"/>
      <c r="K1799" s="146"/>
      <c r="L1799" s="146"/>
      <c r="M1799" s="26" t="str">
        <f>VLOOKUP(E1799,'MTS 2026 registrations'!B:B,1,false)</f>
        <v>#N/A</v>
      </c>
      <c r="N1799" s="26" t="str">
        <f>VLOOKUP(B1799,'MTS 2026 registrations'!A:A,1,false)</f>
        <v>#N/A</v>
      </c>
      <c r="O1799" s="28"/>
    </row>
    <row r="1800" ht="12.75" customHeight="1">
      <c r="A1800" s="241"/>
      <c r="B1800" s="241" t="s">
        <v>329</v>
      </c>
      <c r="C1800" s="53"/>
      <c r="D1800" s="242"/>
      <c r="E1800" s="88"/>
      <c r="F1800" s="207"/>
      <c r="G1800" s="243"/>
      <c r="H1800" s="95"/>
      <c r="I1800" s="110"/>
      <c r="J1800" s="96"/>
      <c r="K1800" s="146"/>
      <c r="L1800" s="146"/>
      <c r="M1800" s="26" t="str">
        <f>VLOOKUP(E1800,'MTS 2026 registrations'!B:B,1,false)</f>
        <v>#N/A</v>
      </c>
      <c r="N1800" s="26" t="str">
        <f>VLOOKUP(B1800,'MTS 2026 registrations'!A:A,1,false)</f>
        <v>#N/A</v>
      </c>
      <c r="O1800" s="28"/>
    </row>
    <row r="1801" ht="12.75" customHeight="1">
      <c r="A1801" s="241"/>
      <c r="B1801" s="241" t="s">
        <v>329</v>
      </c>
      <c r="C1801" s="53"/>
      <c r="D1801" s="242"/>
      <c r="E1801" s="88"/>
      <c r="F1801" s="207"/>
      <c r="G1801" s="243"/>
      <c r="H1801" s="95"/>
      <c r="I1801" s="110"/>
      <c r="J1801" s="96"/>
      <c r="K1801" s="146"/>
      <c r="L1801" s="146"/>
      <c r="M1801" s="26" t="str">
        <f>VLOOKUP(E1801,'MTS 2026 registrations'!B:B,1,false)</f>
        <v>#N/A</v>
      </c>
      <c r="N1801" s="26" t="str">
        <f>VLOOKUP(B1801,'MTS 2026 registrations'!A:A,1,false)</f>
        <v>#N/A</v>
      </c>
      <c r="O1801" s="28"/>
    </row>
    <row r="1802" ht="12.75" customHeight="1">
      <c r="A1802" s="241"/>
      <c r="B1802" s="241" t="s">
        <v>329</v>
      </c>
      <c r="C1802" s="53"/>
      <c r="D1802" s="242"/>
      <c r="E1802" s="88"/>
      <c r="F1802" s="207"/>
      <c r="G1802" s="243"/>
      <c r="H1802" s="95"/>
      <c r="I1802" s="110"/>
      <c r="J1802" s="96"/>
      <c r="K1802" s="146"/>
      <c r="L1802" s="146"/>
      <c r="M1802" s="26" t="str">
        <f>VLOOKUP(E1802,'MTS 2026 registrations'!B:B,1,false)</f>
        <v>#N/A</v>
      </c>
      <c r="N1802" s="26" t="str">
        <f>VLOOKUP(B1802,'MTS 2026 registrations'!A:A,1,false)</f>
        <v>#N/A</v>
      </c>
      <c r="O1802" s="28"/>
    </row>
    <row r="1803" ht="12.75" customHeight="1">
      <c r="A1803" s="241"/>
      <c r="B1803" s="241" t="s">
        <v>329</v>
      </c>
      <c r="C1803" s="53"/>
      <c r="D1803" s="242"/>
      <c r="E1803" s="88"/>
      <c r="F1803" s="207"/>
      <c r="G1803" s="243"/>
      <c r="H1803" s="95"/>
      <c r="I1803" s="110"/>
      <c r="J1803" s="96"/>
      <c r="K1803" s="146"/>
      <c r="L1803" s="146"/>
      <c r="M1803" s="26" t="str">
        <f>VLOOKUP(E1803,'MTS 2026 registrations'!B:B,1,false)</f>
        <v>#N/A</v>
      </c>
      <c r="N1803" s="26" t="str">
        <f>VLOOKUP(B1803,'MTS 2026 registrations'!A:A,1,false)</f>
        <v>#N/A</v>
      </c>
      <c r="O1803" s="28"/>
    </row>
    <row r="1804" ht="12.75" customHeight="1">
      <c r="A1804" s="241"/>
      <c r="B1804" s="241" t="s">
        <v>329</v>
      </c>
      <c r="C1804" s="53"/>
      <c r="D1804" s="242"/>
      <c r="E1804" s="88"/>
      <c r="F1804" s="207"/>
      <c r="G1804" s="243"/>
      <c r="H1804" s="95"/>
      <c r="I1804" s="110"/>
      <c r="J1804" s="96"/>
      <c r="K1804" s="146"/>
      <c r="L1804" s="146"/>
      <c r="M1804" s="26" t="str">
        <f>VLOOKUP(E1804,'MTS 2026 registrations'!B:B,1,false)</f>
        <v>#N/A</v>
      </c>
      <c r="N1804" s="26" t="str">
        <f>VLOOKUP(B1804,'MTS 2026 registrations'!A:A,1,false)</f>
        <v>#N/A</v>
      </c>
      <c r="O1804" s="28"/>
    </row>
    <row r="1805" ht="12.75" customHeight="1">
      <c r="A1805" s="241"/>
      <c r="B1805" s="241" t="s">
        <v>329</v>
      </c>
      <c r="C1805" s="53"/>
      <c r="D1805" s="242"/>
      <c r="E1805" s="88"/>
      <c r="F1805" s="207"/>
      <c r="G1805" s="243"/>
      <c r="H1805" s="95"/>
      <c r="I1805" s="110"/>
      <c r="J1805" s="96"/>
      <c r="K1805" s="146"/>
      <c r="L1805" s="146"/>
      <c r="M1805" s="26" t="str">
        <f>VLOOKUP(E1805,'MTS 2026 registrations'!B:B,1,false)</f>
        <v>#N/A</v>
      </c>
      <c r="N1805" s="26" t="str">
        <f>VLOOKUP(B1805,'MTS 2026 registrations'!A:A,1,false)</f>
        <v>#N/A</v>
      </c>
      <c r="O1805" s="28"/>
    </row>
    <row r="1806" ht="12.75" customHeight="1">
      <c r="A1806" s="241"/>
      <c r="B1806" s="241" t="s">
        <v>329</v>
      </c>
      <c r="C1806" s="53"/>
      <c r="D1806" s="242"/>
      <c r="E1806" s="88"/>
      <c r="F1806" s="207"/>
      <c r="G1806" s="243"/>
      <c r="H1806" s="95"/>
      <c r="I1806" s="110"/>
      <c r="J1806" s="96"/>
      <c r="K1806" s="146"/>
      <c r="L1806" s="146"/>
      <c r="M1806" s="26" t="str">
        <f>VLOOKUP(E1806,'MTS 2026 registrations'!B:B,1,false)</f>
        <v>#N/A</v>
      </c>
      <c r="N1806" s="26" t="str">
        <f>VLOOKUP(B1806,'MTS 2026 registrations'!A:A,1,false)</f>
        <v>#N/A</v>
      </c>
      <c r="O1806" s="28"/>
    </row>
    <row r="1807" ht="12.75" customHeight="1">
      <c r="A1807" s="241"/>
      <c r="B1807" s="241" t="s">
        <v>329</v>
      </c>
      <c r="C1807" s="53"/>
      <c r="D1807" s="242"/>
      <c r="E1807" s="88"/>
      <c r="F1807" s="207"/>
      <c r="G1807" s="243"/>
      <c r="H1807" s="95"/>
      <c r="I1807" s="110"/>
      <c r="J1807" s="96"/>
      <c r="K1807" s="146"/>
      <c r="L1807" s="146"/>
      <c r="M1807" s="26" t="str">
        <f>VLOOKUP(E1807,'MTS 2026 registrations'!B:B,1,false)</f>
        <v>#N/A</v>
      </c>
      <c r="N1807" s="26" t="str">
        <f>VLOOKUP(B1807,'MTS 2026 registrations'!A:A,1,false)</f>
        <v>#N/A</v>
      </c>
      <c r="O1807" s="28"/>
    </row>
    <row r="1808" ht="12.75" customHeight="1">
      <c r="A1808" s="241"/>
      <c r="B1808" s="241" t="s">
        <v>329</v>
      </c>
      <c r="C1808" s="53"/>
      <c r="D1808" s="242"/>
      <c r="E1808" s="88"/>
      <c r="F1808" s="207"/>
      <c r="G1808" s="243"/>
      <c r="H1808" s="95"/>
      <c r="I1808" s="110"/>
      <c r="J1808" s="96"/>
      <c r="K1808" s="146"/>
      <c r="L1808" s="146"/>
      <c r="M1808" s="26" t="str">
        <f>VLOOKUP(E1808,'MTS 2026 registrations'!B:B,1,false)</f>
        <v>#N/A</v>
      </c>
      <c r="N1808" s="26" t="str">
        <f>VLOOKUP(B1808,'MTS 2026 registrations'!A:A,1,false)</f>
        <v>#N/A</v>
      </c>
      <c r="O1808" s="28"/>
    </row>
    <row r="1809" ht="12.75" customHeight="1">
      <c r="A1809" s="241"/>
      <c r="B1809" s="241" t="s">
        <v>329</v>
      </c>
      <c r="C1809" s="53"/>
      <c r="D1809" s="242"/>
      <c r="E1809" s="88"/>
      <c r="F1809" s="207"/>
      <c r="G1809" s="243"/>
      <c r="H1809" s="95"/>
      <c r="I1809" s="110"/>
      <c r="J1809" s="96"/>
      <c r="K1809" s="146"/>
      <c r="L1809" s="146"/>
      <c r="M1809" s="26" t="str">
        <f>VLOOKUP(E1809,'MTS 2026 registrations'!B:B,1,false)</f>
        <v>#N/A</v>
      </c>
      <c r="N1809" s="26" t="str">
        <f>VLOOKUP(B1809,'MTS 2026 registrations'!A:A,1,false)</f>
        <v>#N/A</v>
      </c>
      <c r="O1809" s="28"/>
    </row>
    <row r="1810" ht="12.75" customHeight="1">
      <c r="A1810" s="241"/>
      <c r="B1810" s="241" t="s">
        <v>329</v>
      </c>
      <c r="C1810" s="53"/>
      <c r="D1810" s="242"/>
      <c r="E1810" s="88"/>
      <c r="F1810" s="207"/>
      <c r="G1810" s="243"/>
      <c r="H1810" s="95"/>
      <c r="I1810" s="110"/>
      <c r="J1810" s="96"/>
      <c r="K1810" s="146"/>
      <c r="L1810" s="146"/>
      <c r="M1810" s="26" t="str">
        <f>VLOOKUP(E1810,'MTS 2026 registrations'!B:B,1,false)</f>
        <v>#N/A</v>
      </c>
      <c r="N1810" s="26" t="str">
        <f>VLOOKUP(B1810,'MTS 2026 registrations'!A:A,1,false)</f>
        <v>#N/A</v>
      </c>
      <c r="O1810" s="28"/>
    </row>
    <row r="1811" ht="12.75" customHeight="1">
      <c r="A1811" s="241"/>
      <c r="B1811" s="241" t="s">
        <v>329</v>
      </c>
      <c r="C1811" s="53"/>
      <c r="D1811" s="242"/>
      <c r="E1811" s="88"/>
      <c r="F1811" s="207"/>
      <c r="G1811" s="243"/>
      <c r="H1811" s="95"/>
      <c r="I1811" s="110"/>
      <c r="J1811" s="96"/>
      <c r="K1811" s="146"/>
      <c r="L1811" s="146"/>
      <c r="M1811" s="26" t="str">
        <f>VLOOKUP(E1811,'MTS 2026 registrations'!B:B,1,false)</f>
        <v>#N/A</v>
      </c>
      <c r="N1811" s="26" t="str">
        <f>VLOOKUP(B1811,'MTS 2026 registrations'!A:A,1,false)</f>
        <v>#N/A</v>
      </c>
      <c r="O1811" s="28"/>
    </row>
    <row r="1812" ht="12.75" customHeight="1">
      <c r="A1812" s="241"/>
      <c r="B1812" s="241" t="s">
        <v>329</v>
      </c>
      <c r="C1812" s="53"/>
      <c r="D1812" s="242"/>
      <c r="E1812" s="88"/>
      <c r="F1812" s="207"/>
      <c r="G1812" s="243"/>
      <c r="H1812" s="95"/>
      <c r="I1812" s="110"/>
      <c r="J1812" s="96"/>
      <c r="K1812" s="146"/>
      <c r="L1812" s="146"/>
      <c r="M1812" s="26" t="str">
        <f>VLOOKUP(E1812,'MTS 2026 registrations'!B:B,1,false)</f>
        <v>#N/A</v>
      </c>
      <c r="N1812" s="26" t="str">
        <f>VLOOKUP(B1812,'MTS 2026 registrations'!A:A,1,false)</f>
        <v>#N/A</v>
      </c>
      <c r="O1812" s="28"/>
    </row>
    <row r="1813" ht="12.75" customHeight="1">
      <c r="A1813" s="241"/>
      <c r="B1813" s="241" t="s">
        <v>329</v>
      </c>
      <c r="C1813" s="53"/>
      <c r="D1813" s="242"/>
      <c r="E1813" s="88"/>
      <c r="F1813" s="207"/>
      <c r="G1813" s="243"/>
      <c r="H1813" s="95"/>
      <c r="I1813" s="110"/>
      <c r="J1813" s="96"/>
      <c r="K1813" s="146"/>
      <c r="L1813" s="146"/>
      <c r="M1813" s="26" t="str">
        <f>VLOOKUP(E1813,'MTS 2026 registrations'!B:B,1,false)</f>
        <v>#N/A</v>
      </c>
      <c r="N1813" s="26" t="str">
        <f>VLOOKUP(B1813,'MTS 2026 registrations'!A:A,1,false)</f>
        <v>#N/A</v>
      </c>
      <c r="O1813" s="28"/>
    </row>
    <row r="1814" ht="12.75" customHeight="1">
      <c r="A1814" s="241"/>
      <c r="B1814" s="241" t="s">
        <v>329</v>
      </c>
      <c r="C1814" s="53"/>
      <c r="D1814" s="242"/>
      <c r="E1814" s="88"/>
      <c r="F1814" s="207"/>
      <c r="G1814" s="243"/>
      <c r="H1814" s="95"/>
      <c r="I1814" s="110"/>
      <c r="J1814" s="96"/>
      <c r="K1814" s="146"/>
      <c r="L1814" s="146"/>
      <c r="M1814" s="26" t="str">
        <f>VLOOKUP(E1814,'MTS 2026 registrations'!B:B,1,false)</f>
        <v>#N/A</v>
      </c>
      <c r="N1814" s="26" t="str">
        <f>VLOOKUP(B1814,'MTS 2026 registrations'!A:A,1,false)</f>
        <v>#N/A</v>
      </c>
      <c r="O1814" s="28"/>
    </row>
    <row r="1815" ht="12.75" customHeight="1">
      <c r="A1815" s="241"/>
      <c r="B1815" s="241" t="s">
        <v>329</v>
      </c>
      <c r="C1815" s="53"/>
      <c r="D1815" s="242"/>
      <c r="E1815" s="88"/>
      <c r="F1815" s="207"/>
      <c r="G1815" s="243"/>
      <c r="H1815" s="95"/>
      <c r="I1815" s="110"/>
      <c r="J1815" s="96"/>
      <c r="K1815" s="146"/>
      <c r="L1815" s="146"/>
      <c r="M1815" s="26" t="str">
        <f>VLOOKUP(E1815,'MTS 2026 registrations'!B:B,1,false)</f>
        <v>#N/A</v>
      </c>
      <c r="N1815" s="26" t="str">
        <f>VLOOKUP(B1815,'MTS 2026 registrations'!A:A,1,false)</f>
        <v>#N/A</v>
      </c>
      <c r="O1815" s="28"/>
    </row>
    <row r="1816" ht="12.75" customHeight="1">
      <c r="A1816" s="241"/>
      <c r="B1816" s="241" t="s">
        <v>329</v>
      </c>
      <c r="C1816" s="53"/>
      <c r="D1816" s="242"/>
      <c r="E1816" s="88"/>
      <c r="F1816" s="207"/>
      <c r="G1816" s="243"/>
      <c r="H1816" s="95"/>
      <c r="I1816" s="110"/>
      <c r="J1816" s="96"/>
      <c r="K1816" s="146"/>
      <c r="L1816" s="146"/>
      <c r="M1816" s="26" t="str">
        <f>VLOOKUP(E1816,'MTS 2026 registrations'!B:B,1,false)</f>
        <v>#N/A</v>
      </c>
      <c r="N1816" s="26" t="str">
        <f>VLOOKUP(B1816,'MTS 2026 registrations'!A:A,1,false)</f>
        <v>#N/A</v>
      </c>
      <c r="O1816" s="28"/>
    </row>
    <row r="1817" ht="12.75" customHeight="1">
      <c r="A1817" s="241"/>
      <c r="B1817" s="241" t="s">
        <v>329</v>
      </c>
      <c r="C1817" s="53"/>
      <c r="D1817" s="242"/>
      <c r="E1817" s="88"/>
      <c r="F1817" s="207"/>
      <c r="G1817" s="243"/>
      <c r="H1817" s="95"/>
      <c r="I1817" s="110"/>
      <c r="J1817" s="96"/>
      <c r="K1817" s="146"/>
      <c r="L1817" s="146"/>
      <c r="M1817" s="26" t="str">
        <f>VLOOKUP(E1817,'MTS 2026 registrations'!B:B,1,false)</f>
        <v>#N/A</v>
      </c>
      <c r="N1817" s="26" t="str">
        <f>VLOOKUP(B1817,'MTS 2026 registrations'!A:A,1,false)</f>
        <v>#N/A</v>
      </c>
      <c r="O1817" s="28"/>
    </row>
    <row r="1818" ht="12.75" customHeight="1">
      <c r="A1818" s="241"/>
      <c r="B1818" s="241" t="s">
        <v>329</v>
      </c>
      <c r="C1818" s="53"/>
      <c r="D1818" s="242"/>
      <c r="E1818" s="88"/>
      <c r="F1818" s="207"/>
      <c r="G1818" s="243"/>
      <c r="H1818" s="95"/>
      <c r="I1818" s="110"/>
      <c r="J1818" s="96"/>
      <c r="K1818" s="146"/>
      <c r="L1818" s="146"/>
      <c r="M1818" s="26" t="str">
        <f>VLOOKUP(E1818,'MTS 2026 registrations'!B:B,1,false)</f>
        <v>#N/A</v>
      </c>
      <c r="N1818" s="26" t="str">
        <f>VLOOKUP(B1818,'MTS 2026 registrations'!A:A,1,false)</f>
        <v>#N/A</v>
      </c>
      <c r="O1818" s="28"/>
    </row>
    <row r="1819" ht="12.75" customHeight="1">
      <c r="A1819" s="241"/>
      <c r="B1819" s="241" t="s">
        <v>329</v>
      </c>
      <c r="C1819" s="53"/>
      <c r="D1819" s="242"/>
      <c r="E1819" s="88"/>
      <c r="F1819" s="207"/>
      <c r="G1819" s="243"/>
      <c r="H1819" s="95"/>
      <c r="I1819" s="110"/>
      <c r="J1819" s="96"/>
      <c r="K1819" s="146"/>
      <c r="L1819" s="146"/>
      <c r="M1819" s="26" t="str">
        <f>VLOOKUP(E1819,'MTS 2026 registrations'!B:B,1,false)</f>
        <v>#N/A</v>
      </c>
      <c r="N1819" s="26" t="str">
        <f>VLOOKUP(B1819,'MTS 2026 registrations'!A:A,1,false)</f>
        <v>#N/A</v>
      </c>
      <c r="O1819" s="28"/>
    </row>
    <row r="1820" ht="12.75" customHeight="1">
      <c r="A1820" s="241"/>
      <c r="B1820" s="241" t="s">
        <v>329</v>
      </c>
      <c r="C1820" s="53"/>
      <c r="D1820" s="242"/>
      <c r="E1820" s="88"/>
      <c r="F1820" s="207"/>
      <c r="G1820" s="243"/>
      <c r="H1820" s="95"/>
      <c r="I1820" s="110"/>
      <c r="J1820" s="96"/>
      <c r="K1820" s="146"/>
      <c r="L1820" s="146"/>
      <c r="M1820" s="26" t="str">
        <f>VLOOKUP(E1820,'MTS 2026 registrations'!B:B,1,false)</f>
        <v>#N/A</v>
      </c>
      <c r="N1820" s="26" t="str">
        <f>VLOOKUP(B1820,'MTS 2026 registrations'!A:A,1,false)</f>
        <v>#N/A</v>
      </c>
      <c r="O1820" s="28"/>
    </row>
    <row r="1821" ht="12.75" customHeight="1">
      <c r="A1821" s="241"/>
      <c r="B1821" s="241" t="s">
        <v>329</v>
      </c>
      <c r="C1821" s="53"/>
      <c r="D1821" s="242"/>
      <c r="E1821" s="88"/>
      <c r="F1821" s="207"/>
      <c r="G1821" s="243"/>
      <c r="H1821" s="95"/>
      <c r="I1821" s="110"/>
      <c r="J1821" s="96"/>
      <c r="K1821" s="146"/>
      <c r="L1821" s="146"/>
      <c r="M1821" s="26" t="str">
        <f>VLOOKUP(E1821,'MTS 2026 registrations'!B:B,1,false)</f>
        <v>#N/A</v>
      </c>
      <c r="N1821" s="26" t="str">
        <f>VLOOKUP(B1821,'MTS 2026 registrations'!A:A,1,false)</f>
        <v>#N/A</v>
      </c>
      <c r="O1821" s="28"/>
    </row>
    <row r="1822" ht="12.75" customHeight="1">
      <c r="A1822" s="241"/>
      <c r="B1822" s="241" t="s">
        <v>329</v>
      </c>
      <c r="C1822" s="53"/>
      <c r="D1822" s="242"/>
      <c r="E1822" s="88"/>
      <c r="F1822" s="207"/>
      <c r="G1822" s="243"/>
      <c r="H1822" s="95"/>
      <c r="I1822" s="110"/>
      <c r="J1822" s="96"/>
      <c r="K1822" s="146"/>
      <c r="L1822" s="146"/>
      <c r="M1822" s="26" t="str">
        <f>VLOOKUP(E1822,'MTS 2026 registrations'!B:B,1,false)</f>
        <v>#N/A</v>
      </c>
      <c r="N1822" s="26" t="str">
        <f>VLOOKUP(B1822,'MTS 2026 registrations'!A:A,1,false)</f>
        <v>#N/A</v>
      </c>
      <c r="O1822" s="28"/>
    </row>
    <row r="1823" ht="12.75" customHeight="1">
      <c r="A1823" s="241"/>
      <c r="B1823" s="241" t="s">
        <v>329</v>
      </c>
      <c r="C1823" s="53"/>
      <c r="D1823" s="242"/>
      <c r="E1823" s="88"/>
      <c r="F1823" s="207"/>
      <c r="G1823" s="243"/>
      <c r="H1823" s="95"/>
      <c r="I1823" s="110"/>
      <c r="J1823" s="96"/>
      <c r="K1823" s="146"/>
      <c r="L1823" s="146"/>
      <c r="M1823" s="26" t="str">
        <f>VLOOKUP(E1823,'MTS 2026 registrations'!B:B,1,false)</f>
        <v>#N/A</v>
      </c>
      <c r="N1823" s="26" t="str">
        <f>VLOOKUP(B1823,'MTS 2026 registrations'!A:A,1,false)</f>
        <v>#N/A</v>
      </c>
      <c r="O1823" s="28"/>
    </row>
    <row r="1824" ht="12.75" customHeight="1">
      <c r="A1824" s="241"/>
      <c r="B1824" s="241" t="s">
        <v>329</v>
      </c>
      <c r="C1824" s="53"/>
      <c r="D1824" s="242"/>
      <c r="E1824" s="88"/>
      <c r="F1824" s="207"/>
      <c r="G1824" s="243"/>
      <c r="H1824" s="95"/>
      <c r="I1824" s="110"/>
      <c r="J1824" s="96"/>
      <c r="K1824" s="146"/>
      <c r="L1824" s="146"/>
      <c r="M1824" s="26" t="str">
        <f>VLOOKUP(E1824,'MTS 2026 registrations'!B:B,1,false)</f>
        <v>#N/A</v>
      </c>
      <c r="N1824" s="26" t="str">
        <f>VLOOKUP(B1824,'MTS 2026 registrations'!A:A,1,false)</f>
        <v>#N/A</v>
      </c>
      <c r="O1824" s="28"/>
    </row>
    <row r="1825" ht="12.75" customHeight="1">
      <c r="A1825" s="241"/>
      <c r="B1825" s="241" t="s">
        <v>329</v>
      </c>
      <c r="C1825" s="53"/>
      <c r="D1825" s="242"/>
      <c r="E1825" s="88"/>
      <c r="F1825" s="207"/>
      <c r="G1825" s="243"/>
      <c r="H1825" s="95"/>
      <c r="I1825" s="110"/>
      <c r="J1825" s="96"/>
      <c r="K1825" s="146"/>
      <c r="L1825" s="146"/>
      <c r="M1825" s="26" t="str">
        <f>VLOOKUP(E1825,'MTS 2026 registrations'!B:B,1,false)</f>
        <v>#N/A</v>
      </c>
      <c r="N1825" s="26" t="str">
        <f>VLOOKUP(B1825,'MTS 2026 registrations'!A:A,1,false)</f>
        <v>#N/A</v>
      </c>
      <c r="O1825" s="28"/>
    </row>
    <row r="1826" ht="12.75" customHeight="1">
      <c r="A1826" s="241"/>
      <c r="B1826" s="241" t="s">
        <v>329</v>
      </c>
      <c r="C1826" s="53"/>
      <c r="D1826" s="242"/>
      <c r="E1826" s="88"/>
      <c r="F1826" s="207"/>
      <c r="G1826" s="243"/>
      <c r="H1826" s="95"/>
      <c r="I1826" s="110"/>
      <c r="J1826" s="96"/>
      <c r="K1826" s="146"/>
      <c r="L1826" s="146"/>
      <c r="M1826" s="26" t="str">
        <f>VLOOKUP(E1826,'MTS 2026 registrations'!B:B,1,false)</f>
        <v>#N/A</v>
      </c>
      <c r="N1826" s="26" t="str">
        <f>VLOOKUP(B1826,'MTS 2026 registrations'!A:A,1,false)</f>
        <v>#N/A</v>
      </c>
      <c r="O1826" s="28"/>
    </row>
    <row r="1827" ht="12.75" customHeight="1">
      <c r="A1827" s="241"/>
      <c r="B1827" s="241" t="s">
        <v>329</v>
      </c>
      <c r="C1827" s="53"/>
      <c r="D1827" s="242"/>
      <c r="E1827" s="88"/>
      <c r="F1827" s="207"/>
      <c r="G1827" s="243"/>
      <c r="H1827" s="95"/>
      <c r="I1827" s="110"/>
      <c r="J1827" s="96"/>
      <c r="K1827" s="146"/>
      <c r="L1827" s="146"/>
      <c r="M1827" s="26" t="str">
        <f>VLOOKUP(E1827,'MTS 2026 registrations'!B:B,1,false)</f>
        <v>#N/A</v>
      </c>
      <c r="N1827" s="26" t="str">
        <f>VLOOKUP(B1827,'MTS 2026 registrations'!A:A,1,false)</f>
        <v>#N/A</v>
      </c>
      <c r="O1827" s="28"/>
    </row>
    <row r="1828" ht="12.75" customHeight="1">
      <c r="A1828" s="241"/>
      <c r="B1828" s="241" t="s">
        <v>329</v>
      </c>
      <c r="C1828" s="53"/>
      <c r="D1828" s="242"/>
      <c r="E1828" s="88"/>
      <c r="F1828" s="207"/>
      <c r="G1828" s="243"/>
      <c r="H1828" s="95"/>
      <c r="I1828" s="110"/>
      <c r="J1828" s="96"/>
      <c r="K1828" s="146"/>
      <c r="L1828" s="146"/>
      <c r="M1828" s="26" t="str">
        <f>VLOOKUP(E1828,'MTS 2026 registrations'!B:B,1,false)</f>
        <v>#N/A</v>
      </c>
      <c r="N1828" s="26" t="str">
        <f>VLOOKUP(B1828,'MTS 2026 registrations'!A:A,1,false)</f>
        <v>#N/A</v>
      </c>
      <c r="O1828" s="28"/>
    </row>
    <row r="1829" ht="12.75" customHeight="1">
      <c r="A1829" s="241"/>
      <c r="B1829" s="241" t="s">
        <v>329</v>
      </c>
      <c r="C1829" s="53"/>
      <c r="D1829" s="242"/>
      <c r="E1829" s="88"/>
      <c r="F1829" s="207"/>
      <c r="G1829" s="243"/>
      <c r="H1829" s="95"/>
      <c r="I1829" s="110"/>
      <c r="J1829" s="96"/>
      <c r="K1829" s="146"/>
      <c r="L1829" s="146"/>
      <c r="M1829" s="26" t="str">
        <f>VLOOKUP(E1829,'MTS 2026 registrations'!B:B,1,false)</f>
        <v>#N/A</v>
      </c>
      <c r="N1829" s="26" t="str">
        <f>VLOOKUP(B1829,'MTS 2026 registrations'!A:A,1,false)</f>
        <v>#N/A</v>
      </c>
      <c r="O1829" s="28"/>
    </row>
    <row r="1830" ht="12.75" customHeight="1">
      <c r="A1830" s="241"/>
      <c r="B1830" s="241" t="s">
        <v>329</v>
      </c>
      <c r="C1830" s="53"/>
      <c r="D1830" s="242"/>
      <c r="E1830" s="88"/>
      <c r="F1830" s="207"/>
      <c r="G1830" s="243"/>
      <c r="H1830" s="95"/>
      <c r="I1830" s="110"/>
      <c r="J1830" s="96"/>
      <c r="K1830" s="146"/>
      <c r="L1830" s="146"/>
      <c r="M1830" s="26" t="str">
        <f>VLOOKUP(E1830,'MTS 2026 registrations'!B:B,1,false)</f>
        <v>#N/A</v>
      </c>
      <c r="N1830" s="26" t="str">
        <f>VLOOKUP(B1830,'MTS 2026 registrations'!A:A,1,false)</f>
        <v>#N/A</v>
      </c>
      <c r="O1830" s="28"/>
    </row>
    <row r="1831" ht="12.75" customHeight="1">
      <c r="A1831" s="241"/>
      <c r="B1831" s="241" t="s">
        <v>329</v>
      </c>
      <c r="C1831" s="53"/>
      <c r="D1831" s="242"/>
      <c r="E1831" s="88"/>
      <c r="F1831" s="207"/>
      <c r="G1831" s="243"/>
      <c r="H1831" s="95"/>
      <c r="I1831" s="110"/>
      <c r="J1831" s="96"/>
      <c r="K1831" s="146"/>
      <c r="L1831" s="146"/>
      <c r="M1831" s="26" t="str">
        <f>VLOOKUP(E1831,'MTS 2026 registrations'!B:B,1,false)</f>
        <v>#N/A</v>
      </c>
      <c r="N1831" s="26" t="str">
        <f>VLOOKUP(B1831,'MTS 2026 registrations'!A:A,1,false)</f>
        <v>#N/A</v>
      </c>
      <c r="O1831" s="28"/>
    </row>
    <row r="1832" ht="12.75" customHeight="1">
      <c r="A1832" s="241"/>
      <c r="B1832" s="241" t="s">
        <v>329</v>
      </c>
      <c r="C1832" s="53"/>
      <c r="D1832" s="242"/>
      <c r="E1832" s="88"/>
      <c r="F1832" s="207"/>
      <c r="G1832" s="243"/>
      <c r="H1832" s="95"/>
      <c r="I1832" s="110"/>
      <c r="J1832" s="96"/>
      <c r="K1832" s="146"/>
      <c r="L1832" s="146"/>
      <c r="M1832" s="26" t="str">
        <f>VLOOKUP(E1832,'MTS 2026 registrations'!B:B,1,false)</f>
        <v>#N/A</v>
      </c>
      <c r="N1832" s="26" t="str">
        <f>VLOOKUP(B1832,'MTS 2026 registrations'!A:A,1,false)</f>
        <v>#N/A</v>
      </c>
      <c r="O1832" s="28"/>
    </row>
    <row r="1833" ht="12.75" customHeight="1">
      <c r="A1833" s="241"/>
      <c r="B1833" s="241" t="s">
        <v>329</v>
      </c>
      <c r="C1833" s="53"/>
      <c r="D1833" s="242"/>
      <c r="E1833" s="88"/>
      <c r="F1833" s="207"/>
      <c r="G1833" s="243"/>
      <c r="H1833" s="95"/>
      <c r="I1833" s="110"/>
      <c r="J1833" s="96"/>
      <c r="K1833" s="146"/>
      <c r="L1833" s="146"/>
      <c r="M1833" s="26" t="str">
        <f>VLOOKUP(E1833,'MTS 2026 registrations'!B:B,1,false)</f>
        <v>#N/A</v>
      </c>
      <c r="N1833" s="26" t="str">
        <f>VLOOKUP(B1833,'MTS 2026 registrations'!A:A,1,false)</f>
        <v>#N/A</v>
      </c>
      <c r="O1833" s="28"/>
    </row>
    <row r="1834" ht="12.75" customHeight="1">
      <c r="A1834" s="241"/>
      <c r="B1834" s="241" t="s">
        <v>329</v>
      </c>
      <c r="C1834" s="53"/>
      <c r="D1834" s="242"/>
      <c r="E1834" s="88"/>
      <c r="F1834" s="207"/>
      <c r="G1834" s="243"/>
      <c r="H1834" s="95"/>
      <c r="I1834" s="110"/>
      <c r="J1834" s="96"/>
      <c r="K1834" s="146"/>
      <c r="L1834" s="146"/>
      <c r="M1834" s="26" t="str">
        <f>VLOOKUP(E1834,'MTS 2026 registrations'!B:B,1,false)</f>
        <v>#N/A</v>
      </c>
      <c r="N1834" s="26" t="str">
        <f>VLOOKUP(B1834,'MTS 2026 registrations'!A:A,1,false)</f>
        <v>#N/A</v>
      </c>
      <c r="O1834" s="28"/>
    </row>
    <row r="1835" ht="12.75" customHeight="1">
      <c r="A1835" s="241"/>
      <c r="B1835" s="241" t="s">
        <v>329</v>
      </c>
      <c r="C1835" s="53"/>
      <c r="D1835" s="242"/>
      <c r="E1835" s="88"/>
      <c r="F1835" s="207"/>
      <c r="G1835" s="243"/>
      <c r="H1835" s="95"/>
      <c r="I1835" s="110"/>
      <c r="J1835" s="96"/>
      <c r="K1835" s="146"/>
      <c r="L1835" s="146"/>
      <c r="M1835" s="26" t="str">
        <f>VLOOKUP(E1835,'MTS 2026 registrations'!B:B,1,false)</f>
        <v>#N/A</v>
      </c>
      <c r="N1835" s="26" t="str">
        <f>VLOOKUP(B1835,'MTS 2026 registrations'!A:A,1,false)</f>
        <v>#N/A</v>
      </c>
      <c r="O1835" s="28"/>
    </row>
    <row r="1836" ht="12.75" customHeight="1">
      <c r="A1836" s="241"/>
      <c r="B1836" s="241" t="s">
        <v>329</v>
      </c>
      <c r="C1836" s="53"/>
      <c r="D1836" s="242"/>
      <c r="E1836" s="88"/>
      <c r="F1836" s="207"/>
      <c r="G1836" s="243"/>
      <c r="H1836" s="95"/>
      <c r="I1836" s="110"/>
      <c r="J1836" s="96"/>
      <c r="K1836" s="146"/>
      <c r="L1836" s="146"/>
      <c r="M1836" s="26" t="str">
        <f>VLOOKUP(E1836,'MTS 2026 registrations'!B:B,1,false)</f>
        <v>#N/A</v>
      </c>
      <c r="N1836" s="26" t="str">
        <f>VLOOKUP(B1836,'MTS 2026 registrations'!A:A,1,false)</f>
        <v>#N/A</v>
      </c>
      <c r="O1836" s="28"/>
    </row>
    <row r="1837" ht="12.75" customHeight="1">
      <c r="A1837" s="241"/>
      <c r="B1837" s="241" t="s">
        <v>329</v>
      </c>
      <c r="C1837" s="53"/>
      <c r="D1837" s="242"/>
      <c r="E1837" s="88"/>
      <c r="F1837" s="207"/>
      <c r="G1837" s="243"/>
      <c r="H1837" s="95"/>
      <c r="I1837" s="110"/>
      <c r="J1837" s="96"/>
      <c r="K1837" s="146"/>
      <c r="L1837" s="146"/>
      <c r="M1837" s="26" t="str">
        <f>VLOOKUP(E1837,'MTS 2026 registrations'!B:B,1,false)</f>
        <v>#N/A</v>
      </c>
      <c r="N1837" s="26" t="str">
        <f>VLOOKUP(B1837,'MTS 2026 registrations'!A:A,1,false)</f>
        <v>#N/A</v>
      </c>
      <c r="O1837" s="28"/>
    </row>
    <row r="1838" ht="12.75" customHeight="1">
      <c r="A1838" s="241"/>
      <c r="B1838" s="241" t="s">
        <v>329</v>
      </c>
      <c r="C1838" s="53"/>
      <c r="D1838" s="242"/>
      <c r="E1838" s="88"/>
      <c r="F1838" s="207"/>
      <c r="G1838" s="243"/>
      <c r="H1838" s="95"/>
      <c r="I1838" s="110"/>
      <c r="J1838" s="96"/>
      <c r="K1838" s="146"/>
      <c r="L1838" s="146"/>
      <c r="M1838" s="26" t="str">
        <f>VLOOKUP(E1838,'MTS 2026 registrations'!B:B,1,false)</f>
        <v>#N/A</v>
      </c>
      <c r="N1838" s="26" t="str">
        <f>VLOOKUP(B1838,'MTS 2026 registrations'!A:A,1,false)</f>
        <v>#N/A</v>
      </c>
      <c r="O1838" s="28"/>
    </row>
    <row r="1839" ht="12.75" customHeight="1">
      <c r="A1839" s="241"/>
      <c r="B1839" s="241" t="s">
        <v>329</v>
      </c>
      <c r="C1839" s="53"/>
      <c r="D1839" s="242"/>
      <c r="E1839" s="88"/>
      <c r="F1839" s="207"/>
      <c r="G1839" s="243"/>
      <c r="H1839" s="95"/>
      <c r="I1839" s="110"/>
      <c r="J1839" s="96"/>
      <c r="K1839" s="146"/>
      <c r="L1839" s="146"/>
      <c r="M1839" s="26" t="str">
        <f>VLOOKUP(E1839,'MTS 2026 registrations'!B:B,1,false)</f>
        <v>#N/A</v>
      </c>
      <c r="N1839" s="26" t="str">
        <f>VLOOKUP(B1839,'MTS 2026 registrations'!A:A,1,false)</f>
        <v>#N/A</v>
      </c>
      <c r="O1839" s="28"/>
    </row>
    <row r="1840" ht="12.75" customHeight="1">
      <c r="A1840" s="241"/>
      <c r="B1840" s="241" t="s">
        <v>329</v>
      </c>
      <c r="C1840" s="53"/>
      <c r="D1840" s="242"/>
      <c r="E1840" s="88"/>
      <c r="F1840" s="207"/>
      <c r="G1840" s="243"/>
      <c r="H1840" s="95"/>
      <c r="I1840" s="110"/>
      <c r="J1840" s="96"/>
      <c r="K1840" s="146"/>
      <c r="L1840" s="146"/>
      <c r="M1840" s="26" t="str">
        <f>VLOOKUP(E1840,'MTS 2026 registrations'!B:B,1,false)</f>
        <v>#N/A</v>
      </c>
      <c r="N1840" s="26" t="str">
        <f>VLOOKUP(B1840,'MTS 2026 registrations'!A:A,1,false)</f>
        <v>#N/A</v>
      </c>
      <c r="O1840" s="28"/>
    </row>
    <row r="1841" ht="12.75" customHeight="1">
      <c r="A1841" s="241"/>
      <c r="B1841" s="241" t="s">
        <v>329</v>
      </c>
      <c r="C1841" s="53"/>
      <c r="D1841" s="242"/>
      <c r="E1841" s="88"/>
      <c r="F1841" s="207"/>
      <c r="G1841" s="243"/>
      <c r="H1841" s="95"/>
      <c r="I1841" s="110"/>
      <c r="J1841" s="96"/>
      <c r="K1841" s="146"/>
      <c r="L1841" s="146"/>
      <c r="M1841" s="26" t="str">
        <f>VLOOKUP(E1841,'MTS 2026 registrations'!B:B,1,false)</f>
        <v>#N/A</v>
      </c>
      <c r="N1841" s="26" t="str">
        <f>VLOOKUP(B1841,'MTS 2026 registrations'!A:A,1,false)</f>
        <v>#N/A</v>
      </c>
      <c r="O1841" s="28"/>
    </row>
    <row r="1842" ht="12.75" customHeight="1">
      <c r="A1842" s="241"/>
      <c r="B1842" s="241" t="s">
        <v>329</v>
      </c>
      <c r="C1842" s="53"/>
      <c r="D1842" s="242"/>
      <c r="E1842" s="88"/>
      <c r="F1842" s="207"/>
      <c r="G1842" s="243"/>
      <c r="H1842" s="95"/>
      <c r="I1842" s="110"/>
      <c r="J1842" s="96"/>
      <c r="K1842" s="146"/>
      <c r="L1842" s="146"/>
      <c r="M1842" s="26" t="str">
        <f>VLOOKUP(E1842,'MTS 2026 registrations'!B:B,1,false)</f>
        <v>#N/A</v>
      </c>
      <c r="N1842" s="26" t="str">
        <f>VLOOKUP(B1842,'MTS 2026 registrations'!A:A,1,false)</f>
        <v>#N/A</v>
      </c>
      <c r="O1842" s="28"/>
    </row>
    <row r="1843" ht="12.75" customHeight="1">
      <c r="A1843" s="241"/>
      <c r="B1843" s="241" t="s">
        <v>329</v>
      </c>
      <c r="C1843" s="53"/>
      <c r="D1843" s="242"/>
      <c r="E1843" s="88"/>
      <c r="F1843" s="207"/>
      <c r="G1843" s="243"/>
      <c r="H1843" s="95"/>
      <c r="I1843" s="110"/>
      <c r="J1843" s="96"/>
      <c r="K1843" s="146"/>
      <c r="L1843" s="146"/>
      <c r="M1843" s="26" t="str">
        <f>VLOOKUP(E1843,'MTS 2026 registrations'!B:B,1,false)</f>
        <v>#N/A</v>
      </c>
      <c r="N1843" s="26" t="str">
        <f>VLOOKUP(B1843,'MTS 2026 registrations'!A:A,1,false)</f>
        <v>#N/A</v>
      </c>
      <c r="O1843" s="28"/>
    </row>
    <row r="1844" ht="12.75" customHeight="1">
      <c r="A1844" s="241"/>
      <c r="B1844" s="241" t="s">
        <v>329</v>
      </c>
      <c r="C1844" s="53"/>
      <c r="D1844" s="242"/>
      <c r="E1844" s="88"/>
      <c r="F1844" s="207"/>
      <c r="G1844" s="243"/>
      <c r="H1844" s="95"/>
      <c r="I1844" s="110"/>
      <c r="J1844" s="96"/>
      <c r="K1844" s="146"/>
      <c r="L1844" s="146"/>
      <c r="M1844" s="26" t="str">
        <f>VLOOKUP(E1844,'MTS 2026 registrations'!B:B,1,false)</f>
        <v>#N/A</v>
      </c>
      <c r="N1844" s="26" t="str">
        <f>VLOOKUP(B1844,'MTS 2026 registrations'!A:A,1,false)</f>
        <v>#N/A</v>
      </c>
      <c r="O1844" s="28"/>
    </row>
    <row r="1845" ht="12.75" customHeight="1">
      <c r="A1845" s="241"/>
      <c r="B1845" s="241" t="s">
        <v>329</v>
      </c>
      <c r="C1845" s="53"/>
      <c r="D1845" s="242"/>
      <c r="E1845" s="88"/>
      <c r="F1845" s="207"/>
      <c r="G1845" s="243"/>
      <c r="H1845" s="95"/>
      <c r="I1845" s="110"/>
      <c r="J1845" s="96"/>
      <c r="K1845" s="146"/>
      <c r="L1845" s="146"/>
      <c r="M1845" s="26" t="str">
        <f>VLOOKUP(E1845,'MTS 2026 registrations'!B:B,1,false)</f>
        <v>#N/A</v>
      </c>
      <c r="N1845" s="26" t="str">
        <f>VLOOKUP(B1845,'MTS 2026 registrations'!A:A,1,false)</f>
        <v>#N/A</v>
      </c>
      <c r="O1845" s="28"/>
    </row>
  </sheetData>
  <autoFilter ref="$A$1:$AE$1845">
    <sortState ref="A1:AE1845">
      <sortCondition ref="C1:C1845"/>
      <sortCondition ref="L1:L1845"/>
      <sortCondition ref="F1:F1845"/>
      <sortCondition ref="B1:B1845"/>
      <sortCondition ref="D1:D1845"/>
      <sortCondition ref="H1:H1845"/>
      <sortCondition ref="G1:G1845"/>
      <sortCondition ref="K1:K1845"/>
      <sortCondition ref="E1:E1845"/>
    </sortState>
  </autoFilter>
  <customSheetViews>
    <customSheetView guid="{F677E6A6-4574-4ECC-B302-DD2F058C8176}" filter="1" showAutoFilter="1">
      <autoFilter ref="$A$1:$M$1845">
        <filterColumn colId="6">
          <filters>
            <filter val="Startup/Founder"/>
            <filter val="pers"/>
            <filter val="Ex-Partner"/>
            <filter val="Mentor"/>
            <filter val="ye"/>
            <filter val="Founder/startup"/>
            <filter val="startup"/>
            <filter val="Startup founder"/>
            <filter val="Startup/founder"/>
            <filter val="Angel"/>
            <filter val="investor"/>
            <filter val="education/research"/>
            <filter val="Pers"/>
            <filter val="partner"/>
            <filter val="mentor/expert"/>
          </filters>
        </filterColumn>
      </autoFilter>
    </customSheetView>
    <customSheetView guid="{F0EAA1DD-DD84-4E1E-82B5-302307E63DF9}" filter="1" showAutoFilter="1">
      <autoFilter ref="$A$1:$AE$1845">
        <filterColumn colId="7">
          <filters>
            <filter val="Radena Tsoneva (YES!Delft)"/>
          </filters>
        </filterColumn>
        <filterColumn colId="10">
          <filters blank="1">
            <filter val="Free personal"/>
          </filters>
        </filterColumn>
        <sortState ref="A1:AE1845">
          <sortCondition ref="K1:K1845"/>
          <sortCondition ref="H1:H1845"/>
          <sortCondition ref="G1:G1845"/>
          <sortCondition ref="F1:F1845"/>
          <sortCondition ref="C1:C1845"/>
        </sortState>
      </autoFilter>
    </customSheetView>
    <customSheetView guid="{7F6A76DB-79AC-45A9-8DEF-0CFB66936CA5}" filter="1" showAutoFilter="1">
      <autoFilter ref="$A$1:$M$1845">
        <filterColumn colId="7">
          <filters blank="1">
            <filter val="Moshe Sijben (YES!Delft)"/>
          </filters>
        </filterColumn>
      </autoFilter>
    </customSheetView>
    <customSheetView guid="{94972F89-9C6F-4B2C-9869-FD71C5BBB7B3}" filter="1" showAutoFilter="1">
      <autoFilter ref="$A$1:$AE$1845">
        <filterColumn colId="7">
          <filters blank="1"/>
        </filterColumn>
        <sortState ref="A1:AE1845">
          <sortCondition ref="H1:H1845"/>
          <sortCondition ref="K1:K1845"/>
          <sortCondition ref="G1:G1845"/>
          <sortCondition ref="C1:C1845"/>
          <sortCondition ref="E1:E1845"/>
          <sortCondition ref="F1:F1845"/>
        </sortState>
      </autoFilter>
    </customSheetView>
    <customSheetView guid="{854B9BB4-CF44-4CA5-A47D-50143EFBFCB1}" filter="1" showAutoFilter="1">
      <autoFilter ref="$A$1:$L$1568">
        <filterColumn colId="7">
          <filters>
            <filter val="Freek Smoes (YES!Delft)"/>
          </filters>
        </filterColumn>
      </autoFilter>
    </customSheetView>
  </customSheetViews>
  <mergeCells count="1">
    <mergeCell ref="C1185:D1185"/>
  </mergeCells>
  <conditionalFormatting sqref="B2:B1845">
    <cfRule type="expression" dxfId="2" priority="1" stopIfTrue="1">
      <formula>COUNTIF($B:$B, B2)&gt;1</formula>
    </cfRule>
  </conditionalFormatting>
  <conditionalFormatting sqref="E2:E205 E208 E211 E215 E218:E219 E222:E1533">
    <cfRule type="expression" dxfId="0" priority="2" stopIfTrue="1">
      <formula>$L2="Bounce"</formula>
    </cfRule>
  </conditionalFormatting>
  <conditionalFormatting sqref="A1390">
    <cfRule type="expression" dxfId="3" priority="3">
      <formula>COUNTIF(B:B,B:B)&gt;1</formula>
    </cfRule>
  </conditionalFormatting>
  <conditionalFormatting sqref="E534:E544">
    <cfRule type="expression" dxfId="3" priority="4">
      <formula>COUNTIF(B:B,B:B)&gt;1</formula>
    </cfRule>
  </conditionalFormatting>
  <conditionalFormatting sqref="A1:B1845 C1:D205 E1:E115 F1:I205 J1:N1845 O1 P1:AE205 E117:E205 C208:I208 P208:AE208 C211:I211 P211:AE211 C215:I215 P215:AE215 C218:I219 P218:AE219 C222:D1005 E222:E413 F222:F899 G222:H1083 I222:I1142 P222:AE1565 E415:E439 E441:E835 E870:E899 E917:E999 F917:F1005 E1001:E1004 G1086 G1089 G1091:G1094 F1099:G1099 H1102 G1108 G1121:H1121 G1126:H1126 G1132 H1140:H1141 G1142 I1144:I1565 H1152 G1159 H1184 G1187 G1189 G1197 G1203 G1225 G1233 G1236 G1238 G1244 C1249:E1435 G1249:G1565 H1249:H1845 F1258:F1512 C1437:D1565 E1437:E1512 E1515:F1565 C1567:G1845 I1567:I1845 P1567:AE1845 O1670:O1845">
    <cfRule type="expression" dxfId="1" priority="5">
      <formula>isformula(A1:AC1435)</formula>
    </cfRule>
  </conditionalFormatting>
  <conditionalFormatting sqref="A1:H1845 K6 I77 I1143">
    <cfRule type="containsBlanks" dxfId="4" priority="6">
      <formula>LEN(TRIM(A1))=0</formula>
    </cfRule>
  </conditionalFormatting>
  <conditionalFormatting sqref="A1:A1845">
    <cfRule type="expression" dxfId="3" priority="7">
      <formula>COUNTIF(A:A,A:A)&gt;1</formula>
    </cfRule>
  </conditionalFormatting>
  <conditionalFormatting sqref="E1:E115 F1 E117:E205 E208 E211 E215 E218:E219 E222:E413 E415:E439 E441:E999 E1001:E1168 E1171:E1193 E1195:E1512 E1515:E1533 E1556:E1565 E1567:E1600">
    <cfRule type="expression" dxfId="3" priority="8">
      <formula>COUNTIF(E:E,E:E)&gt;1</formula>
    </cfRule>
  </conditionalFormatting>
  <conditionalFormatting sqref="E2:E205 E208 E211 E215 E218:E219 E222:E1533 E1556:E1565 E1567:E1600">
    <cfRule type="expression" dxfId="0" priority="9">
      <formula>$L2="Bounce"</formula>
    </cfRule>
  </conditionalFormatting>
  <conditionalFormatting sqref="K1:K1845 L183 L185:L189 L205 L208 L211 L215:L225 L257 L1592">
    <cfRule type="containsBlanks" dxfId="2" priority="10">
      <formula>LEN(TRIM(K1))=0</formula>
    </cfRule>
  </conditionalFormatting>
  <conditionalFormatting sqref="B1:B1845">
    <cfRule type="notContainsBlanks" dxfId="5" priority="11">
      <formula>LEN(TRIM(B1))&gt;0</formula>
    </cfRule>
  </conditionalFormatting>
  <conditionalFormatting sqref="B1:B1845">
    <cfRule type="expression" dxfId="2" priority="12">
      <formula>COUNTIF(B:B,B:B)&gt;1</formula>
    </cfRule>
  </conditionalFormatting>
  <conditionalFormatting sqref="J2:J1668">
    <cfRule type="notContainsBlanks" dxfId="5" priority="13">
      <formula>LEN(TRIM(J2))&gt;0</formula>
    </cfRule>
  </conditionalFormatting>
  <hyperlinks>
    <hyperlink r:id="rId4" ref="E22"/>
    <hyperlink r:id="rId5" ref="E37"/>
    <hyperlink r:id="rId6" ref="E43"/>
    <hyperlink r:id="rId7" ref="E85"/>
    <hyperlink r:id="rId8" ref="E95"/>
    <hyperlink r:id="rId9" ref="E98"/>
    <hyperlink r:id="rId10" ref="E102"/>
    <hyperlink r:id="rId11" ref="F155"/>
    <hyperlink r:id="rId12" ref="E156"/>
    <hyperlink r:id="rId13" ref="C187"/>
    <hyperlink r:id="rId14" ref="D187"/>
    <hyperlink r:id="rId15" ref="E187"/>
    <hyperlink r:id="rId16" ref="E190"/>
    <hyperlink r:id="rId17" ref="E224"/>
    <hyperlink r:id="rId18" ref="E230"/>
    <hyperlink r:id="rId19" ref="E264"/>
    <hyperlink r:id="rId20" ref="E281"/>
    <hyperlink r:id="rId21" ref="E287"/>
    <hyperlink r:id="rId22" ref="E292"/>
    <hyperlink r:id="rId23" ref="E315"/>
    <hyperlink r:id="rId24" ref="E317"/>
    <hyperlink r:id="rId25" ref="E322"/>
    <hyperlink r:id="rId26" ref="E331"/>
    <hyperlink r:id="rId27" ref="E332"/>
    <hyperlink r:id="rId28" ref="E336"/>
    <hyperlink r:id="rId29" ref="E348"/>
    <hyperlink r:id="rId30" ref="E350"/>
    <hyperlink r:id="rId31" ref="E357"/>
    <hyperlink r:id="rId32" ref="E362"/>
    <hyperlink r:id="rId33" ref="E370"/>
    <hyperlink r:id="rId34" ref="E382"/>
    <hyperlink r:id="rId35" ref="E421"/>
    <hyperlink r:id="rId36" ref="E439"/>
    <hyperlink r:id="rId37" ref="E451"/>
    <hyperlink r:id="rId38" ref="E472"/>
    <hyperlink r:id="rId39" ref="E480"/>
    <hyperlink r:id="rId40" ref="E490"/>
    <hyperlink r:id="rId41" ref="E494"/>
    <hyperlink r:id="rId42" ref="E495"/>
    <hyperlink r:id="rId43" ref="E505"/>
    <hyperlink r:id="rId44" ref="E607"/>
    <hyperlink r:id="rId45" ref="E636"/>
    <hyperlink r:id="rId46" ref="E639"/>
    <hyperlink r:id="rId47" ref="E681"/>
    <hyperlink r:id="rId48" ref="E703"/>
    <hyperlink r:id="rId49" ref="E713"/>
    <hyperlink r:id="rId50" ref="E736"/>
    <hyperlink r:id="rId51" ref="E747"/>
    <hyperlink r:id="rId52" ref="E754"/>
    <hyperlink r:id="rId53" ref="E817"/>
    <hyperlink r:id="rId54" ref="E830"/>
    <hyperlink r:id="rId55" ref="E858"/>
    <hyperlink r:id="rId56" ref="E874"/>
    <hyperlink r:id="rId57" ref="E927"/>
    <hyperlink r:id="rId58" ref="E943"/>
    <hyperlink r:id="rId59" ref="E956"/>
    <hyperlink r:id="rId60" ref="E1026"/>
    <hyperlink r:id="rId61" ref="E1050"/>
    <hyperlink r:id="rId62" ref="E1091"/>
    <hyperlink r:id="rId63" ref="E1095"/>
    <hyperlink r:id="rId64" ref="E1112"/>
    <hyperlink r:id="rId65" ref="E1124"/>
    <hyperlink r:id="rId66" ref="E1126"/>
    <hyperlink r:id="rId67" ref="E1132"/>
    <hyperlink r:id="rId68" ref="E1135"/>
    <hyperlink r:id="rId69" ref="E1161"/>
    <hyperlink r:id="rId70" ref="E1188"/>
    <hyperlink r:id="rId71" ref="E1191"/>
    <hyperlink r:id="rId72" ref="E1211"/>
    <hyperlink r:id="rId73" ref="E1212"/>
    <hyperlink r:id="rId74" ref="F1212"/>
    <hyperlink r:id="rId75" ref="E1224"/>
    <hyperlink r:id="rId76" ref="E1231"/>
    <hyperlink r:id="rId77" ref="E1242"/>
    <hyperlink r:id="rId78" ref="E1316"/>
    <hyperlink r:id="rId79" ref="E1321"/>
    <hyperlink r:id="rId80" ref="E1347"/>
    <hyperlink r:id="rId81" ref="E1391"/>
    <hyperlink r:id="rId82" ref="E1403"/>
    <hyperlink r:id="rId83" ref="E1426"/>
    <hyperlink r:id="rId84" ref="E1433"/>
    <hyperlink r:id="rId85" ref="E1449"/>
    <hyperlink r:id="rId86" ref="E1484"/>
    <hyperlink r:id="rId87" ref="E1509"/>
    <hyperlink r:id="rId88" ref="E1519"/>
    <hyperlink r:id="rId89" ref="E1532"/>
    <hyperlink r:id="rId90" ref="E1544"/>
    <hyperlink r:id="rId91" ref="E1586"/>
    <hyperlink r:id="rId92" ref="E1602"/>
    <hyperlink r:id="rId93" ref="E1643"/>
    <hyperlink r:id="rId94" ref="E1650"/>
    <hyperlink r:id="rId95" ref="E1657"/>
    <hyperlink r:id="rId96" ref="E1660"/>
    <hyperlink r:id="rId97" ref="E1667"/>
  </hyperlinks>
  <printOptions/>
  <pageMargins bottom="0.75" footer="0.0" header="0.0" left="0.7" right="0.7" top="0.75"/>
  <pageSetup orientation="landscape"/>
  <drawing r:id="rId98"/>
  <legacy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7.63"/>
    <col customWidth="1" min="5" max="5" width="18.88"/>
  </cols>
  <sheetData>
    <row r="1" ht="12.75" customHeight="1">
      <c r="A1" s="2" t="s">
        <v>1</v>
      </c>
      <c r="B1" s="4" t="s">
        <v>3</v>
      </c>
      <c r="C1" s="6" t="s">
        <v>4</v>
      </c>
      <c r="D1" s="6" t="s">
        <v>5</v>
      </c>
      <c r="E1" s="8" t="s">
        <v>6</v>
      </c>
      <c r="F1" s="4" t="s">
        <v>7</v>
      </c>
      <c r="G1" s="10" t="s">
        <v>8</v>
      </c>
      <c r="H1" s="4" t="s">
        <v>9</v>
      </c>
      <c r="I1" s="11"/>
      <c r="J1" s="4" t="s">
        <v>10</v>
      </c>
      <c r="K1" s="12" t="s">
        <v>11</v>
      </c>
      <c r="L1" s="13" t="s">
        <v>12</v>
      </c>
      <c r="M1" s="15" t="s">
        <v>13</v>
      </c>
      <c r="N1" s="4" t="s">
        <v>15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7"/>
      <c r="AD1" s="17"/>
      <c r="AE1" s="17"/>
    </row>
    <row r="2" ht="12.75" customHeight="1">
      <c r="A2" s="19" t="str">
        <f t="shared" ref="A2:A25" si="1">B2&amp;" "&amp;F2</f>
        <v>Dieuwke Hoogland Female Ventures</v>
      </c>
      <c r="B2" s="19" t="str">
        <f t="shared" ref="B2:B23" si="2">C2&amp;" "&amp;D2</f>
        <v>Dieuwke Hoogland</v>
      </c>
      <c r="C2" s="20" t="s">
        <v>18</v>
      </c>
      <c r="D2" s="20" t="s">
        <v>21</v>
      </c>
      <c r="E2" s="21" t="s">
        <v>24</v>
      </c>
      <c r="F2" s="23" t="s">
        <v>27</v>
      </c>
      <c r="G2" s="24" t="s">
        <v>29</v>
      </c>
      <c r="H2" s="25" t="s">
        <v>31</v>
      </c>
      <c r="I2" s="26"/>
      <c r="J2" s="26"/>
      <c r="K2" s="27" t="s">
        <v>32</v>
      </c>
      <c r="L2" s="13" t="s">
        <v>33</v>
      </c>
      <c r="M2" s="13" t="s">
        <v>34</v>
      </c>
      <c r="N2" s="23"/>
      <c r="O2" s="23" t="str">
        <f t="shared" ref="O2:O17" si="3">vlookup(E2,Sheet16!B:C,1,false)</f>
        <v>#REF!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8"/>
      <c r="AE2" s="28"/>
    </row>
    <row r="3" ht="12.75" customHeight="1">
      <c r="A3" s="19" t="str">
        <f t="shared" si="1"/>
        <v>Vera Hunter eur</v>
      </c>
      <c r="B3" s="19" t="str">
        <f t="shared" si="2"/>
        <v>Vera Hunter</v>
      </c>
      <c r="C3" s="29" t="s">
        <v>35</v>
      </c>
      <c r="D3" s="29" t="s">
        <v>37</v>
      </c>
      <c r="E3" s="30" t="s">
        <v>38</v>
      </c>
      <c r="F3" s="29" t="s">
        <v>41</v>
      </c>
      <c r="G3" s="32" t="s">
        <v>43</v>
      </c>
      <c r="H3" s="13" t="s">
        <v>45</v>
      </c>
      <c r="I3" s="34"/>
      <c r="J3" s="34" t="b">
        <v>0</v>
      </c>
      <c r="K3" s="27" t="s">
        <v>48</v>
      </c>
      <c r="L3" s="13" t="s">
        <v>33</v>
      </c>
      <c r="M3" s="13" t="s">
        <v>10</v>
      </c>
      <c r="N3" s="34"/>
      <c r="O3" s="23" t="str">
        <f t="shared" si="3"/>
        <v>#REF!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28"/>
      <c r="AE3" s="28"/>
    </row>
    <row r="4" ht="12.75" customHeight="1">
      <c r="A4" s="19" t="str">
        <f t="shared" si="1"/>
        <v>Adrie Huesman shell</v>
      </c>
      <c r="B4" s="19" t="str">
        <f t="shared" si="2"/>
        <v>Adrie Huesman</v>
      </c>
      <c r="C4" s="37" t="s">
        <v>52</v>
      </c>
      <c r="D4" s="37" t="s">
        <v>53</v>
      </c>
      <c r="E4" s="21" t="s">
        <v>54</v>
      </c>
      <c r="F4" s="23" t="s">
        <v>55</v>
      </c>
      <c r="G4" s="24" t="s">
        <v>56</v>
      </c>
      <c r="H4" s="13" t="s">
        <v>57</v>
      </c>
      <c r="I4" s="26"/>
      <c r="J4" s="26"/>
      <c r="K4" s="27" t="s">
        <v>32</v>
      </c>
      <c r="L4" s="27" t="s">
        <v>32</v>
      </c>
      <c r="M4" s="13" t="s">
        <v>34</v>
      </c>
      <c r="N4" s="23"/>
      <c r="O4" s="23" t="str">
        <f t="shared" si="3"/>
        <v>#REF!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8"/>
      <c r="AE4" s="28"/>
    </row>
    <row r="5" ht="12.75" customHeight="1">
      <c r="A5" s="19" t="str">
        <f t="shared" si="1"/>
        <v>Alkis Romeos shell</v>
      </c>
      <c r="B5" s="19" t="str">
        <f t="shared" si="2"/>
        <v>Alkis Romeos</v>
      </c>
      <c r="C5" s="37" t="s">
        <v>59</v>
      </c>
      <c r="D5" s="37" t="s">
        <v>60</v>
      </c>
      <c r="E5" s="21" t="s">
        <v>61</v>
      </c>
      <c r="F5" s="23" t="s">
        <v>55</v>
      </c>
      <c r="G5" s="24" t="s">
        <v>56</v>
      </c>
      <c r="H5" s="13" t="s">
        <v>57</v>
      </c>
      <c r="I5" s="26"/>
      <c r="J5" s="26"/>
      <c r="K5" s="27" t="s">
        <v>32</v>
      </c>
      <c r="L5" s="27" t="s">
        <v>32</v>
      </c>
      <c r="M5" s="13" t="s">
        <v>34</v>
      </c>
      <c r="N5" s="23"/>
      <c r="O5" s="23" t="str">
        <f t="shared" si="3"/>
        <v>#REF!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8"/>
      <c r="AE5" s="28"/>
    </row>
    <row r="6" ht="12.75" customHeight="1">
      <c r="A6" s="19" t="str">
        <f t="shared" si="1"/>
        <v>Carola Berkouwer Rabobank</v>
      </c>
      <c r="B6" s="19" t="str">
        <f t="shared" si="2"/>
        <v>Carola Berkouwer</v>
      </c>
      <c r="C6" s="39" t="s">
        <v>62</v>
      </c>
      <c r="D6" s="40" t="s">
        <v>63</v>
      </c>
      <c r="E6" s="30" t="s">
        <v>65</v>
      </c>
      <c r="F6" s="41" t="s">
        <v>66</v>
      </c>
      <c r="G6" s="42" t="s">
        <v>69</v>
      </c>
      <c r="H6" s="13" t="s">
        <v>57</v>
      </c>
      <c r="I6" s="26"/>
      <c r="J6" s="26"/>
      <c r="K6" s="27" t="s">
        <v>32</v>
      </c>
      <c r="L6" s="27" t="s">
        <v>32</v>
      </c>
      <c r="M6" s="13" t="s">
        <v>71</v>
      </c>
      <c r="N6" s="23"/>
      <c r="O6" s="23" t="str">
        <f t="shared" si="3"/>
        <v>#REF!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8"/>
      <c r="AE6" s="28"/>
    </row>
    <row r="7" ht="12.75" customHeight="1">
      <c r="A7" s="19" t="str">
        <f t="shared" si="1"/>
        <v>Claire Rutteman Shell</v>
      </c>
      <c r="B7" s="19" t="str">
        <f t="shared" si="2"/>
        <v>Claire Rutteman</v>
      </c>
      <c r="C7" s="46" t="s">
        <v>76</v>
      </c>
      <c r="D7" s="47" t="s">
        <v>77</v>
      </c>
      <c r="E7" s="48" t="s">
        <v>78</v>
      </c>
      <c r="F7" s="49" t="s">
        <v>85</v>
      </c>
      <c r="G7" s="24" t="s">
        <v>56</v>
      </c>
      <c r="H7" s="13" t="s">
        <v>57</v>
      </c>
      <c r="I7" s="34"/>
      <c r="J7" s="26"/>
      <c r="K7" s="27" t="s">
        <v>32</v>
      </c>
      <c r="L7" s="27" t="s">
        <v>32</v>
      </c>
      <c r="M7" s="13" t="s">
        <v>10</v>
      </c>
      <c r="N7" s="23"/>
      <c r="O7" s="23" t="str">
        <f t="shared" si="3"/>
        <v>#REF!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8"/>
      <c r="AE7" s="28"/>
    </row>
    <row r="8" ht="12.75" customHeight="1">
      <c r="A8" s="50" t="str">
        <f t="shared" si="1"/>
        <v>Geert van de Wouw shell</v>
      </c>
      <c r="B8" s="50" t="str">
        <f t="shared" si="2"/>
        <v>Geert van de Wouw</v>
      </c>
      <c r="C8" s="37" t="s">
        <v>86</v>
      </c>
      <c r="D8" s="37" t="s">
        <v>87</v>
      </c>
      <c r="E8" s="21" t="s">
        <v>88</v>
      </c>
      <c r="F8" s="23" t="s">
        <v>55</v>
      </c>
      <c r="G8" s="51" t="s">
        <v>56</v>
      </c>
      <c r="H8" s="13" t="s">
        <v>57</v>
      </c>
      <c r="I8" s="26"/>
      <c r="J8" s="26"/>
      <c r="K8" s="27" t="s">
        <v>32</v>
      </c>
      <c r="L8" s="27" t="s">
        <v>32</v>
      </c>
      <c r="M8" s="13" t="s">
        <v>34</v>
      </c>
      <c r="N8" s="49"/>
      <c r="O8" s="23" t="str">
        <f t="shared" si="3"/>
        <v>#REF!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8"/>
      <c r="AE8" s="28"/>
    </row>
    <row r="9" ht="12.75" customHeight="1">
      <c r="A9" s="50" t="str">
        <f t="shared" si="1"/>
        <v>Jaap Hulshoff duravermeer</v>
      </c>
      <c r="B9" s="50" t="str">
        <f t="shared" si="2"/>
        <v>Jaap Hulshoff</v>
      </c>
      <c r="C9" s="37" t="s">
        <v>94</v>
      </c>
      <c r="D9" s="37" t="s">
        <v>95</v>
      </c>
      <c r="E9" s="21" t="s">
        <v>96</v>
      </c>
      <c r="F9" s="23" t="s">
        <v>97</v>
      </c>
      <c r="G9" s="51" t="s">
        <v>56</v>
      </c>
      <c r="H9" s="13" t="s">
        <v>57</v>
      </c>
      <c r="I9" s="26"/>
      <c r="J9" s="26"/>
      <c r="K9" s="27" t="s">
        <v>32</v>
      </c>
      <c r="L9" s="27" t="s">
        <v>32</v>
      </c>
      <c r="M9" s="13" t="s">
        <v>98</v>
      </c>
      <c r="N9" s="23"/>
      <c r="O9" s="23" t="str">
        <f t="shared" si="3"/>
        <v>#REF!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8"/>
      <c r="AE9" s="28"/>
    </row>
    <row r="10" ht="12.75" customHeight="1">
      <c r="A10" s="19" t="str">
        <f t="shared" si="1"/>
        <v>Kiki  de Vries yesdelftstudents</v>
      </c>
      <c r="B10" s="19" t="str">
        <f t="shared" si="2"/>
        <v>Kiki  de Vries</v>
      </c>
      <c r="C10" s="37" t="s">
        <v>104</v>
      </c>
      <c r="D10" s="37" t="s">
        <v>105</v>
      </c>
      <c r="E10" s="21" t="s">
        <v>106</v>
      </c>
      <c r="F10" s="23" t="s">
        <v>107</v>
      </c>
      <c r="G10" s="24" t="s">
        <v>29</v>
      </c>
      <c r="H10" s="13" t="s">
        <v>57</v>
      </c>
      <c r="I10" s="26"/>
      <c r="J10" s="26"/>
      <c r="K10" s="27" t="s">
        <v>32</v>
      </c>
      <c r="L10" s="27" t="s">
        <v>32</v>
      </c>
      <c r="M10" s="13" t="s">
        <v>34</v>
      </c>
      <c r="N10" s="34"/>
      <c r="O10" s="23" t="str">
        <f t="shared" si="3"/>
        <v>#REF!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28"/>
      <c r="AE10" s="28"/>
    </row>
    <row r="11" ht="12.75" customHeight="1">
      <c r="A11" s="19" t="str">
        <f t="shared" si="1"/>
        <v>Marcin Dukalski aramcooverseas</v>
      </c>
      <c r="B11" s="19" t="str">
        <f t="shared" si="2"/>
        <v>Marcin Dukalski</v>
      </c>
      <c r="C11" s="37" t="s">
        <v>108</v>
      </c>
      <c r="D11" s="37" t="s">
        <v>109</v>
      </c>
      <c r="E11" s="21" t="s">
        <v>110</v>
      </c>
      <c r="F11" s="23" t="s">
        <v>111</v>
      </c>
      <c r="G11" s="24" t="s">
        <v>69</v>
      </c>
      <c r="H11" s="13" t="s">
        <v>57</v>
      </c>
      <c r="I11" s="26"/>
      <c r="J11" s="26"/>
      <c r="K11" s="27" t="s">
        <v>32</v>
      </c>
      <c r="L11" s="27" t="s">
        <v>32</v>
      </c>
      <c r="M11" s="13" t="s">
        <v>34</v>
      </c>
      <c r="N11" s="34"/>
      <c r="O11" s="23" t="str">
        <f t="shared" si="3"/>
        <v>#REF!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28"/>
      <c r="AE11" s="28"/>
    </row>
    <row r="12" ht="12.75" customHeight="1">
      <c r="A12" s="19" t="str">
        <f t="shared" si="1"/>
        <v>Sayee Balaji shell</v>
      </c>
      <c r="B12" s="19" t="str">
        <f t="shared" si="2"/>
        <v>Sayee Balaji</v>
      </c>
      <c r="C12" s="37" t="s">
        <v>116</v>
      </c>
      <c r="D12" s="37" t="s">
        <v>117</v>
      </c>
      <c r="E12" s="21" t="s">
        <v>119</v>
      </c>
      <c r="F12" s="23" t="s">
        <v>55</v>
      </c>
      <c r="G12" s="24" t="s">
        <v>56</v>
      </c>
      <c r="H12" s="13" t="s">
        <v>57</v>
      </c>
      <c r="I12" s="26"/>
      <c r="J12" s="26"/>
      <c r="K12" s="27" t="s">
        <v>32</v>
      </c>
      <c r="L12" s="27" t="s">
        <v>32</v>
      </c>
      <c r="M12" s="13" t="s">
        <v>34</v>
      </c>
      <c r="N12" s="34"/>
      <c r="O12" s="23" t="str">
        <f t="shared" si="3"/>
        <v>#REF!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28"/>
      <c r="AE12" s="28"/>
    </row>
    <row r="13" ht="12.75" customHeight="1">
      <c r="A13" s="19" t="str">
        <f t="shared" si="1"/>
        <v>Sylvia Coenen Gemeente Delft</v>
      </c>
      <c r="B13" s="19" t="str">
        <f t="shared" si="2"/>
        <v>Sylvia Coenen</v>
      </c>
      <c r="C13" s="37" t="s">
        <v>121</v>
      </c>
      <c r="D13" s="37" t="s">
        <v>122</v>
      </c>
      <c r="E13" s="21" t="s">
        <v>123</v>
      </c>
      <c r="F13" s="52" t="s">
        <v>124</v>
      </c>
      <c r="G13" s="24" t="s">
        <v>29</v>
      </c>
      <c r="H13" s="13" t="s">
        <v>57</v>
      </c>
      <c r="I13" s="26"/>
      <c r="J13" s="26"/>
      <c r="K13" s="27" t="s">
        <v>32</v>
      </c>
      <c r="L13" s="27" t="s">
        <v>32</v>
      </c>
      <c r="M13" s="13" t="s">
        <v>34</v>
      </c>
      <c r="N13" s="34"/>
      <c r="O13" s="23" t="str">
        <f t="shared" si="3"/>
        <v>#REF!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28"/>
      <c r="AE13" s="28"/>
    </row>
    <row r="14" ht="12.75" customHeight="1">
      <c r="A14" s="19" t="str">
        <f t="shared" si="1"/>
        <v>Unsal Evren shell</v>
      </c>
      <c r="B14" s="19" t="str">
        <f t="shared" si="2"/>
        <v>Unsal Evren</v>
      </c>
      <c r="C14" s="37" t="s">
        <v>125</v>
      </c>
      <c r="D14" s="37" t="s">
        <v>126</v>
      </c>
      <c r="E14" s="21" t="s">
        <v>128</v>
      </c>
      <c r="F14" s="23" t="s">
        <v>55</v>
      </c>
      <c r="G14" s="24" t="s">
        <v>56</v>
      </c>
      <c r="H14" s="13" t="s">
        <v>57</v>
      </c>
      <c r="I14" s="26"/>
      <c r="J14" s="26"/>
      <c r="K14" s="27" t="s">
        <v>32</v>
      </c>
      <c r="L14" s="27" t="s">
        <v>32</v>
      </c>
      <c r="M14" s="13" t="s">
        <v>34</v>
      </c>
      <c r="N14" s="23"/>
      <c r="O14" s="23" t="str">
        <f t="shared" si="3"/>
        <v>#REF!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8"/>
      <c r="AE14" s="28"/>
    </row>
    <row r="15" ht="12.75" customHeight="1">
      <c r="A15" s="19" t="str">
        <f t="shared" si="1"/>
        <v>Wim Nobel rabobank</v>
      </c>
      <c r="B15" s="19" t="str">
        <f t="shared" si="2"/>
        <v>Wim Nobel</v>
      </c>
      <c r="C15" s="20" t="s">
        <v>134</v>
      </c>
      <c r="D15" s="20" t="s">
        <v>135</v>
      </c>
      <c r="E15" s="21" t="s">
        <v>136</v>
      </c>
      <c r="F15" s="23" t="s">
        <v>137</v>
      </c>
      <c r="G15" s="42" t="s">
        <v>69</v>
      </c>
      <c r="H15" s="25" t="s">
        <v>139</v>
      </c>
      <c r="I15" s="26"/>
      <c r="J15" s="26" t="b">
        <v>0</v>
      </c>
      <c r="K15" s="27" t="s">
        <v>140</v>
      </c>
      <c r="L15" s="13" t="s">
        <v>33</v>
      </c>
      <c r="M15" s="13" t="s">
        <v>34</v>
      </c>
      <c r="N15" s="13"/>
      <c r="O15" s="23" t="str">
        <f t="shared" si="3"/>
        <v>#REF!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28"/>
      <c r="AE15" s="28"/>
    </row>
    <row r="16" ht="12.75" customHeight="1">
      <c r="A16" s="19" t="str">
        <f t="shared" si="1"/>
        <v>Raf Koene innovationquarter</v>
      </c>
      <c r="B16" s="19" t="str">
        <f t="shared" si="2"/>
        <v>Raf Koene</v>
      </c>
      <c r="C16" s="58" t="s">
        <v>148</v>
      </c>
      <c r="D16" s="58" t="s">
        <v>153</v>
      </c>
      <c r="E16" s="31"/>
      <c r="F16" s="23" t="s">
        <v>161</v>
      </c>
      <c r="G16" s="24" t="s">
        <v>163</v>
      </c>
      <c r="H16" s="25" t="s">
        <v>164</v>
      </c>
      <c r="I16" s="26"/>
      <c r="J16" s="26"/>
      <c r="K16" s="27" t="s">
        <v>32</v>
      </c>
      <c r="L16" s="27" t="s">
        <v>32</v>
      </c>
      <c r="M16" s="13" t="s">
        <v>166</v>
      </c>
      <c r="N16" s="34"/>
      <c r="O16" s="23" t="str">
        <f t="shared" si="3"/>
        <v>#REF!</v>
      </c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28"/>
      <c r="AE16" s="28"/>
    </row>
    <row r="17" ht="12.75" customHeight="1">
      <c r="A17" s="19" t="str">
        <f t="shared" si="1"/>
        <v>Jenny Konings tudelft</v>
      </c>
      <c r="B17" s="19" t="str">
        <f t="shared" si="2"/>
        <v>Jenny Konings</v>
      </c>
      <c r="C17" s="60" t="s">
        <v>177</v>
      </c>
      <c r="D17" s="60" t="s">
        <v>179</v>
      </c>
      <c r="E17" s="62" t="s">
        <v>181</v>
      </c>
      <c r="F17" s="64" t="s">
        <v>184</v>
      </c>
      <c r="G17" s="42" t="s">
        <v>43</v>
      </c>
      <c r="H17" s="25" t="s">
        <v>139</v>
      </c>
      <c r="I17" s="13" t="s">
        <v>188</v>
      </c>
      <c r="J17" s="26"/>
      <c r="K17" s="27" t="s">
        <v>32</v>
      </c>
      <c r="L17" s="27" t="s">
        <v>32</v>
      </c>
      <c r="M17" s="13" t="s">
        <v>190</v>
      </c>
      <c r="N17" s="23"/>
      <c r="O17" s="23" t="str">
        <f t="shared" si="3"/>
        <v>#REF!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ht="12.75" customHeight="1">
      <c r="A18" s="19" t="str">
        <f t="shared" si="1"/>
        <v>Zwanet van Lubek AMS Institute</v>
      </c>
      <c r="B18" s="19" t="str">
        <f t="shared" si="2"/>
        <v>Zwanet van Lubek</v>
      </c>
      <c r="C18" s="20" t="s">
        <v>201</v>
      </c>
      <c r="D18" s="20" t="s">
        <v>203</v>
      </c>
      <c r="E18" s="65"/>
      <c r="F18" s="66" t="s">
        <v>209</v>
      </c>
      <c r="G18" s="42" t="s">
        <v>43</v>
      </c>
      <c r="H18" s="13" t="s">
        <v>213</v>
      </c>
      <c r="I18" s="26"/>
      <c r="J18" s="26" t="b">
        <v>0</v>
      </c>
      <c r="K18" s="27" t="s">
        <v>32</v>
      </c>
      <c r="L18" s="27" t="s">
        <v>32</v>
      </c>
      <c r="M18" s="13"/>
      <c r="N18" s="34"/>
      <c r="O18" s="23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</row>
    <row r="19" ht="12.75" customHeight="1">
      <c r="A19" s="19" t="str">
        <f t="shared" si="1"/>
        <v>Hanna Lucas innovationquarter</v>
      </c>
      <c r="B19" s="19" t="str">
        <f t="shared" si="2"/>
        <v>Hanna Lucas</v>
      </c>
      <c r="C19" s="20" t="s">
        <v>220</v>
      </c>
      <c r="D19" s="20" t="s">
        <v>221</v>
      </c>
      <c r="E19" s="21" t="s">
        <v>223</v>
      </c>
      <c r="F19" s="23" t="s">
        <v>161</v>
      </c>
      <c r="G19" s="24" t="s">
        <v>225</v>
      </c>
      <c r="H19" s="25" t="s">
        <v>47</v>
      </c>
      <c r="I19" s="26"/>
      <c r="J19" s="26" t="b">
        <v>0</v>
      </c>
      <c r="K19" s="67"/>
      <c r="L19" s="36" t="s">
        <v>51</v>
      </c>
      <c r="M19" s="13"/>
      <c r="N19" s="49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34"/>
      <c r="AE19" s="34"/>
    </row>
    <row r="20" ht="12.75" customHeight="1">
      <c r="A20" s="19" t="str">
        <f t="shared" si="1"/>
        <v>Nathal van Rijn </v>
      </c>
      <c r="B20" s="19" t="str">
        <f t="shared" si="2"/>
        <v>Nathal van Rijn</v>
      </c>
      <c r="C20" s="20" t="s">
        <v>249</v>
      </c>
      <c r="D20" s="20" t="s">
        <v>251</v>
      </c>
      <c r="E20" s="21"/>
      <c r="F20" s="23"/>
      <c r="G20" s="24" t="s">
        <v>29</v>
      </c>
      <c r="H20" s="13" t="s">
        <v>213</v>
      </c>
      <c r="I20" s="26"/>
      <c r="J20" s="26"/>
      <c r="K20" s="27" t="s">
        <v>32</v>
      </c>
      <c r="L20" s="27" t="s">
        <v>32</v>
      </c>
      <c r="M20" s="13"/>
      <c r="N20" s="34"/>
      <c r="O20" s="23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ht="12.75" customHeight="1">
      <c r="A21" s="19" t="str">
        <f t="shared" si="1"/>
        <v>Maarten Cleeren </v>
      </c>
      <c r="B21" s="19" t="str">
        <f t="shared" si="2"/>
        <v>Maarten Cleeren</v>
      </c>
      <c r="C21" s="20" t="s">
        <v>261</v>
      </c>
      <c r="D21" s="20" t="s">
        <v>263</v>
      </c>
      <c r="E21" s="21"/>
      <c r="F21" s="23"/>
      <c r="G21" s="42" t="s">
        <v>69</v>
      </c>
      <c r="H21" s="25" t="s">
        <v>139</v>
      </c>
      <c r="I21" s="26"/>
      <c r="J21" s="26" t="b">
        <v>0</v>
      </c>
      <c r="K21" s="27" t="s">
        <v>32</v>
      </c>
      <c r="L21" s="27" t="s">
        <v>32</v>
      </c>
      <c r="M21" s="13"/>
      <c r="N21" s="34"/>
      <c r="O21" s="23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23"/>
      <c r="AE21" s="23"/>
    </row>
    <row r="22" ht="12.75" customHeight="1">
      <c r="A22" s="19" t="str">
        <f t="shared" si="1"/>
        <v>Sophie Heijenberg nosuchventures</v>
      </c>
      <c r="B22" s="19" t="str">
        <f t="shared" si="2"/>
        <v>Sophie Heijenberg</v>
      </c>
      <c r="C22" s="20" t="s">
        <v>269</v>
      </c>
      <c r="D22" s="20" t="s">
        <v>270</v>
      </c>
      <c r="E22" s="21"/>
      <c r="F22" s="23" t="s">
        <v>271</v>
      </c>
      <c r="G22" s="24" t="s">
        <v>163</v>
      </c>
      <c r="H22" s="25" t="s">
        <v>164</v>
      </c>
      <c r="I22" s="26"/>
      <c r="J22" s="26" t="b">
        <v>0</v>
      </c>
      <c r="K22" s="27" t="s">
        <v>273</v>
      </c>
      <c r="L22" s="13"/>
      <c r="M22" s="34"/>
      <c r="N22" s="34"/>
      <c r="O22" s="2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</row>
    <row r="23" ht="12.75" customHeight="1">
      <c r="A23" s="19" t="str">
        <f t="shared" si="1"/>
        <v>Fabian van der Horst rabobank</v>
      </c>
      <c r="B23" s="19" t="str">
        <f t="shared" si="2"/>
        <v>Fabian van der Horst</v>
      </c>
      <c r="C23" s="20" t="s">
        <v>274</v>
      </c>
      <c r="D23" s="20" t="s">
        <v>275</v>
      </c>
      <c r="E23" s="21" t="s">
        <v>276</v>
      </c>
      <c r="F23" s="23" t="s">
        <v>137</v>
      </c>
      <c r="G23" s="42" t="s">
        <v>69</v>
      </c>
      <c r="H23" s="25" t="s">
        <v>139</v>
      </c>
      <c r="I23" s="68"/>
      <c r="J23" s="26" t="b">
        <v>0</v>
      </c>
      <c r="K23" s="49" t="s">
        <v>50</v>
      </c>
      <c r="L23" s="13" t="s">
        <v>277</v>
      </c>
      <c r="M23" s="13"/>
      <c r="N23" s="49" t="s">
        <v>278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2.75" customHeight="1">
      <c r="A24" s="19" t="str">
        <f t="shared" si="1"/>
        <v>Pascal van de Poll strategiemakers</v>
      </c>
      <c r="B24" s="19" t="s">
        <v>284</v>
      </c>
      <c r="C24" s="20" t="s">
        <v>285</v>
      </c>
      <c r="D24" s="20" t="s">
        <v>286</v>
      </c>
      <c r="E24" s="21" t="s">
        <v>288</v>
      </c>
      <c r="F24" s="23" t="s">
        <v>289</v>
      </c>
      <c r="G24" s="24" t="s">
        <v>29</v>
      </c>
      <c r="H24" s="49"/>
      <c r="I24" s="13" t="s">
        <v>290</v>
      </c>
      <c r="J24" s="26"/>
      <c r="K24" s="27" t="s">
        <v>291</v>
      </c>
      <c r="L24" s="36" t="s">
        <v>51</v>
      </c>
      <c r="M24" s="26"/>
      <c r="O24" s="23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</row>
    <row r="25" ht="12.75" customHeight="1">
      <c r="A25" s="19" t="str">
        <f t="shared" si="1"/>
        <v>Serge Santoo thegreenvillage</v>
      </c>
      <c r="B25" s="19" t="s">
        <v>292</v>
      </c>
      <c r="C25" s="20" t="s">
        <v>293</v>
      </c>
      <c r="D25" s="20" t="s">
        <v>294</v>
      </c>
      <c r="E25" s="21" t="s">
        <v>295</v>
      </c>
      <c r="F25" s="49" t="s">
        <v>296</v>
      </c>
      <c r="G25" s="24" t="s">
        <v>29</v>
      </c>
      <c r="H25" s="49"/>
      <c r="I25" s="13" t="s">
        <v>297</v>
      </c>
      <c r="J25" s="26"/>
      <c r="K25" s="27" t="s">
        <v>291</v>
      </c>
      <c r="L25" s="36" t="s">
        <v>51</v>
      </c>
      <c r="M25" s="26"/>
      <c r="N25" s="34"/>
      <c r="O25" s="23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</row>
    <row r="27" ht="12.75" customHeight="1">
      <c r="A27" s="19" t="str">
        <f t="shared" ref="A27:A30" si="4">B27&amp;" "&amp;F27</f>
        <v> boers</v>
      </c>
      <c r="B27" s="19"/>
      <c r="C27" s="20" t="s">
        <v>304</v>
      </c>
      <c r="D27" s="20" t="s">
        <v>305</v>
      </c>
      <c r="E27" s="21" t="s">
        <v>306</v>
      </c>
      <c r="F27" s="23" t="s">
        <v>307</v>
      </c>
      <c r="G27" s="42" t="s">
        <v>69</v>
      </c>
      <c r="H27" s="49"/>
      <c r="I27" s="25" t="s">
        <v>297</v>
      </c>
      <c r="J27" s="26"/>
      <c r="K27" s="27" t="s">
        <v>173</v>
      </c>
      <c r="L27" s="27" t="s">
        <v>32</v>
      </c>
      <c r="M27" s="26"/>
      <c r="N27" s="34"/>
      <c r="O27" s="23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</row>
    <row r="28" ht="12.75" customHeight="1">
      <c r="A28" s="19" t="str">
        <f t="shared" si="4"/>
        <v>Dilis Biesheuvel designsolutions</v>
      </c>
      <c r="B28" s="19" t="s">
        <v>308</v>
      </c>
      <c r="C28" s="20" t="s">
        <v>310</v>
      </c>
      <c r="D28" s="20" t="s">
        <v>311</v>
      </c>
      <c r="E28" s="21" t="s">
        <v>312</v>
      </c>
      <c r="F28" s="23" t="s">
        <v>313</v>
      </c>
      <c r="G28" s="42" t="s">
        <v>69</v>
      </c>
      <c r="H28" s="26"/>
      <c r="I28" s="49" t="s">
        <v>315</v>
      </c>
      <c r="J28" s="26"/>
      <c r="K28" s="27" t="s">
        <v>173</v>
      </c>
      <c r="L28" s="27" t="s">
        <v>32</v>
      </c>
      <c r="M28" s="26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2.75" customHeight="1">
      <c r="A29" s="19" t="str">
        <f t="shared" si="4"/>
        <v>Merel Haverhals nen</v>
      </c>
      <c r="B29" s="19" t="s">
        <v>318</v>
      </c>
      <c r="C29" s="20" t="s">
        <v>319</v>
      </c>
      <c r="D29" s="20" t="s">
        <v>320</v>
      </c>
      <c r="E29" s="21" t="s">
        <v>321</v>
      </c>
      <c r="F29" s="23" t="s">
        <v>322</v>
      </c>
      <c r="G29" s="42" t="s">
        <v>69</v>
      </c>
      <c r="H29" s="26"/>
      <c r="I29" s="34"/>
      <c r="J29" s="26"/>
      <c r="K29" s="27" t="s">
        <v>173</v>
      </c>
      <c r="L29" s="27" t="s">
        <v>32</v>
      </c>
      <c r="M29" s="26"/>
      <c r="O29" s="23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</row>
    <row r="30" ht="12.75" customHeight="1">
      <c r="A30" s="19" t="str">
        <f t="shared" si="4"/>
        <v>Chynna Falandt Rabobank</v>
      </c>
      <c r="B30" s="19" t="s">
        <v>325</v>
      </c>
      <c r="C30" s="20" t="s">
        <v>326</v>
      </c>
      <c r="D30" s="20" t="s">
        <v>327</v>
      </c>
      <c r="E30" s="21" t="s">
        <v>328</v>
      </c>
      <c r="F30" s="49" t="s">
        <v>66</v>
      </c>
      <c r="G30" s="42" t="s">
        <v>69</v>
      </c>
      <c r="H30" s="26"/>
      <c r="I30" s="23"/>
      <c r="J30" s="26"/>
      <c r="K30" s="27" t="s">
        <v>173</v>
      </c>
      <c r="L30" s="27" t="s">
        <v>32</v>
      </c>
      <c r="M30" s="26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34"/>
      <c r="AE30" s="34"/>
    </row>
    <row r="31" ht="12.75" customHeight="1">
      <c r="A31" s="19"/>
      <c r="B31" s="19" t="s">
        <v>329</v>
      </c>
      <c r="C31" s="20"/>
      <c r="D31" s="20"/>
      <c r="E31" s="21"/>
      <c r="F31" s="23"/>
      <c r="G31" s="24"/>
      <c r="H31" s="49"/>
      <c r="I31" s="13"/>
      <c r="J31" s="26"/>
      <c r="K31" s="27"/>
      <c r="L31" s="36"/>
      <c r="M31" s="26"/>
      <c r="O31" s="23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</row>
    <row r="32" ht="12.75" customHeight="1">
      <c r="A32" s="19"/>
      <c r="B32" s="19" t="s">
        <v>329</v>
      </c>
      <c r="C32" s="20"/>
      <c r="D32" s="20"/>
      <c r="E32" s="21"/>
      <c r="F32" s="49"/>
      <c r="G32" s="24"/>
      <c r="H32" s="49"/>
      <c r="I32" s="13"/>
      <c r="J32" s="26"/>
      <c r="K32" s="27"/>
      <c r="L32" s="36"/>
      <c r="M32" s="26"/>
      <c r="N32" s="34"/>
      <c r="O32" s="23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 ht="12.75" customHeight="1">
      <c r="A33" s="19" t="str">
        <f t="shared" ref="A33:A44" si="5">B33&amp;" "&amp;F33</f>
        <v>Alessandro Bozzon tudelft</v>
      </c>
      <c r="B33" s="19" t="s">
        <v>355</v>
      </c>
      <c r="C33" s="20" t="s">
        <v>357</v>
      </c>
      <c r="D33" s="20" t="s">
        <v>360</v>
      </c>
      <c r="E33" s="21" t="s">
        <v>363</v>
      </c>
      <c r="F33" s="52" t="s">
        <v>184</v>
      </c>
      <c r="G33" s="32" t="s">
        <v>43</v>
      </c>
      <c r="H33" s="49"/>
      <c r="I33" s="25" t="s">
        <v>367</v>
      </c>
      <c r="J33" s="26"/>
      <c r="K33" s="27" t="s">
        <v>173</v>
      </c>
      <c r="L33" s="27" t="s">
        <v>32</v>
      </c>
      <c r="M33" s="26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2.75" customHeight="1">
      <c r="A34" s="19" t="str">
        <f t="shared" si="5"/>
        <v>Ellen van Andel tudelft</v>
      </c>
      <c r="B34" s="19" t="s">
        <v>379</v>
      </c>
      <c r="C34" s="20" t="s">
        <v>380</v>
      </c>
      <c r="D34" s="20" t="s">
        <v>382</v>
      </c>
      <c r="E34" s="21" t="s">
        <v>384</v>
      </c>
      <c r="F34" s="52" t="s">
        <v>184</v>
      </c>
      <c r="G34" s="32" t="s">
        <v>43</v>
      </c>
      <c r="H34" s="26"/>
      <c r="I34" s="26"/>
      <c r="J34" s="26"/>
      <c r="K34" s="27" t="s">
        <v>173</v>
      </c>
      <c r="L34" s="27" t="s">
        <v>32</v>
      </c>
      <c r="M34" s="26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2.75" customHeight="1">
      <c r="A35" s="19" t="str">
        <f t="shared" si="5"/>
        <v>Hanieh Khodaei tudelft</v>
      </c>
      <c r="B35" s="19" t="s">
        <v>402</v>
      </c>
      <c r="C35" s="20" t="s">
        <v>404</v>
      </c>
      <c r="D35" s="20" t="s">
        <v>406</v>
      </c>
      <c r="E35" s="21" t="s">
        <v>407</v>
      </c>
      <c r="F35" s="52" t="s">
        <v>184</v>
      </c>
      <c r="G35" s="32" t="s">
        <v>43</v>
      </c>
      <c r="H35" s="26"/>
      <c r="I35" s="26"/>
      <c r="J35" s="26"/>
      <c r="K35" s="27" t="s">
        <v>173</v>
      </c>
      <c r="L35" s="27" t="s">
        <v>32</v>
      </c>
      <c r="M35" s="26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2.75" customHeight="1">
      <c r="A36" s="19" t="str">
        <f t="shared" si="5"/>
        <v>Jens Kok tudelft</v>
      </c>
      <c r="B36" s="19" t="s">
        <v>417</v>
      </c>
      <c r="C36" s="20" t="s">
        <v>419</v>
      </c>
      <c r="D36" s="53" t="s">
        <v>421</v>
      </c>
      <c r="E36" s="21" t="s">
        <v>423</v>
      </c>
      <c r="F36" s="52" t="s">
        <v>184</v>
      </c>
      <c r="G36" s="32" t="s">
        <v>43</v>
      </c>
      <c r="H36" s="26"/>
      <c r="I36" s="68"/>
      <c r="J36" s="26"/>
      <c r="K36" s="27" t="s">
        <v>173</v>
      </c>
      <c r="L36" s="27" t="s">
        <v>32</v>
      </c>
      <c r="M36" s="26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34"/>
      <c r="AE36" s="34"/>
    </row>
    <row r="37" ht="12.75" customHeight="1">
      <c r="A37" s="19" t="str">
        <f t="shared" si="5"/>
        <v>Daniel de Raadt vlst</v>
      </c>
      <c r="B37" s="19" t="s">
        <v>432</v>
      </c>
      <c r="C37" s="20" t="s">
        <v>435</v>
      </c>
      <c r="D37" s="20" t="s">
        <v>436</v>
      </c>
      <c r="E37" s="21" t="s">
        <v>437</v>
      </c>
      <c r="F37" s="23" t="s">
        <v>439</v>
      </c>
      <c r="G37" s="42" t="s">
        <v>69</v>
      </c>
      <c r="H37" s="26"/>
      <c r="I37" s="26"/>
      <c r="J37" s="26"/>
      <c r="K37" s="27" t="s">
        <v>173</v>
      </c>
      <c r="L37" s="27" t="s">
        <v>32</v>
      </c>
      <c r="M37" s="26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2.75" customHeight="1">
      <c r="A38" s="19" t="str">
        <f t="shared" si="5"/>
        <v>Anastasia Bhadai Rabobank</v>
      </c>
      <c r="B38" s="19" t="s">
        <v>447</v>
      </c>
      <c r="C38" s="29" t="s">
        <v>448</v>
      </c>
      <c r="D38" s="29" t="s">
        <v>449</v>
      </c>
      <c r="E38" s="76" t="s">
        <v>450</v>
      </c>
      <c r="F38" s="49" t="s">
        <v>66</v>
      </c>
      <c r="G38" s="42" t="s">
        <v>69</v>
      </c>
      <c r="H38" s="25" t="s">
        <v>139</v>
      </c>
      <c r="I38" s="13" t="s">
        <v>33</v>
      </c>
      <c r="J38" s="26"/>
      <c r="K38" s="27" t="s">
        <v>173</v>
      </c>
      <c r="L38" s="13" t="s">
        <v>456</v>
      </c>
      <c r="M38" s="26"/>
      <c r="O38" s="23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23"/>
      <c r="AE38" s="23"/>
    </row>
    <row r="39" ht="12.75" customHeight="1">
      <c r="A39" s="19" t="str">
        <f t="shared" si="5"/>
        <v>Danny Winkel Rabobank</v>
      </c>
      <c r="B39" s="19" t="s">
        <v>461</v>
      </c>
      <c r="C39" s="29" t="s">
        <v>463</v>
      </c>
      <c r="D39" s="29" t="s">
        <v>464</v>
      </c>
      <c r="E39" s="76" t="s">
        <v>466</v>
      </c>
      <c r="F39" s="49" t="s">
        <v>66</v>
      </c>
      <c r="G39" s="42" t="s">
        <v>69</v>
      </c>
      <c r="H39" s="25" t="s">
        <v>139</v>
      </c>
      <c r="I39" s="13" t="s">
        <v>33</v>
      </c>
      <c r="J39" s="26"/>
      <c r="K39" s="27" t="s">
        <v>173</v>
      </c>
      <c r="L39" s="13" t="s">
        <v>467</v>
      </c>
      <c r="M39" s="26"/>
      <c r="O39" s="23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23"/>
      <c r="AE39" s="23"/>
    </row>
    <row r="40" ht="12.75" customHeight="1">
      <c r="A40" s="78" t="str">
        <f t="shared" si="5"/>
        <v>Evelien De Kort Rabobank</v>
      </c>
      <c r="B40" s="78" t="s">
        <v>472</v>
      </c>
      <c r="C40" s="79" t="s">
        <v>473</v>
      </c>
      <c r="D40" s="79" t="s">
        <v>474</v>
      </c>
      <c r="E40" s="81" t="s">
        <v>475</v>
      </c>
      <c r="F40" s="82" t="s">
        <v>66</v>
      </c>
      <c r="G40" s="83" t="s">
        <v>69</v>
      </c>
      <c r="H40" s="84" t="s">
        <v>139</v>
      </c>
      <c r="I40" s="85"/>
      <c r="J40" s="86"/>
      <c r="K40" s="82" t="s">
        <v>173</v>
      </c>
      <c r="L40" s="87" t="s">
        <v>478</v>
      </c>
      <c r="M40" s="86"/>
      <c r="N40" s="89"/>
      <c r="O40" s="90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90"/>
      <c r="AE40" s="90"/>
    </row>
    <row r="41" ht="12.75" customHeight="1">
      <c r="A41" s="78" t="str">
        <f t="shared" si="5"/>
        <v>Marius Hovius Rabobank</v>
      </c>
      <c r="B41" s="78" t="s">
        <v>486</v>
      </c>
      <c r="C41" s="79" t="s">
        <v>487</v>
      </c>
      <c r="D41" s="79" t="s">
        <v>488</v>
      </c>
      <c r="E41" s="81" t="s">
        <v>490</v>
      </c>
      <c r="F41" s="82" t="s">
        <v>66</v>
      </c>
      <c r="G41" s="83" t="s">
        <v>69</v>
      </c>
      <c r="H41" s="84" t="s">
        <v>139</v>
      </c>
      <c r="I41" s="87" t="s">
        <v>33</v>
      </c>
      <c r="J41" s="86"/>
      <c r="K41" s="82" t="s">
        <v>173</v>
      </c>
      <c r="L41" s="87" t="s">
        <v>498</v>
      </c>
      <c r="M41" s="86"/>
      <c r="N41" s="89"/>
      <c r="O41" s="90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</row>
    <row r="42" ht="12.75" customHeight="1">
      <c r="A42" s="19" t="str">
        <f t="shared" si="5"/>
        <v>Patrick Van Der Toorn Rabobank</v>
      </c>
      <c r="B42" s="19" t="s">
        <v>500</v>
      </c>
      <c r="C42" s="29" t="s">
        <v>501</v>
      </c>
      <c r="D42" s="29" t="s">
        <v>502</v>
      </c>
      <c r="E42" s="76" t="s">
        <v>505</v>
      </c>
      <c r="F42" s="49" t="s">
        <v>66</v>
      </c>
      <c r="G42" s="42" t="s">
        <v>69</v>
      </c>
      <c r="H42" s="25" t="s">
        <v>139</v>
      </c>
      <c r="I42" s="34"/>
      <c r="J42" s="26"/>
      <c r="K42" s="27" t="s">
        <v>173</v>
      </c>
      <c r="L42" s="13" t="s">
        <v>518</v>
      </c>
      <c r="M42" s="26"/>
      <c r="O42" s="23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</row>
    <row r="43" ht="12.75" customHeight="1">
      <c r="A43" s="78" t="str">
        <f t="shared" si="5"/>
        <v>Peter Smid rabobank</v>
      </c>
      <c r="B43" s="78" t="s">
        <v>519</v>
      </c>
      <c r="C43" s="37" t="s">
        <v>520</v>
      </c>
      <c r="D43" s="39" t="s">
        <v>521</v>
      </c>
      <c r="E43" s="92" t="s">
        <v>522</v>
      </c>
      <c r="F43" s="90" t="s">
        <v>137</v>
      </c>
      <c r="G43" s="83" t="s">
        <v>69</v>
      </c>
      <c r="H43" s="84" t="s">
        <v>139</v>
      </c>
      <c r="I43" s="85"/>
      <c r="J43" s="86"/>
      <c r="K43" s="82" t="s">
        <v>173</v>
      </c>
      <c r="L43" s="87" t="s">
        <v>523</v>
      </c>
      <c r="M43" s="86"/>
      <c r="N43" s="89"/>
      <c r="O43" s="90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</row>
    <row r="44" ht="12.75" customHeight="1">
      <c r="A44" s="19" t="str">
        <f t="shared" si="5"/>
        <v>Rodney Goijer Rabobank</v>
      </c>
      <c r="B44" s="19" t="s">
        <v>529</v>
      </c>
      <c r="C44" s="29" t="s">
        <v>530</v>
      </c>
      <c r="D44" s="29" t="s">
        <v>532</v>
      </c>
      <c r="E44" s="76" t="s">
        <v>534</v>
      </c>
      <c r="F44" s="49" t="s">
        <v>66</v>
      </c>
      <c r="G44" s="42" t="s">
        <v>69</v>
      </c>
      <c r="H44" s="25" t="s">
        <v>139</v>
      </c>
      <c r="I44" s="13" t="s">
        <v>33</v>
      </c>
      <c r="J44" s="26"/>
      <c r="K44" s="27" t="s">
        <v>173</v>
      </c>
      <c r="L44" s="13" t="s">
        <v>537</v>
      </c>
      <c r="M44" s="26"/>
      <c r="O44" s="23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6" ht="12.75" customHeight="1">
      <c r="A46" s="19" t="str">
        <f t="shared" ref="A46:A50" si="6">B46&amp;" "&amp;F46</f>
        <v>Erik Heer nl</v>
      </c>
      <c r="B46" s="19" t="s">
        <v>545</v>
      </c>
      <c r="C46" s="29" t="s">
        <v>546</v>
      </c>
      <c r="D46" s="29" t="s">
        <v>547</v>
      </c>
      <c r="E46" s="30" t="s">
        <v>548</v>
      </c>
      <c r="F46" s="29" t="s">
        <v>549</v>
      </c>
      <c r="G46" s="32" t="s">
        <v>69</v>
      </c>
      <c r="H46" s="13" t="s">
        <v>45</v>
      </c>
      <c r="I46" s="34"/>
      <c r="J46" s="34"/>
      <c r="L46" s="27" t="s">
        <v>550</v>
      </c>
      <c r="M46" s="27" t="s">
        <v>551</v>
      </c>
      <c r="N46" s="34"/>
      <c r="O46" s="23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23"/>
      <c r="AE46" s="23"/>
    </row>
    <row r="47" ht="12.75" customHeight="1">
      <c r="A47" s="19" t="str">
        <f t="shared" si="6"/>
        <v>Maaike terwindt google</v>
      </c>
      <c r="B47" s="19" t="s">
        <v>552</v>
      </c>
      <c r="C47" s="72" t="s">
        <v>553</v>
      </c>
      <c r="D47" s="72" t="s">
        <v>554</v>
      </c>
      <c r="E47" s="30" t="s">
        <v>555</v>
      </c>
      <c r="F47" s="29" t="s">
        <v>556</v>
      </c>
      <c r="G47" s="42" t="s">
        <v>69</v>
      </c>
      <c r="H47" s="13" t="s">
        <v>45</v>
      </c>
      <c r="I47" s="34"/>
      <c r="J47" s="34"/>
      <c r="L47" s="27" t="s">
        <v>550</v>
      </c>
      <c r="M47" s="27" t="s">
        <v>557</v>
      </c>
      <c r="N47" s="34"/>
      <c r="O47" s="23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 ht="12.75" customHeight="1">
      <c r="A48" s="19" t="str">
        <f t="shared" si="6"/>
        <v>Dirk van Lammeren primevision</v>
      </c>
      <c r="B48" s="19" t="s">
        <v>561</v>
      </c>
      <c r="C48" s="53" t="s">
        <v>562</v>
      </c>
      <c r="D48" s="53" t="s">
        <v>563</v>
      </c>
      <c r="E48" s="88"/>
      <c r="F48" s="28" t="s">
        <v>565</v>
      </c>
      <c r="G48" s="51" t="s">
        <v>56</v>
      </c>
      <c r="H48" s="13" t="s">
        <v>213</v>
      </c>
      <c r="I48" s="95"/>
      <c r="J48" s="96"/>
      <c r="K48" s="27" t="s">
        <v>32</v>
      </c>
      <c r="L48" s="16" t="s">
        <v>51</v>
      </c>
      <c r="M48" s="25" t="s">
        <v>568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ht="12.75" customHeight="1">
      <c r="A49" s="19" t="str">
        <f t="shared" si="6"/>
        <v>Michael minbuza</v>
      </c>
      <c r="B49" s="19" t="s">
        <v>569</v>
      </c>
      <c r="C49" s="97" t="s">
        <v>569</v>
      </c>
      <c r="D49" s="98"/>
      <c r="E49" s="99"/>
      <c r="F49" s="43" t="s">
        <v>571</v>
      </c>
      <c r="G49" s="44" t="s">
        <v>323</v>
      </c>
      <c r="H49" s="13" t="s">
        <v>45</v>
      </c>
      <c r="I49" s="34"/>
      <c r="J49" s="34"/>
      <c r="K49" s="27" t="s">
        <v>574</v>
      </c>
      <c r="L49" s="36" t="s">
        <v>51</v>
      </c>
      <c r="M49" s="26"/>
      <c r="N49" s="34"/>
      <c r="O49" s="23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 ht="12.75" customHeight="1">
      <c r="A50" s="19" t="str">
        <f t="shared" si="6"/>
        <v>Marisa Schneider </v>
      </c>
      <c r="B50" s="19" t="s">
        <v>576</v>
      </c>
      <c r="C50" s="101" t="s">
        <v>577</v>
      </c>
      <c r="D50" s="102" t="s">
        <v>578</v>
      </c>
      <c r="E50" s="103"/>
      <c r="F50" s="75"/>
      <c r="G50" s="104"/>
      <c r="H50" s="13" t="s">
        <v>213</v>
      </c>
      <c r="I50" s="34"/>
      <c r="J50" s="26"/>
      <c r="K50" s="27" t="s">
        <v>50</v>
      </c>
      <c r="L50" s="36" t="s">
        <v>51</v>
      </c>
      <c r="M50" s="26"/>
      <c r="N50" s="13"/>
      <c r="O50" s="23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</row>
    <row r="51">
      <c r="A51" s="7" t="s">
        <v>584</v>
      </c>
    </row>
  </sheetData>
  <conditionalFormatting sqref="E50">
    <cfRule type="expression" dxfId="0" priority="1" stopIfTrue="1">
      <formula>$L50="Bounce"</formula>
    </cfRule>
  </conditionalFormatting>
  <conditionalFormatting sqref="E50">
    <cfRule type="expression" dxfId="0" priority="2">
      <formula>$L50="Bounce"</formula>
    </cfRule>
  </conditionalFormatting>
  <conditionalFormatting sqref="A50:B50 C50:D50 F50:K50 L50:M50 N50:AE50 E50">
    <cfRule type="expression" dxfId="1" priority="3">
      <formula>isformula(#REF!)</formula>
    </cfRule>
  </conditionalFormatting>
  <conditionalFormatting sqref="K50">
    <cfRule type="containsBlanks" dxfId="2" priority="4">
      <formula>LEN(TRIM(K50))=0</formula>
    </cfRule>
  </conditionalFormatting>
  <conditionalFormatting sqref="E50">
    <cfRule type="expression" dxfId="3" priority="5">
      <formula>COUNTIF(#REF!,#REF!)&gt;1</formula>
    </cfRule>
  </conditionalFormatting>
  <conditionalFormatting sqref="A50:H50">
    <cfRule type="containsBlanks" dxfId="4" priority="6">
      <formula>LEN(TRIM(A50))=0</formula>
    </cfRule>
  </conditionalFormatting>
  <conditionalFormatting sqref="A50">
    <cfRule type="expression" dxfId="3" priority="7">
      <formula>COUNTIF(#REF!,#REF!)&gt;1</formula>
    </cfRule>
  </conditionalFormatting>
  <conditionalFormatting sqref="B50">
    <cfRule type="expression" dxfId="2" priority="8">
      <formula>COUNTIF(#REF!,#REF!)&gt;1</formula>
    </cfRule>
  </conditionalFormatting>
  <conditionalFormatting sqref="B50">
    <cfRule type="expression" dxfId="2" priority="9" stopIfTrue="1">
      <formula>COUNTIF(#REF!, B50)&gt;1</formula>
    </cfRule>
  </conditionalFormatting>
  <conditionalFormatting sqref="B50">
    <cfRule type="notContainsBlanks" dxfId="5" priority="10">
      <formula>LEN(TRIM(B50))&gt;0</formula>
    </cfRule>
  </conditionalFormatting>
  <conditionalFormatting sqref="E49">
    <cfRule type="expression" dxfId="3" priority="11">
      <formula>COUNTIF(#REF!,#REF!)&gt;1</formula>
    </cfRule>
  </conditionalFormatting>
  <conditionalFormatting sqref="A49:B49 C49:D49 E49 F49:K49 L49:M49 N49:AE49">
    <cfRule type="expression" dxfId="1" priority="12">
      <formula>isformula(#REF!)</formula>
    </cfRule>
  </conditionalFormatting>
  <conditionalFormatting sqref="E49">
    <cfRule type="expression" dxfId="0" priority="13" stopIfTrue="1">
      <formula>$L49="Bounce"</formula>
    </cfRule>
  </conditionalFormatting>
  <conditionalFormatting sqref="E49">
    <cfRule type="expression" dxfId="0" priority="14">
      <formula>$L49="Bounce"</formula>
    </cfRule>
  </conditionalFormatting>
  <conditionalFormatting sqref="K49">
    <cfRule type="containsBlanks" dxfId="2" priority="15">
      <formula>LEN(TRIM(K49))=0</formula>
    </cfRule>
  </conditionalFormatting>
  <conditionalFormatting sqref="B49">
    <cfRule type="expression" dxfId="2" priority="16">
      <formula>COUNTIF(#REF!,#REF!)&gt;1</formula>
    </cfRule>
  </conditionalFormatting>
  <conditionalFormatting sqref="B49">
    <cfRule type="notContainsBlanks" dxfId="5" priority="17">
      <formula>LEN(TRIM(B49))&gt;0</formula>
    </cfRule>
  </conditionalFormatting>
  <conditionalFormatting sqref="B49">
    <cfRule type="expression" dxfId="2" priority="18" stopIfTrue="1">
      <formula>COUNTIF(#REF!, B49)&gt;1</formula>
    </cfRule>
  </conditionalFormatting>
  <conditionalFormatting sqref="A49">
    <cfRule type="expression" dxfId="3" priority="19">
      <formula>COUNTIF(#REF!,#REF!)&gt;1</formula>
    </cfRule>
  </conditionalFormatting>
  <conditionalFormatting sqref="A49:H49">
    <cfRule type="containsBlanks" dxfId="4" priority="20">
      <formula>LEN(TRIM(A49))=0</formula>
    </cfRule>
  </conditionalFormatting>
  <conditionalFormatting sqref="E48">
    <cfRule type="expression" dxfId="0" priority="21">
      <formula>$L48="Bounce"</formula>
    </cfRule>
  </conditionalFormatting>
  <conditionalFormatting sqref="E48">
    <cfRule type="expression" dxfId="3" priority="22">
      <formula>COUNTIF(#REF!,#REF!)&gt;1</formula>
    </cfRule>
  </conditionalFormatting>
  <conditionalFormatting sqref="B48">
    <cfRule type="expression" dxfId="2" priority="23">
      <formula>COUNTIF(#REF!,#REF!)&gt;1</formula>
    </cfRule>
  </conditionalFormatting>
  <conditionalFormatting sqref="B48">
    <cfRule type="notContainsBlanks" dxfId="5" priority="24">
      <formula>LEN(TRIM(B48))&gt;0</formula>
    </cfRule>
  </conditionalFormatting>
  <conditionalFormatting sqref="A48">
    <cfRule type="expression" dxfId="3" priority="25">
      <formula>COUNTIF(#REF!,#REF!)&gt;1</formula>
    </cfRule>
  </conditionalFormatting>
  <conditionalFormatting sqref="B48">
    <cfRule type="expression" dxfId="2" priority="26" stopIfTrue="1">
      <formula>COUNTIF(#REF!, B48)&gt;1</formula>
    </cfRule>
  </conditionalFormatting>
  <conditionalFormatting sqref="A48:B48 L48:M48 K48 H48 C48:G48 I48:J48 N48:AE48">
    <cfRule type="expression" dxfId="1" priority="27">
      <formula>isformula(#REF!)</formula>
    </cfRule>
  </conditionalFormatting>
  <conditionalFormatting sqref="K48">
    <cfRule type="containsBlanks" dxfId="2" priority="28">
      <formula>LEN(TRIM(K48))=0</formula>
    </cfRule>
  </conditionalFormatting>
  <conditionalFormatting sqref="A48:H48">
    <cfRule type="containsBlanks" dxfId="4" priority="29">
      <formula>LEN(TRIM(A48))=0</formula>
    </cfRule>
  </conditionalFormatting>
  <conditionalFormatting sqref="E46:E47">
    <cfRule type="expression" dxfId="0" priority="30">
      <formula>$L46="Bounce"</formula>
    </cfRule>
  </conditionalFormatting>
  <conditionalFormatting sqref="E46:E47">
    <cfRule type="expression" dxfId="0" priority="31" stopIfTrue="1">
      <formula>$L46="Bounce"</formula>
    </cfRule>
  </conditionalFormatting>
  <conditionalFormatting sqref="A46:B47 L46:M47 K46:K47 N46:AE47 I46:I47 G46:G47 H46:H47 J46:J47 C46:D47 E46:F47">
    <cfRule type="expression" dxfId="1" priority="32">
      <formula>isformula(#REF!)</formula>
    </cfRule>
  </conditionalFormatting>
  <conditionalFormatting sqref="B46:B47">
    <cfRule type="expression" dxfId="2" priority="33" stopIfTrue="1">
      <formula>COUNTIF(#REF!, B46)&gt;1</formula>
    </cfRule>
  </conditionalFormatting>
  <conditionalFormatting sqref="A46:A47">
    <cfRule type="expression" dxfId="3" priority="34">
      <formula>COUNTIF(#REF!,#REF!)&gt;1</formula>
    </cfRule>
  </conditionalFormatting>
  <conditionalFormatting sqref="E46:E47">
    <cfRule type="expression" dxfId="3" priority="35">
      <formula>COUNTIF(#REF!,#REF!)&gt;1</formula>
    </cfRule>
  </conditionalFormatting>
  <conditionalFormatting sqref="M46:M47">
    <cfRule type="containsBlanks" dxfId="2" priority="36">
      <formula>LEN(TRIM(M46))=0</formula>
    </cfRule>
  </conditionalFormatting>
  <conditionalFormatting sqref="B46:B47">
    <cfRule type="expression" dxfId="2" priority="37">
      <formula>COUNTIF(#REF!,#REF!)&gt;1</formula>
    </cfRule>
  </conditionalFormatting>
  <conditionalFormatting sqref="B46:B47">
    <cfRule type="notContainsBlanks" dxfId="5" priority="38">
      <formula>LEN(TRIM(B46))&gt;0</formula>
    </cfRule>
  </conditionalFormatting>
  <conditionalFormatting sqref="A46:H47">
    <cfRule type="containsBlanks" dxfId="4" priority="39">
      <formula>LEN(TRIM(A46))=0</formula>
    </cfRule>
  </conditionalFormatting>
  <conditionalFormatting sqref="E38:E44">
    <cfRule type="expression" dxfId="3" priority="40">
      <formula>COUNTIF(#REF!,#REF!)&gt;1</formula>
    </cfRule>
  </conditionalFormatting>
  <conditionalFormatting sqref="A38:B44 L38:L44 M38:M44 C38:D44 G38:H44 I38:I44 J38:J44 K38:K44 N38:AE44 E38:E44 F38:F44">
    <cfRule type="expression" dxfId="1" priority="41">
      <formula>isformula(#REF!)</formula>
    </cfRule>
  </conditionalFormatting>
  <conditionalFormatting sqref="E38:E44">
    <cfRule type="expression" dxfId="0" priority="42" stopIfTrue="1">
      <formula>$L38="Bounce"</formula>
    </cfRule>
  </conditionalFormatting>
  <conditionalFormatting sqref="E38:E44">
    <cfRule type="expression" dxfId="0" priority="43">
      <formula>$L38="Bounce"</formula>
    </cfRule>
  </conditionalFormatting>
  <conditionalFormatting sqref="B38:B44">
    <cfRule type="notContainsBlanks" dxfId="5" priority="44">
      <formula>LEN(TRIM(B38))&gt;0</formula>
    </cfRule>
  </conditionalFormatting>
  <conditionalFormatting sqref="B38:B44">
    <cfRule type="expression" dxfId="2" priority="45">
      <formula>COUNTIF(#REF!,#REF!)&gt;1</formula>
    </cfRule>
  </conditionalFormatting>
  <conditionalFormatting sqref="A38:A44">
    <cfRule type="expression" dxfId="3" priority="46">
      <formula>COUNTIF(#REF!,#REF!)&gt;1</formula>
    </cfRule>
  </conditionalFormatting>
  <conditionalFormatting sqref="A38:H44">
    <cfRule type="containsBlanks" dxfId="4" priority="47">
      <formula>LEN(TRIM(A38))=0</formula>
    </cfRule>
  </conditionalFormatting>
  <conditionalFormatting sqref="B38:B44">
    <cfRule type="expression" dxfId="2" priority="48" stopIfTrue="1">
      <formula>COUNTIF(#REF!, B38)&gt;1</formula>
    </cfRule>
  </conditionalFormatting>
  <conditionalFormatting sqref="K38:K44">
    <cfRule type="containsBlanks" dxfId="2" priority="49">
      <formula>LEN(TRIM(K38))=0</formula>
    </cfRule>
  </conditionalFormatting>
  <conditionalFormatting sqref="B25 B37">
    <cfRule type="expression" dxfId="2" priority="50" stopIfTrue="1">
      <formula>COUNTIF($B:$B, B25)&gt;1</formula>
    </cfRule>
  </conditionalFormatting>
  <conditionalFormatting sqref="A25:AE25 A37:AE37">
    <cfRule type="expression" dxfId="1" priority="51">
      <formula>isformula(A25:AC1469)</formula>
    </cfRule>
  </conditionalFormatting>
  <conditionalFormatting sqref="B25 B37">
    <cfRule type="notContainsBlanks" dxfId="5" priority="52">
      <formula>LEN(TRIM(B25))&gt;0</formula>
    </cfRule>
  </conditionalFormatting>
  <conditionalFormatting sqref="B25 B37">
    <cfRule type="expression" dxfId="2" priority="53">
      <formula>COUNTIF(B:B,B:B)&gt;1</formula>
    </cfRule>
  </conditionalFormatting>
  <conditionalFormatting sqref="A23:H23 A25:H25 A37:H37">
    <cfRule type="containsBlanks" dxfId="4" priority="54">
      <formula>LEN(TRIM(A23))=0</formula>
    </cfRule>
  </conditionalFormatting>
  <conditionalFormatting sqref="A24:B24 M24 L24 K24 N24:AE24 I24 G24">
    <cfRule type="expression" dxfId="1" priority="55">
      <formula>isformula(A24:AC1468)</formula>
    </cfRule>
  </conditionalFormatting>
  <conditionalFormatting sqref="B24">
    <cfRule type="notContainsBlanks" dxfId="5" priority="56">
      <formula>LEN(TRIM(B24))&gt;0</formula>
    </cfRule>
  </conditionalFormatting>
  <conditionalFormatting sqref="E23 E25 E37">
    <cfRule type="expression" dxfId="0" priority="57">
      <formula>$L23="Bounce"</formula>
    </cfRule>
  </conditionalFormatting>
  <conditionalFormatting sqref="E23 E25 E37">
    <cfRule type="expression" dxfId="0" priority="58" stopIfTrue="1">
      <formula>$L23="Bounce"</formula>
    </cfRule>
  </conditionalFormatting>
  <conditionalFormatting sqref="E23">
    <cfRule type="expression" dxfId="3" priority="59">
      <formula>COUNTIF(#REF!,#REF!)&gt;1</formula>
    </cfRule>
  </conditionalFormatting>
  <conditionalFormatting sqref="K23 K25 K37">
    <cfRule type="containsBlanks" dxfId="2" priority="60">
      <formula>LEN(TRIM(K23))=0</formula>
    </cfRule>
  </conditionalFormatting>
  <conditionalFormatting sqref="E23:E24">
    <cfRule type="expression" dxfId="0" priority="61">
      <formula>$L23="Bounce"</formula>
    </cfRule>
  </conditionalFormatting>
  <conditionalFormatting sqref="E23:E24">
    <cfRule type="expression" dxfId="0" priority="62" stopIfTrue="1">
      <formula>$L23="Bounce"</formula>
    </cfRule>
  </conditionalFormatting>
  <conditionalFormatting sqref="B23">
    <cfRule type="expression" dxfId="3" priority="63">
      <formula>COUNTIF(#REF!,#REF!)&gt;1</formula>
    </cfRule>
  </conditionalFormatting>
  <conditionalFormatting sqref="K23:K24">
    <cfRule type="containsBlanks" dxfId="2" priority="64">
      <formula>LEN(TRIM(K23))=0</formula>
    </cfRule>
  </conditionalFormatting>
  <conditionalFormatting sqref="A23">
    <cfRule type="expression" dxfId="3" priority="65">
      <formula>COUNTIF(#REF!,#REF!)&gt;1</formula>
    </cfRule>
  </conditionalFormatting>
  <conditionalFormatting sqref="L22 A22:B22 C22:D22 F22 G22:H22 I22 J22 K22 M22:AE22 E22">
    <cfRule type="expression" dxfId="1" priority="66">
      <formula>isformula(L22:AN1530)</formula>
    </cfRule>
  </conditionalFormatting>
  <conditionalFormatting sqref="L21 A21:B21 C21:D21 F21 G21:H21 I21 J21 K21 M21:AE21 E21">
    <cfRule type="expression" dxfId="1" priority="67">
      <formula>isformula(L21:AN1529)</formula>
    </cfRule>
  </conditionalFormatting>
  <conditionalFormatting sqref="L20 A20:B20 C20:D20 F20 G20:H20 I20 J20 K20 M20:AE20 E20">
    <cfRule type="expression" dxfId="1" priority="68">
      <formula>isformula(L20:AN1528)</formula>
    </cfRule>
  </conditionalFormatting>
  <conditionalFormatting sqref="E19">
    <cfRule type="expression" dxfId="3" priority="69">
      <formula>COUNTIF(#REF!,#REF!)&gt;1</formula>
    </cfRule>
  </conditionalFormatting>
  <conditionalFormatting sqref="A19:H19 A22:H22">
    <cfRule type="containsBlanks" dxfId="4" priority="70">
      <formula>LEN(TRIM(A19))=0</formula>
    </cfRule>
  </conditionalFormatting>
  <conditionalFormatting sqref="A19:H19 A21:H21">
    <cfRule type="containsBlanks" dxfId="4" priority="71">
      <formula>LEN(TRIM(A19))=0</formula>
    </cfRule>
  </conditionalFormatting>
  <conditionalFormatting sqref="A19:H20">
    <cfRule type="containsBlanks" dxfId="4" priority="72">
      <formula>LEN(TRIM(A19))=0</formula>
    </cfRule>
  </conditionalFormatting>
  <conditionalFormatting sqref="E19 E22">
    <cfRule type="expression" dxfId="0" priority="73">
      <formula>$L19="Bounce"</formula>
    </cfRule>
  </conditionalFormatting>
  <conditionalFormatting sqref="E19 E22">
    <cfRule type="expression" dxfId="0" priority="74" stopIfTrue="1">
      <formula>$L19="Bounce"</formula>
    </cfRule>
  </conditionalFormatting>
  <conditionalFormatting sqref="K19 K22">
    <cfRule type="containsBlanks" dxfId="2" priority="75">
      <formula>LEN(TRIM(K19))=0</formula>
    </cfRule>
  </conditionalFormatting>
  <conditionalFormatting sqref="K19 K21">
    <cfRule type="containsBlanks" dxfId="2" priority="76">
      <formula>LEN(TRIM(K19))=0</formula>
    </cfRule>
  </conditionalFormatting>
  <conditionalFormatting sqref="K19:K20">
    <cfRule type="containsBlanks" dxfId="2" priority="77">
      <formula>LEN(TRIM(K19))=0</formula>
    </cfRule>
  </conditionalFormatting>
  <conditionalFormatting sqref="L18 A18:B18 K18 M18:AE18 G18:H18 I18:J18 C18:D18 E18:F18">
    <cfRule type="expression" dxfId="1" priority="78">
      <formula>isformula(#REF!)</formula>
    </cfRule>
  </conditionalFormatting>
  <conditionalFormatting sqref="A18:H18">
    <cfRule type="containsBlanks" dxfId="4" priority="79">
      <formula>LEN(TRIM(A18))=0</formula>
    </cfRule>
  </conditionalFormatting>
  <conditionalFormatting sqref="A18">
    <cfRule type="expression" dxfId="3" priority="80">
      <formula>COUNTIF(#REF!,#REF!)&gt;1</formula>
    </cfRule>
  </conditionalFormatting>
  <conditionalFormatting sqref="K18">
    <cfRule type="containsBlanks" dxfId="2" priority="81">
      <formula>LEN(TRIM(K18))=0</formula>
    </cfRule>
  </conditionalFormatting>
  <conditionalFormatting sqref="B18">
    <cfRule type="expression" dxfId="3" priority="82">
      <formula>COUNTIF(#REF!,#REF!)&gt;1</formula>
    </cfRule>
  </conditionalFormatting>
  <conditionalFormatting sqref="E18">
    <cfRule type="expression" dxfId="0" priority="83">
      <formula>$L18="Bounce"</formula>
    </cfRule>
  </conditionalFormatting>
  <conditionalFormatting sqref="E18">
    <cfRule type="expression" dxfId="3" priority="84">
      <formula>COUNTIF(#REF!,#REF!)&gt;1</formula>
    </cfRule>
  </conditionalFormatting>
  <conditionalFormatting sqref="E17">
    <cfRule type="expression" dxfId="3" priority="85">
      <formula>COUNTIF(#REF!,#REF!)&gt;1</formula>
    </cfRule>
  </conditionalFormatting>
  <conditionalFormatting sqref="A17:AE17">
    <cfRule type="expression" dxfId="1" priority="86">
      <formula>isformula(#REF!)</formula>
    </cfRule>
  </conditionalFormatting>
  <conditionalFormatting sqref="A17">
    <cfRule type="expression" dxfId="3" priority="87">
      <formula>COUNTIF(#REF!,#REF!)&gt;1</formula>
    </cfRule>
  </conditionalFormatting>
  <conditionalFormatting sqref="B17">
    <cfRule type="expression" dxfId="3" priority="88">
      <formula>COUNTIF(#REF!,#REF!)&gt;1</formula>
    </cfRule>
  </conditionalFormatting>
  <conditionalFormatting sqref="E17">
    <cfRule type="expression" dxfId="0" priority="89">
      <formula>$L17="Bounce"</formula>
    </cfRule>
  </conditionalFormatting>
  <conditionalFormatting sqref="E17">
    <cfRule type="expression" dxfId="0" priority="90" stopIfTrue="1">
      <formula>$L17="Bounce"</formula>
    </cfRule>
  </conditionalFormatting>
  <conditionalFormatting sqref="A17:H17">
    <cfRule type="containsBlanks" dxfId="4" priority="91">
      <formula>LEN(TRIM(A17))=0</formula>
    </cfRule>
  </conditionalFormatting>
  <conditionalFormatting sqref="K17">
    <cfRule type="containsBlanks" dxfId="2" priority="92">
      <formula>LEN(TRIM(K17))=0</formula>
    </cfRule>
  </conditionalFormatting>
  <conditionalFormatting sqref="E15">
    <cfRule type="expression" dxfId="3" priority="93">
      <formula>COUNTIF(#REF!,#REF!)&gt;1</formula>
    </cfRule>
  </conditionalFormatting>
  <conditionalFormatting sqref="A15:AE15">
    <cfRule type="expression" dxfId="1" priority="94">
      <formula>isformula(#REF!)</formula>
    </cfRule>
  </conditionalFormatting>
  <conditionalFormatting sqref="E15">
    <cfRule type="expression" dxfId="0" priority="95">
      <formula>$L15="Bounce"</formula>
    </cfRule>
  </conditionalFormatting>
  <conditionalFormatting sqref="E15">
    <cfRule type="expression" dxfId="0" priority="96" stopIfTrue="1">
      <formula>$L15="Bounce"</formula>
    </cfRule>
  </conditionalFormatting>
  <conditionalFormatting sqref="A15">
    <cfRule type="expression" dxfId="3" priority="97">
      <formula>COUNTIF(#REF!,#REF!)&gt;1</formula>
    </cfRule>
  </conditionalFormatting>
  <conditionalFormatting sqref="B15">
    <cfRule type="expression" dxfId="3" priority="98">
      <formula>COUNTIF(#REF!,#REF!)&gt;1</formula>
    </cfRule>
  </conditionalFormatting>
  <conditionalFormatting sqref="K15">
    <cfRule type="containsBlanks" dxfId="2" priority="99">
      <formula>LEN(TRIM(K15))=0</formula>
    </cfRule>
  </conditionalFormatting>
  <conditionalFormatting sqref="A15:H15">
    <cfRule type="containsBlanks" dxfId="4" priority="100">
      <formula>LEN(TRIM(A15))=0</formula>
    </cfRule>
  </conditionalFormatting>
  <conditionalFormatting sqref="A13:A14">
    <cfRule type="expression" dxfId="3" priority="101">
      <formula>COUNTIF(#REF!,#REF!)&gt;1</formula>
    </cfRule>
  </conditionalFormatting>
  <conditionalFormatting sqref="A13:AE14">
    <cfRule type="expression" dxfId="1" priority="102">
      <formula>isformula(#REF!)</formula>
    </cfRule>
  </conditionalFormatting>
  <conditionalFormatting sqref="E13:E14">
    <cfRule type="expression" dxfId="0" priority="103" stopIfTrue="1">
      <formula>$L13="Bounce"</formula>
    </cfRule>
  </conditionalFormatting>
  <conditionalFormatting sqref="E13:E14">
    <cfRule type="expression" dxfId="0" priority="104">
      <formula>$L13="Bounce"</formula>
    </cfRule>
  </conditionalFormatting>
  <conditionalFormatting sqref="E13:E14">
    <cfRule type="expression" dxfId="3" priority="105">
      <formula>COUNTIF(#REF!,#REF!)&gt;1</formula>
    </cfRule>
  </conditionalFormatting>
  <conditionalFormatting sqref="A13:H14">
    <cfRule type="containsBlanks" dxfId="4" priority="106">
      <formula>LEN(TRIM(A13))=0</formula>
    </cfRule>
  </conditionalFormatting>
  <conditionalFormatting sqref="B13:B14">
    <cfRule type="expression" dxfId="3" priority="107">
      <formula>COUNTIF(#REF!,#REF!)&gt;1</formula>
    </cfRule>
  </conditionalFormatting>
  <conditionalFormatting sqref="K13:L14">
    <cfRule type="containsBlanks" dxfId="2" priority="108">
      <formula>LEN(TRIM(K13))=0</formula>
    </cfRule>
  </conditionalFormatting>
  <conditionalFormatting sqref="E11:E12">
    <cfRule type="expression" dxfId="0" priority="109" stopIfTrue="1">
      <formula>$L11="Bounce"</formula>
    </cfRule>
  </conditionalFormatting>
  <conditionalFormatting sqref="E11:E12">
    <cfRule type="expression" dxfId="0" priority="110">
      <formula>$L11="Bounce"</formula>
    </cfRule>
  </conditionalFormatting>
  <conditionalFormatting sqref="A11:H12">
    <cfRule type="containsBlanks" dxfId="4" priority="111">
      <formula>LEN(TRIM(A11))=0</formula>
    </cfRule>
  </conditionalFormatting>
  <conditionalFormatting sqref="A11:A12">
    <cfRule type="expression" dxfId="3" priority="112">
      <formula>COUNTIF(#REF!,#REF!)&gt;1</formula>
    </cfRule>
  </conditionalFormatting>
  <conditionalFormatting sqref="A11:AE12">
    <cfRule type="expression" dxfId="1" priority="113">
      <formula>isformula(#REF!)</formula>
    </cfRule>
  </conditionalFormatting>
  <conditionalFormatting sqref="B11:B12">
    <cfRule type="expression" dxfId="3" priority="114">
      <formula>COUNTIF(#REF!,#REF!)&gt;1</formula>
    </cfRule>
  </conditionalFormatting>
  <conditionalFormatting sqref="K11:L12">
    <cfRule type="containsBlanks" dxfId="2" priority="115">
      <formula>LEN(TRIM(K11))=0</formula>
    </cfRule>
  </conditionalFormatting>
  <conditionalFormatting sqref="E11:E12">
    <cfRule type="expression" dxfId="3" priority="116">
      <formula>COUNTIF(#REF!,#REF!)&gt;1</formula>
    </cfRule>
  </conditionalFormatting>
  <conditionalFormatting sqref="K8:L10">
    <cfRule type="containsBlanks" dxfId="2" priority="117">
      <formula>LEN(TRIM(K8))=0</formula>
    </cfRule>
  </conditionalFormatting>
  <conditionalFormatting sqref="A8:AE10">
    <cfRule type="expression" dxfId="1" priority="118">
      <formula>isformula(#REF!)</formula>
    </cfRule>
  </conditionalFormatting>
  <conditionalFormatting sqref="B8:B10">
    <cfRule type="expression" dxfId="3" priority="119">
      <formula>COUNTIF(#REF!,#REF!)&gt;1</formula>
    </cfRule>
  </conditionalFormatting>
  <conditionalFormatting sqref="E8:E10">
    <cfRule type="expression" dxfId="3" priority="120">
      <formula>COUNTIF(#REF!,#REF!)&gt;1</formula>
    </cfRule>
  </conditionalFormatting>
  <conditionalFormatting sqref="A8:A10">
    <cfRule type="expression" dxfId="3" priority="121">
      <formula>COUNTIF(#REF!,#REF!)&gt;1</formula>
    </cfRule>
  </conditionalFormatting>
  <conditionalFormatting sqref="E8:E10">
    <cfRule type="expression" dxfId="0" priority="122" stopIfTrue="1">
      <formula>$L8="Bounce"</formula>
    </cfRule>
  </conditionalFormatting>
  <conditionalFormatting sqref="E8:E10">
    <cfRule type="expression" dxfId="0" priority="123">
      <formula>$L8="Bounce"</formula>
    </cfRule>
  </conditionalFormatting>
  <conditionalFormatting sqref="A8:H10">
    <cfRule type="containsBlanks" dxfId="4" priority="124">
      <formula>LEN(TRIM(A8))=0</formula>
    </cfRule>
  </conditionalFormatting>
  <conditionalFormatting sqref="A6:AE7">
    <cfRule type="expression" dxfId="1" priority="125">
      <formula>isformula(#REF!)</formula>
    </cfRule>
  </conditionalFormatting>
  <conditionalFormatting sqref="E6:E7">
    <cfRule type="expression" dxfId="0" priority="126" stopIfTrue="1">
      <formula>$L6="Bounce"</formula>
    </cfRule>
  </conditionalFormatting>
  <conditionalFormatting sqref="E6:E7">
    <cfRule type="expression" dxfId="0" priority="127">
      <formula>$L6="Bounce"</formula>
    </cfRule>
  </conditionalFormatting>
  <conditionalFormatting sqref="K6:L7">
    <cfRule type="containsBlanks" dxfId="2" priority="128">
      <formula>LEN(TRIM(K6))=0</formula>
    </cfRule>
  </conditionalFormatting>
  <conditionalFormatting sqref="E6:E7">
    <cfRule type="expression" dxfId="3" priority="129">
      <formula>COUNTIF(#REF!,#REF!)&gt;1</formula>
    </cfRule>
  </conditionalFormatting>
  <conditionalFormatting sqref="A6:H7">
    <cfRule type="containsBlanks" dxfId="4" priority="130">
      <formula>LEN(TRIM(A6))=0</formula>
    </cfRule>
  </conditionalFormatting>
  <conditionalFormatting sqref="A6:A7">
    <cfRule type="expression" dxfId="3" priority="131">
      <formula>COUNTIF(#REF!,#REF!)&gt;1</formula>
    </cfRule>
  </conditionalFormatting>
  <conditionalFormatting sqref="B6:B7">
    <cfRule type="expression" dxfId="3" priority="132">
      <formula>COUNTIF(#REF!,#REF!)&gt;1</formula>
    </cfRule>
  </conditionalFormatting>
  <conditionalFormatting sqref="A4:AE5">
    <cfRule type="expression" dxfId="1" priority="133">
      <formula>isformula(#REF!)</formula>
    </cfRule>
  </conditionalFormatting>
  <conditionalFormatting sqref="E4:E5">
    <cfRule type="expression" dxfId="3" priority="134">
      <formula>COUNTIF(#REF!,#REF!)&gt;1</formula>
    </cfRule>
  </conditionalFormatting>
  <conditionalFormatting sqref="K4:L5">
    <cfRule type="containsBlanks" dxfId="2" priority="135">
      <formula>LEN(TRIM(K4))=0</formula>
    </cfRule>
  </conditionalFormatting>
  <conditionalFormatting sqref="E4:E5">
    <cfRule type="expression" dxfId="0" priority="136" stopIfTrue="1">
      <formula>$L4="Bounce"</formula>
    </cfRule>
  </conditionalFormatting>
  <conditionalFormatting sqref="E4:E5">
    <cfRule type="expression" dxfId="0" priority="137">
      <formula>$L4="Bounce"</formula>
    </cfRule>
  </conditionalFormatting>
  <conditionalFormatting sqref="A4:H5">
    <cfRule type="containsBlanks" dxfId="4" priority="138">
      <formula>LEN(TRIM(A4))=0</formula>
    </cfRule>
  </conditionalFormatting>
  <conditionalFormatting sqref="B4:B5">
    <cfRule type="expression" dxfId="3" priority="139">
      <formula>COUNTIF(#REF!,#REF!)&gt;1</formula>
    </cfRule>
  </conditionalFormatting>
  <conditionalFormatting sqref="A4:A5">
    <cfRule type="expression" dxfId="3" priority="140">
      <formula>COUNTIF(#REF!,#REF!)&gt;1</formula>
    </cfRule>
  </conditionalFormatting>
  <conditionalFormatting sqref="A16">
    <cfRule type="expression" dxfId="3" priority="141">
      <formula>COUNTIF(#REF!,#REF!)&gt;1</formula>
    </cfRule>
  </conditionalFormatting>
  <conditionalFormatting sqref="A16:AE16">
    <cfRule type="expression" dxfId="1" priority="142">
      <formula>isformula(#REF!)</formula>
    </cfRule>
  </conditionalFormatting>
  <conditionalFormatting sqref="E16">
    <cfRule type="expression" dxfId="3" priority="143">
      <formula>COUNTIF(#REF!,#REF!)&gt;1</formula>
    </cfRule>
  </conditionalFormatting>
  <conditionalFormatting sqref="B16">
    <cfRule type="expression" dxfId="3" priority="144">
      <formula>COUNTIF(#REF!,#REF!)&gt;1</formula>
    </cfRule>
  </conditionalFormatting>
  <conditionalFormatting sqref="K16:L16">
    <cfRule type="containsBlanks" dxfId="2" priority="145">
      <formula>LEN(TRIM(K16))=0</formula>
    </cfRule>
  </conditionalFormatting>
  <conditionalFormatting sqref="E16">
    <cfRule type="expression" dxfId="0" priority="146" stopIfTrue="1">
      <formula>$L16="Bounce"</formula>
    </cfRule>
  </conditionalFormatting>
  <conditionalFormatting sqref="E16">
    <cfRule type="expression" dxfId="0" priority="147">
      <formula>$L16="Bounce"</formula>
    </cfRule>
  </conditionalFormatting>
  <conditionalFormatting sqref="A16:H16">
    <cfRule type="containsBlanks" dxfId="4" priority="148">
      <formula>LEN(TRIM(A16))=0</formula>
    </cfRule>
  </conditionalFormatting>
  <conditionalFormatting sqref="E3">
    <cfRule type="expression" dxfId="3" priority="149">
      <formula>COUNTIF(#REF!,#REF!)&gt;1</formula>
    </cfRule>
  </conditionalFormatting>
  <conditionalFormatting sqref="A3:AE3">
    <cfRule type="expression" dxfId="1" priority="150">
      <formula>isformula(#REF!)</formula>
    </cfRule>
  </conditionalFormatting>
  <conditionalFormatting sqref="B1:H1 E22 E25 E37">
    <cfRule type="expression" dxfId="3" priority="151">
      <formula>COUNTIF(B:B,B:B)&gt;1</formula>
    </cfRule>
  </conditionalFormatting>
  <conditionalFormatting sqref="B3">
    <cfRule type="expression" dxfId="3" priority="152">
      <formula>COUNTIF(#REF!,#REF!)&gt;1</formula>
    </cfRule>
  </conditionalFormatting>
  <conditionalFormatting sqref="A3:H3">
    <cfRule type="containsBlanks" dxfId="4" priority="153">
      <formula>LEN(TRIM(A3))=0</formula>
    </cfRule>
  </conditionalFormatting>
  <conditionalFormatting sqref="K3">
    <cfRule type="containsBlanks" dxfId="2" priority="154">
      <formula>LEN(TRIM(K3))=0</formula>
    </cfRule>
  </conditionalFormatting>
  <conditionalFormatting sqref="B1:H1 E22 E24">
    <cfRule type="expression" dxfId="3" priority="155">
      <formula>COUNTIF(B:B,B:B)&gt;1</formula>
    </cfRule>
  </conditionalFormatting>
  <conditionalFormatting sqref="B1:H1 E21">
    <cfRule type="expression" dxfId="3" priority="156">
      <formula>COUNTIF(B:B,B:B)&gt;1</formula>
    </cfRule>
  </conditionalFormatting>
  <conditionalFormatting sqref="B1:H1 E20">
    <cfRule type="expression" dxfId="3" priority="157">
      <formula>COUNTIF(B:B,B:B)&gt;1</formula>
    </cfRule>
  </conditionalFormatting>
  <conditionalFormatting sqref="A1:D1 E1 F1:AE1">
    <cfRule type="expression" dxfId="1" priority="158">
      <formula>isformula(A1:AC1525)</formula>
    </cfRule>
  </conditionalFormatting>
  <conditionalFormatting sqref="A1">
    <cfRule type="expression" dxfId="3" priority="159">
      <formula>COUNTIF(A:A,A:A)&gt;1</formula>
    </cfRule>
  </conditionalFormatting>
  <conditionalFormatting sqref="E1 F1">
    <cfRule type="expression" dxfId="3" priority="160">
      <formula>COUNTIF(E:E,E:E)&gt;1</formula>
    </cfRule>
  </conditionalFormatting>
  <conditionalFormatting sqref="E2">
    <cfRule type="expression" dxfId="0" priority="161" stopIfTrue="1">
      <formula>$L2="Bounce"</formula>
    </cfRule>
  </conditionalFormatting>
  <conditionalFormatting sqref="E2">
    <cfRule type="expression" dxfId="0" priority="162">
      <formula>$L2="Bounce"</formula>
    </cfRule>
  </conditionalFormatting>
  <conditionalFormatting sqref="B2">
    <cfRule type="expression" dxfId="3" priority="163">
      <formula>COUNTIF(#REF!,#REF!)&gt;1</formula>
    </cfRule>
  </conditionalFormatting>
  <conditionalFormatting sqref="A2:AE2">
    <cfRule type="expression" dxfId="1" priority="164">
      <formula>isformula(#REF!)</formula>
    </cfRule>
  </conditionalFormatting>
  <conditionalFormatting sqref="A2">
    <cfRule type="expression" dxfId="3" priority="165">
      <formula>COUNTIF(#REF!,#REF!)&gt;1</formula>
    </cfRule>
  </conditionalFormatting>
  <conditionalFormatting sqref="A1:H2">
    <cfRule type="containsBlanks" dxfId="4" priority="166">
      <formula>LEN(TRIM(A1))=0</formula>
    </cfRule>
  </conditionalFormatting>
  <conditionalFormatting sqref="K1:K2">
    <cfRule type="containsBlanks" dxfId="2" priority="167">
      <formula>LEN(TRIM(K1))=0</formula>
    </cfRule>
  </conditionalFormatting>
  <conditionalFormatting sqref="E2">
    <cfRule type="expression" dxfId="3" priority="168">
      <formula>COUNTIF(#REF!,#REF!)&gt;1</formula>
    </cfRule>
  </conditionalFormatting>
  <hyperlinks>
    <hyperlink r:id="rId4" ref="E7"/>
    <hyperlink r:id="rId5" ref="E38"/>
    <hyperlink r:id="rId6" ref="E39"/>
    <hyperlink r:id="rId7" ref="E40"/>
    <hyperlink r:id="rId8" ref="E41"/>
    <hyperlink r:id="rId9" ref="E42"/>
    <hyperlink r:id="rId10" ref="E44"/>
  </hyperlinks>
  <drawing r:id="rId11"/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26.13"/>
    <col customWidth="1" min="3" max="3" width="19.75"/>
    <col customWidth="1" min="4" max="4" width="21.13"/>
    <col customWidth="1" min="5" max="5" width="14.75"/>
    <col customWidth="1" min="6" max="6" width="11.0"/>
    <col customWidth="1" min="7" max="7" width="8.38"/>
    <col customWidth="1" min="8" max="8" width="22.13"/>
    <col customWidth="1" min="9" max="9" width="20.63"/>
  </cols>
  <sheetData>
    <row r="1">
      <c r="A1" s="1" t="s">
        <v>0</v>
      </c>
      <c r="B1" s="3"/>
      <c r="C1" s="3"/>
      <c r="D1" s="3"/>
      <c r="E1" s="5"/>
      <c r="F1" s="5"/>
      <c r="I1" s="9"/>
      <c r="K1" s="14">
        <f>COUNTIF(K2:K500, "Marked")</f>
        <v>90</v>
      </c>
      <c r="L1" s="16" t="s">
        <v>14</v>
      </c>
    </row>
    <row r="2">
      <c r="A2" s="18" t="str">
        <f>IFERROR(__xludf.DUMMYFUNCTION("importrange(""https://docs.google.com/spreadsheets/d/1tdVMyaSX1NOOnhLoywkFFXAlzGwYRUtaHrBX8He56SI/edit?gid=1911872096#gid=1911872096"",""Registrations!A:F"")"),"Name")</f>
        <v>Name</v>
      </c>
      <c r="B2" s="18" t="str">
        <f>IFERROR(__xludf.DUMMYFUNCTION("""COMPUTED_VALUE"""),"Email")</f>
        <v>Email</v>
      </c>
      <c r="C2" s="18" t="str">
        <f>IFERROR(__xludf.DUMMYFUNCTION("""COMPUTED_VALUE"""),"Company/University")</f>
        <v>Company/University</v>
      </c>
      <c r="D2" s="18" t="str">
        <f>IFERROR(__xludf.DUMMYFUNCTION("""COMPUTED_VALUE"""),"Job title/Study")</f>
        <v>Job title/Study</v>
      </c>
      <c r="E2" s="18" t="str">
        <f>IFERROR(__xludf.DUMMYFUNCTION("""COMPUTED_VALUE"""),"Goal of event")</f>
        <v>Goal of event</v>
      </c>
      <c r="F2" s="18" t="str">
        <f>IFERROR(__xludf.DUMMYFUNCTION("""COMPUTED_VALUE"""),"Sectors of interest")</f>
        <v>Sectors of interest</v>
      </c>
      <c r="G2" s="7" t="s">
        <v>16</v>
      </c>
      <c r="H2" s="7" t="s">
        <v>17</v>
      </c>
      <c r="I2" s="7" t="s">
        <v>19</v>
      </c>
      <c r="J2" s="7" t="s">
        <v>20</v>
      </c>
      <c r="K2" s="7" t="s">
        <v>22</v>
      </c>
      <c r="L2" s="7" t="s">
        <v>23</v>
      </c>
    </row>
    <row r="3">
      <c r="A3" s="22" t="str">
        <f>IFERROR(__xludf.DUMMYFUNCTION("""COMPUTED_VALUE"""),"Anton Schreuders")</f>
        <v>Anton Schreuders</v>
      </c>
      <c r="B3" s="22" t="str">
        <f>IFERROR(__xludf.DUMMYFUNCTION("""COMPUTED_VALUE"""),"anton.schreuders@eao.com")</f>
        <v>anton.schreuders@eao.com</v>
      </c>
      <c r="C3" s="22" t="str">
        <f>IFERROR(__xludf.DUMMYFUNCTION("""COMPUTED_VALUE"""),"EAO Benelux B.V.")</f>
        <v>EAO Benelux B.V.</v>
      </c>
      <c r="D3" s="22" t="str">
        <f>IFERROR(__xludf.DUMMYFUNCTION("""COMPUTED_VALUE"""),"Applicatio Specialist machinery &amp; ships")</f>
        <v>Applicatio Specialist machinery &amp; ships</v>
      </c>
      <c r="E3" s="22" t="str">
        <f>IFERROR(__xludf.DUMMYFUNCTION("""COMPUTED_VALUE"""),"new contacts")</f>
        <v>new contacts</v>
      </c>
      <c r="F3" s="22" t="str">
        <f>IFERROR(__xludf.DUMMYFUNCTION("""COMPUTED_VALUE"""),"Maritime")</f>
        <v>Maritime</v>
      </c>
      <c r="H3" s="22" t="str">
        <f>VLOOKUP(B3,'new total list'!E:E,1,false)</f>
        <v>#N/A</v>
      </c>
      <c r="I3" s="22" t="str">
        <f>vlookup(A3,'new total list'!B:B,1,false)</f>
        <v>#N/A</v>
      </c>
      <c r="J3" s="14"/>
      <c r="K3" s="14" t="str">
        <f t="shared" ref="K3:K329" si="1">IF(AND(ISNA(H3), ISNA(I3)), "Marked", "")</f>
        <v>Marked</v>
      </c>
    </row>
    <row r="4">
      <c r="A4" s="22" t="str">
        <f>IFERROR(__xludf.DUMMYFUNCTION("""COMPUTED_VALUE"""),"Paul Hendrikx")</f>
        <v>Paul Hendrikx</v>
      </c>
      <c r="B4" s="22" t="str">
        <f>IFERROR(__xludf.DUMMYFUNCTION("""COMPUTED_VALUE"""),"paul@mangoproductdesign.com")</f>
        <v>paul@mangoproductdesign.com</v>
      </c>
      <c r="C4" s="22" t="str">
        <f>IFERROR(__xludf.DUMMYFUNCTION("""COMPUTED_VALUE"""),"ManGo Product Design")</f>
        <v>ManGo Product Design</v>
      </c>
      <c r="D4" s="22" t="str">
        <f>IFERROR(__xludf.DUMMYFUNCTION("""COMPUTED_VALUE"""),"CEO")</f>
        <v>CEO</v>
      </c>
      <c r="E4" s="22" t="str">
        <f>IFERROR(__xludf.DUMMYFUNCTION("""COMPUTED_VALUE"""),"Meet the innovators of tomorrow")</f>
        <v>Meet the innovators of tomorrow</v>
      </c>
      <c r="F4" s="22" t="str">
        <f>IFERROR(__xludf.DUMMYFUNCTION("""COMPUTED_VALUE"""),"Energy")</f>
        <v>Energy</v>
      </c>
      <c r="H4" s="22" t="str">
        <f>VLOOKUP(B4,'new total list'!E:E,1,false)</f>
        <v>#N/A</v>
      </c>
      <c r="I4" s="22" t="str">
        <f>vlookup(A4,'new total list'!B:B,1,false)</f>
        <v>#N/A</v>
      </c>
      <c r="J4" s="14"/>
      <c r="K4" s="14" t="str">
        <f t="shared" si="1"/>
        <v>Marked</v>
      </c>
    </row>
    <row r="5">
      <c r="A5" s="22" t="str">
        <f>IFERROR(__xludf.DUMMYFUNCTION("""COMPUTED_VALUE"""),"Joris Roozen")</f>
        <v>Joris Roozen</v>
      </c>
      <c r="B5" s="22" t="str">
        <f>IFERROR(__xludf.DUMMYFUNCTION("""COMPUTED_VALUE"""),"joris@jorisroozen.nl")</f>
        <v>joris@jorisroozen.nl</v>
      </c>
      <c r="C5" s="22" t="str">
        <f>IFERROR(__xludf.DUMMYFUNCTION("""COMPUTED_VALUE"""),"Intenza Consulting &amp; Training")</f>
        <v>Intenza Consulting &amp; Training</v>
      </c>
      <c r="D5" s="22" t="str">
        <f>IFERROR(__xludf.DUMMYFUNCTION("""COMPUTED_VALUE"""),"Partner")</f>
        <v>Partner</v>
      </c>
      <c r="E5" s="22" t="str">
        <f>IFERROR(__xludf.DUMMYFUNCTION("""COMPUTED_VALUE"""),"Inspiration &amp; Networking")</f>
        <v>Inspiration &amp; Networking</v>
      </c>
      <c r="F5" s="22" t="str">
        <f>IFERROR(__xludf.DUMMYFUNCTION("""COMPUTED_VALUE"""),"Energy")</f>
        <v>Energy</v>
      </c>
      <c r="H5" s="22" t="str">
        <f>VLOOKUP(B5,'new total list'!E:E,1,false)</f>
        <v>#N/A</v>
      </c>
      <c r="I5" s="22" t="str">
        <f>vlookup(A5,'new total list'!B:B,1,false)</f>
        <v>#N/A</v>
      </c>
      <c r="J5" s="14"/>
      <c r="K5" s="14" t="str">
        <f t="shared" si="1"/>
        <v>Marked</v>
      </c>
      <c r="L5" s="7" t="s">
        <v>58</v>
      </c>
    </row>
    <row r="6">
      <c r="A6" s="22" t="str">
        <f>IFERROR(__xludf.DUMMYFUNCTION("""COMPUTED_VALUE"""),"Teake Bulstra")</f>
        <v>Teake Bulstra</v>
      </c>
      <c r="B6" s="22" t="str">
        <f>IFERROR(__xludf.DUMMYFUNCTION("""COMPUTED_VALUE"""),"teake@baatmedical.com")</f>
        <v>teake@baatmedical.com</v>
      </c>
      <c r="C6" s="45" t="str">
        <f>IFERROR(__xludf.DUMMYFUNCTION("""COMPUTED_VALUE"""),"www.baatmedical.com")</f>
        <v>www.baatmedical.com</v>
      </c>
      <c r="D6" s="22" t="str">
        <f>IFERROR(__xludf.DUMMYFUNCTION("""COMPUTED_VALUE"""),"new business development")</f>
        <v>new business development</v>
      </c>
      <c r="E6" s="22" t="str">
        <f>IFERROR(__xludf.DUMMYFUNCTION("""COMPUTED_VALUE"""),"meet innovators; add value with our knowledge and experience on medical device development")</f>
        <v>meet innovators; add value with our knowledge and experience on medical device development</v>
      </c>
      <c r="F6" s="22" t="str">
        <f>IFERROR(__xludf.DUMMYFUNCTION("""COMPUTED_VALUE"""),"manufacturing")</f>
        <v>manufacturing</v>
      </c>
      <c r="H6" s="22" t="str">
        <f>VLOOKUP(B6,'new total list'!E:E,1,false)</f>
        <v>#N/A</v>
      </c>
      <c r="I6" s="22" t="str">
        <f>vlookup(A6,'new total list'!B:B,1,false)</f>
        <v>#N/A</v>
      </c>
      <c r="J6" s="14"/>
      <c r="K6" s="14" t="str">
        <f t="shared" si="1"/>
        <v>Marked</v>
      </c>
    </row>
    <row r="7">
      <c r="A7" s="22" t="str">
        <f>IFERROR(__xludf.DUMMYFUNCTION("""COMPUTED_VALUE"""),"Boudewijn Soetens")</f>
        <v>Boudewijn Soetens</v>
      </c>
      <c r="B7" s="22" t="str">
        <f>IFERROR(__xludf.DUMMYFUNCTION("""COMPUTED_VALUE"""),"boudewijn@tekkoo.nl")</f>
        <v>boudewijn@tekkoo.nl</v>
      </c>
      <c r="C7" s="22" t="str">
        <f>IFERROR(__xludf.DUMMYFUNCTION("""COMPUTED_VALUE"""),"Tekkoo")</f>
        <v>Tekkoo</v>
      </c>
      <c r="D7" s="22" t="str">
        <f>IFERROR(__xludf.DUMMYFUNCTION("""COMPUTED_VALUE"""),"Senior Innovation Lead")</f>
        <v>Senior Innovation Lead</v>
      </c>
      <c r="E7" s="22" t="str">
        <f>IFERROR(__xludf.DUMMYFUNCTION("""COMPUTED_VALUE"""),"Get to know the YesDelft ecosystem better")</f>
        <v>Get to know the YesDelft ecosystem better</v>
      </c>
      <c r="F7" s="22" t="str">
        <f>IFERROR(__xludf.DUMMYFUNCTION("""COMPUTED_VALUE"""),"we are facilitating the BlueCity Startup Studio in Rotterdam and there is a potential to work together.")</f>
        <v>we are facilitating the BlueCity Startup Studio in Rotterdam and there is a potential to work together.</v>
      </c>
      <c r="H7" s="22" t="str">
        <f>VLOOKUP(B7,'new total list'!E:E,1,false)</f>
        <v>#N/A</v>
      </c>
      <c r="I7" s="22" t="str">
        <f>vlookup(A7,'new total list'!B:B,1,false)</f>
        <v>#N/A</v>
      </c>
      <c r="J7" s="14"/>
      <c r="K7" s="14" t="str">
        <f t="shared" si="1"/>
        <v>Marked</v>
      </c>
    </row>
    <row r="8">
      <c r="A8" s="22" t="str">
        <f>IFERROR(__xludf.DUMMYFUNCTION("""COMPUTED_VALUE"""),"Katharina")</f>
        <v>Katharina</v>
      </c>
      <c r="B8" s="22" t="str">
        <f>IFERROR(__xludf.DUMMYFUNCTION("""COMPUTED_VALUE"""),"katharina.pavlin@catalyze-group.com")</f>
        <v>katharina.pavlin@catalyze-group.com</v>
      </c>
      <c r="C8" s="22" t="str">
        <f>IFERROR(__xludf.DUMMYFUNCTION("""COMPUTED_VALUE"""),"Catalyze BV")</f>
        <v>Catalyze BV</v>
      </c>
      <c r="D8" s="22" t="str">
        <f>IFERROR(__xludf.DUMMYFUNCTION("""COMPUTED_VALUE"""),"Business Developer")</f>
        <v>Business Developer</v>
      </c>
      <c r="E8" s="22" t="str">
        <f>IFERROR(__xludf.DUMMYFUNCTION("""COMPUTED_VALUE"""),"connect with startups and advice them about funding opportunities")</f>
        <v>connect with startups and advice them about funding opportunities</v>
      </c>
      <c r="F8" s="22" t="str">
        <f>IFERROR(__xludf.DUMMYFUNCTION("""COMPUTED_VALUE"""),"Energy")</f>
        <v>Energy</v>
      </c>
      <c r="H8" s="22" t="str">
        <f>VLOOKUP(B8,'new total list'!E:E,1,false)</f>
        <v>#N/A</v>
      </c>
      <c r="I8" s="22" t="str">
        <f>vlookup(A8,'new total list'!B:B,1,false)</f>
        <v>#N/A</v>
      </c>
      <c r="J8" s="14"/>
      <c r="K8" s="14" t="str">
        <f t="shared" si="1"/>
        <v>Marked</v>
      </c>
    </row>
    <row r="9">
      <c r="A9" s="22" t="str">
        <f>IFERROR(__xludf.DUMMYFUNCTION("""COMPUTED_VALUE"""),"Dymphy")</f>
        <v>Dymphy</v>
      </c>
      <c r="B9" s="22" t="str">
        <f>IFERROR(__xludf.DUMMYFUNCTION("""COMPUTED_VALUE"""),"dymphy@baatmedical.com")</f>
        <v>dymphy@baatmedical.com</v>
      </c>
      <c r="C9" s="22" t="str">
        <f>IFERROR(__xludf.DUMMYFUNCTION("""COMPUTED_VALUE"""),"BAAT Medical")</f>
        <v>BAAT Medical</v>
      </c>
      <c r="D9" s="22" t="str">
        <f>IFERROR(__xludf.DUMMYFUNCTION("""COMPUTED_VALUE"""),"Business Developer")</f>
        <v>Business Developer</v>
      </c>
      <c r="E9" s="22" t="str">
        <f>IFERROR(__xludf.DUMMYFUNCTION("""COMPUTED_VALUE"""),"Strengthen network")</f>
        <v>Strengthen network</v>
      </c>
      <c r="F9" s="22" t="str">
        <f>IFERROR(__xludf.DUMMYFUNCTION("""COMPUTED_VALUE"""),"MedTech")</f>
        <v>MedTech</v>
      </c>
      <c r="H9" s="22" t="str">
        <f>VLOOKUP(B9,'new total list'!E:E,1,false)</f>
        <v>#N/A</v>
      </c>
      <c r="I9" s="22" t="str">
        <f>vlookup(A9,'new total list'!B:B,1,false)</f>
        <v>#N/A</v>
      </c>
      <c r="J9" s="14"/>
      <c r="K9" s="14" t="str">
        <f t="shared" si="1"/>
        <v>Marked</v>
      </c>
    </row>
    <row r="10">
      <c r="A10" s="22" t="str">
        <f>IFERROR(__xludf.DUMMYFUNCTION("""COMPUTED_VALUE"""),"Jan Willem ten Dam")</f>
        <v>Jan Willem ten Dam</v>
      </c>
      <c r="B10" s="22" t="str">
        <f>IFERROR(__xludf.DUMMYFUNCTION("""COMPUTED_VALUE"""),"j.tendam@aomb.nl")</f>
        <v>j.tendam@aomb.nl</v>
      </c>
      <c r="C10" s="22" t="str">
        <f>IFERROR(__xludf.DUMMYFUNCTION("""COMPUTED_VALUE"""),"AOMB")</f>
        <v>AOMB</v>
      </c>
      <c r="D10" s="22" t="str">
        <f>IFERROR(__xludf.DUMMYFUNCTION("""COMPUTED_VALUE"""),"patent attorney")</f>
        <v>patent attorney</v>
      </c>
      <c r="E10" s="22" t="str">
        <f>IFERROR(__xludf.DUMMYFUNCTION("""COMPUTED_VALUE"""),"As an Industrial Design Engineering alumnus with friends active in YES!Delft startups")</f>
        <v>As an Industrial Design Engineering alumnus with friends active in YES!Delft startups</v>
      </c>
      <c r="F10" s="22" t="str">
        <f>IFERROR(__xludf.DUMMYFUNCTION("""COMPUTED_VALUE"""),"I want to catch up on what happens at YES!Delft and network with new startups.")</f>
        <v>I want to catch up on what happens at YES!Delft and network with new startups.</v>
      </c>
      <c r="H10" s="22" t="str">
        <f>VLOOKUP(B10,'new total list'!E:E,1,false)</f>
        <v>#N/A</v>
      </c>
      <c r="I10" s="22" t="str">
        <f>vlookup(A10,'new total list'!B:B,1,false)</f>
        <v>#N/A</v>
      </c>
      <c r="J10" s="14"/>
      <c r="K10" s="14" t="str">
        <f t="shared" si="1"/>
        <v>Marked</v>
      </c>
    </row>
    <row r="11">
      <c r="A11" s="22" t="str">
        <f>IFERROR(__xludf.DUMMYFUNCTION("""COMPUTED_VALUE"""),"Anita Lieverdink")</f>
        <v>Anita Lieverdink</v>
      </c>
      <c r="B11" s="22" t="str">
        <f>IFERROR(__xludf.DUMMYFUNCTION("""COMPUTED_VALUE"""),"anita.lieverdink@aic4nl.nl")</f>
        <v>anita.lieverdink@aic4nl.nl</v>
      </c>
      <c r="C11" s="22" t="str">
        <f>IFERROR(__xludf.DUMMYFUNCTION("""COMPUTED_VALUE"""),"AIC4NL")</f>
        <v>AIC4NL</v>
      </c>
      <c r="D11" s="22" t="str">
        <f>IFERROR(__xludf.DUMMYFUNCTION("""COMPUTED_VALUE"""),"Lead AI scale-up program")</f>
        <v>Lead AI scale-up program</v>
      </c>
      <c r="E11" s="22" t="str">
        <f>IFERROR(__xludf.DUMMYFUNCTION("""COMPUTED_VALUE"""),"scouting AI startups")</f>
        <v>scouting AI startups</v>
      </c>
      <c r="F11" s="22" t="str">
        <f>IFERROR(__xludf.DUMMYFUNCTION("""COMPUTED_VALUE"""),"Energy")</f>
        <v>Energy</v>
      </c>
      <c r="H11" s="22" t="str">
        <f>VLOOKUP(B11,'new total list'!E:E,1,false)</f>
        <v>anita.lieverdink@aic4nl.nl</v>
      </c>
      <c r="I11" s="22" t="str">
        <f>vlookup(A11,'new total list'!B:B,1,false)</f>
        <v>Anita Lieverdink</v>
      </c>
      <c r="J11" s="14"/>
      <c r="K11" s="14" t="str">
        <f t="shared" si="1"/>
        <v/>
      </c>
    </row>
    <row r="12">
      <c r="A12" s="22" t="str">
        <f>IFERROR(__xludf.DUMMYFUNCTION("""COMPUTED_VALUE"""),"Bob")</f>
        <v>Bob</v>
      </c>
      <c r="B12" s="22" t="str">
        <f>IFERROR(__xludf.DUMMYFUNCTION("""COMPUTED_VALUE"""),"b.stassar@benedictpeax.com")</f>
        <v>b.stassar@benedictpeax.com</v>
      </c>
      <c r="C12" s="22" t="str">
        <f>IFERROR(__xludf.DUMMYFUNCTION("""COMPUTED_VALUE"""),"Benedict Peax")</f>
        <v>Benedict Peax</v>
      </c>
      <c r="D12" s="22" t="str">
        <f>IFERROR(__xludf.DUMMYFUNCTION("""COMPUTED_VALUE"""),"Directeur")</f>
        <v>Directeur</v>
      </c>
      <c r="E12" s="22" t="str">
        <f>IFERROR(__xludf.DUMMYFUNCTION("""COMPUTED_VALUE"""),"Contacts")</f>
        <v>Contacts</v>
      </c>
      <c r="F12" s="22" t="str">
        <f>IFERROR(__xludf.DUMMYFUNCTION("""COMPUTED_VALUE"""),"leads")</f>
        <v>leads</v>
      </c>
      <c r="H12" s="22" t="str">
        <f>VLOOKUP(B12,'new total list'!E:E,1,false)</f>
        <v>b.stassar@benedictpeax.com</v>
      </c>
      <c r="I12" s="22" t="str">
        <f>vlookup(A12,'new total list'!B:B,1,false)</f>
        <v>#N/A</v>
      </c>
      <c r="J12" s="14"/>
      <c r="K12" s="14" t="str">
        <f t="shared" si="1"/>
        <v/>
      </c>
    </row>
    <row r="13">
      <c r="A13" s="22" t="str">
        <f>IFERROR(__xludf.DUMMYFUNCTION("""COMPUTED_VALUE"""),"Bram")</f>
        <v>Bram</v>
      </c>
      <c r="B13" s="22" t="str">
        <f>IFERROR(__xludf.DUMMYFUNCTION("""COMPUTED_VALUE"""),"am.spitzer@pzh.nl")</f>
        <v>am.spitzer@pzh.nl</v>
      </c>
      <c r="C13" s="22" t="str">
        <f>IFERROR(__xludf.DUMMYFUNCTION("""COMPUTED_VALUE"""),"Founded in South Holland")</f>
        <v>Founded in South Holland</v>
      </c>
      <c r="D13" s="22" t="str">
        <f>IFERROR(__xludf.DUMMYFUNCTION("""COMPUTED_VALUE"""),"Public Lead")</f>
        <v>Public Lead</v>
      </c>
      <c r="E13" s="22" t="str">
        <f>IFERROR(__xludf.DUMMYFUNCTION("""COMPUTED_VALUE"""),"Network")</f>
        <v>Network</v>
      </c>
      <c r="F13" s="22" t="str">
        <f>IFERROR(__xludf.DUMMYFUNCTION("""COMPUTED_VALUE"""),"Energy")</f>
        <v>Energy</v>
      </c>
      <c r="H13" s="22" t="str">
        <f>VLOOKUP(B13,'new total list'!E:E,1,false)</f>
        <v>am.spitzer@pzh.nl</v>
      </c>
      <c r="I13" s="22" t="str">
        <f>vlookup(A13,'new total list'!B:B,1,false)</f>
        <v>#N/A</v>
      </c>
      <c r="J13" s="14"/>
      <c r="K13" s="14" t="str">
        <f t="shared" si="1"/>
        <v/>
      </c>
    </row>
    <row r="14">
      <c r="A14" s="22" t="str">
        <f>IFERROR(__xludf.DUMMYFUNCTION("""COMPUTED_VALUE"""),"Freek Smoes")</f>
        <v>Freek Smoes</v>
      </c>
      <c r="B14" s="22" t="str">
        <f>IFERROR(__xludf.DUMMYFUNCTION("""COMPUTED_VALUE"""),"freek@yesdelft.nl")</f>
        <v>freek@yesdelft.nl</v>
      </c>
      <c r="C14" s="22" t="str">
        <f>IFERROR(__xludf.DUMMYFUNCTION("""COMPUTED_VALUE"""),"YES!Delft")</f>
        <v>YES!Delft</v>
      </c>
      <c r="D14" s="22" t="str">
        <f>IFERROR(__xludf.DUMMYFUNCTION("""COMPUTED_VALUE"""),"Head of Incubator")</f>
        <v>Head of Incubator</v>
      </c>
      <c r="E14" s="22" t="str">
        <f>IFERROR(__xludf.DUMMYFUNCTION("""COMPUTED_VALUE"""),"Valuable connections")</f>
        <v>Valuable connections</v>
      </c>
      <c r="F14" s="22" t="str">
        <f>IFERROR(__xludf.DUMMYFUNCTION("""COMPUTED_VALUE"""),"​Aerospace")</f>
        <v>​Aerospace</v>
      </c>
      <c r="H14" s="22" t="str">
        <f>VLOOKUP(B14,'new total list'!E:E,1,false)</f>
        <v>freek@yesdelft.nl</v>
      </c>
      <c r="I14" s="22" t="str">
        <f>vlookup(A14,'new total list'!B:B,1,false)</f>
        <v>Freek Smoes</v>
      </c>
      <c r="J14" s="14"/>
      <c r="K14" s="14" t="str">
        <f t="shared" si="1"/>
        <v/>
      </c>
      <c r="L14" s="7" t="s">
        <v>173</v>
      </c>
      <c r="M14" s="7" t="s">
        <v>176</v>
      </c>
    </row>
    <row r="15">
      <c r="A15" s="22" t="str">
        <f>IFERROR(__xludf.DUMMYFUNCTION("""COMPUTED_VALUE"""),"Danique Engelberts")</f>
        <v>Danique Engelberts</v>
      </c>
      <c r="B15" s="22" t="str">
        <f>IFERROR(__xludf.DUMMYFUNCTION("""COMPUTED_VALUE"""),"danique@yesdelft.nl")</f>
        <v>danique@yesdelft.nl</v>
      </c>
      <c r="C15" s="22" t="str">
        <f>IFERROR(__xludf.DUMMYFUNCTION("""COMPUTED_VALUE"""),"YES!Delft")</f>
        <v>YES!Delft</v>
      </c>
      <c r="D15" s="22" t="str">
        <f>IFERROR(__xludf.DUMMYFUNCTION("""COMPUTED_VALUE"""),"Event Manager")</f>
        <v>Event Manager</v>
      </c>
      <c r="E15" s="22" t="str">
        <f>IFERROR(__xludf.DUMMYFUNCTION("""COMPUTED_VALUE"""),"Succes!")</f>
        <v>Succes!</v>
      </c>
      <c r="F15" s="22" t="str">
        <f>IFERROR(__xludf.DUMMYFUNCTION("""COMPUTED_VALUE"""),"Energy")</f>
        <v>Energy</v>
      </c>
      <c r="H15" s="22" t="str">
        <f>VLOOKUP(B15,'new total list'!E:E,1,false)</f>
        <v>Danique@yesdelft.nl</v>
      </c>
      <c r="I15" s="22" t="str">
        <f>vlookup(A15,'new total list'!B:B,1,false)</f>
        <v>#N/A</v>
      </c>
      <c r="J15" s="14"/>
      <c r="K15" s="14" t="str">
        <f t="shared" si="1"/>
        <v/>
      </c>
    </row>
    <row r="16">
      <c r="A16" s="22" t="str">
        <f>IFERROR(__xludf.DUMMYFUNCTION("""COMPUTED_VALUE"""),"Fabian Groeneveld")</f>
        <v>Fabian Groeneveld</v>
      </c>
      <c r="B16" s="22" t="str">
        <f>IFERROR(__xludf.DUMMYFUNCTION("""COMPUTED_VALUE"""),"fabian.groeneveld@rabobank.nl")</f>
        <v>fabian.groeneveld@rabobank.nl</v>
      </c>
      <c r="C16" s="22" t="str">
        <f>IFERROR(__xludf.DUMMYFUNCTION("""COMPUTED_VALUE"""),"Rabobank")</f>
        <v>Rabobank</v>
      </c>
      <c r="D16" s="22" t="str">
        <f>IFERROR(__xludf.DUMMYFUNCTION("""COMPUTED_VALUE"""),"Startup &amp; Scale-up Banker")</f>
        <v>Startup &amp; Scale-up Banker</v>
      </c>
      <c r="E16" s="22" t="str">
        <f>IFERROR(__xludf.DUMMYFUNCTION("""COMPUTED_VALUE"""),"Network connections")</f>
        <v>Network connections</v>
      </c>
      <c r="F16" s="22" t="str">
        <f>IFERROR(__xludf.DUMMYFUNCTION("""COMPUTED_VALUE"""),"Maritime")</f>
        <v>Maritime</v>
      </c>
      <c r="H16" s="22" t="str">
        <f>VLOOKUP(B16,'new total list'!E:E,1,false)</f>
        <v>fabian.groeneveld@rabobank.nl</v>
      </c>
      <c r="I16" s="22" t="str">
        <f>vlookup(A16,'new total list'!B:B,1,false)</f>
        <v>Fabian Groeneveld</v>
      </c>
      <c r="J16" s="14"/>
      <c r="K16" s="14" t="str">
        <f t="shared" si="1"/>
        <v/>
      </c>
    </row>
    <row r="17">
      <c r="A17" s="22" t="str">
        <f>IFERROR(__xludf.DUMMYFUNCTION("""COMPUTED_VALUE"""),"Daniel Kofman")</f>
        <v>Daniel Kofman</v>
      </c>
      <c r="B17" s="22" t="str">
        <f>IFERROR(__xludf.DUMMYFUNCTION("""COMPUTED_VALUE"""),"daniel.kofman@siemens.com")</f>
        <v>daniel.kofman@siemens.com</v>
      </c>
      <c r="C17" s="22" t="str">
        <f>IFERROR(__xludf.DUMMYFUNCTION("""COMPUTED_VALUE"""),"Siemens Digital Industries")</f>
        <v>Siemens Digital Industries</v>
      </c>
      <c r="D17" s="22" t="str">
        <f>IFERROR(__xludf.DUMMYFUNCTION("""COMPUTED_VALUE"""),"Education Xcelerator")</f>
        <v>Education Xcelerator</v>
      </c>
      <c r="E17" s="22" t="str">
        <f>IFERROR(__xludf.DUMMYFUNCTION("""COMPUTED_VALUE"""),"meet interesting startus to support")</f>
        <v>meet interesting startus to support</v>
      </c>
      <c r="F17" s="22" t="str">
        <f>IFERROR(__xludf.DUMMYFUNCTION("""COMPUTED_VALUE"""),"Dual Use")</f>
        <v>Dual Use</v>
      </c>
      <c r="H17" s="22" t="str">
        <f>VLOOKUP(B17,'new total list'!E:E,1,false)</f>
        <v>daniel.kofman@siemens.com</v>
      </c>
      <c r="I17" s="22" t="str">
        <f>vlookup(A17,'new total list'!B:B,1,false)</f>
        <v>Daniel Kofman</v>
      </c>
      <c r="J17" s="14"/>
      <c r="K17" s="14" t="str">
        <f t="shared" si="1"/>
        <v/>
      </c>
    </row>
    <row r="18">
      <c r="A18" s="22" t="str">
        <f>IFERROR(__xludf.DUMMYFUNCTION("""COMPUTED_VALUE"""),"Floris Blonk")</f>
        <v>Floris Blonk</v>
      </c>
      <c r="B18" s="22" t="str">
        <f>IFERROR(__xludf.DUMMYFUNCTION("""COMPUTED_VALUE"""),"floris.blonk@energy-innovation.nl")</f>
        <v>floris.blonk@energy-innovation.nl</v>
      </c>
      <c r="C18" s="22" t="str">
        <f>IFERROR(__xludf.DUMMYFUNCTION("""COMPUTED_VALUE"""),"Energy Innovation NL")</f>
        <v>Energy Innovation NL</v>
      </c>
      <c r="D18" s="22" t="str">
        <f>IFERROR(__xludf.DUMMYFUNCTION("""COMPUTED_VALUE"""),"Program Manager")</f>
        <v>Program Manager</v>
      </c>
      <c r="E18" s="22" t="str">
        <f>IFERROR(__xludf.DUMMYFUNCTION("""COMPUTED_VALUE"""),"Scout new offshore renewable energy startups")</f>
        <v>Scout new offshore renewable energy startups</v>
      </c>
      <c r="F18" s="22" t="str">
        <f>IFERROR(__xludf.DUMMYFUNCTION("""COMPUTED_VALUE"""),"get insight in latest developments and needs.")</f>
        <v>get insight in latest developments and needs.</v>
      </c>
      <c r="H18" s="22" t="str">
        <f>VLOOKUP(B18,'new total list'!E:E,1,false)</f>
        <v>#N/A</v>
      </c>
      <c r="I18" s="22" t="str">
        <f>vlookup(A18,'new total list'!B:B,1,false)</f>
        <v>Floris Blonk</v>
      </c>
      <c r="J18" s="14"/>
      <c r="K18" s="14" t="str">
        <f t="shared" si="1"/>
        <v/>
      </c>
    </row>
    <row r="19">
      <c r="A19" s="22" t="str">
        <f>IFERROR(__xludf.DUMMYFUNCTION("""COMPUTED_VALUE"""),"Anske Plante")</f>
        <v>Anske Plante</v>
      </c>
      <c r="B19" s="22" t="str">
        <f>IFERROR(__xludf.DUMMYFUNCTION("""COMPUTED_VALUE"""),"j.a.plante@tudelft.nl")</f>
        <v>j.a.plante@tudelft.nl</v>
      </c>
      <c r="C19" s="22" t="str">
        <f>IFERROR(__xludf.DUMMYFUNCTION("""COMPUTED_VALUE"""),"TU Delft - Technische Universiteit Delft")</f>
        <v>TU Delft - Technische Universiteit Delft</v>
      </c>
      <c r="D19" s="22" t="str">
        <f>IFERROR(__xludf.DUMMYFUNCTION("""COMPUTED_VALUE"""),"Accountmanager")</f>
        <v>Accountmanager</v>
      </c>
      <c r="E19" s="22" t="str">
        <f>IFERROR(__xludf.DUMMYFUNCTION("""COMPUTED_VALUE"""),"making connections between startups and sme")</f>
        <v>making connections between startups and sme</v>
      </c>
      <c r="F19" s="22" t="str">
        <f>IFERROR(__xludf.DUMMYFUNCTION("""COMPUTED_VALUE"""),"Energy")</f>
        <v>Energy</v>
      </c>
      <c r="H19" s="22" t="str">
        <f>VLOOKUP(B19,'new total list'!E:E,1,false)</f>
        <v>j.a.plante@tudelft.nl</v>
      </c>
      <c r="I19" s="22" t="str">
        <f>vlookup(A19,'new total list'!B:B,1,false)</f>
        <v>Anske Plante</v>
      </c>
      <c r="J19" s="14"/>
      <c r="K19" s="14" t="str">
        <f t="shared" si="1"/>
        <v/>
      </c>
    </row>
    <row r="20">
      <c r="A20" s="22" t="str">
        <f>IFERROR(__xludf.DUMMYFUNCTION("""COMPUTED_VALUE"""),"Jemy Pauwels")</f>
        <v>Jemy Pauwels</v>
      </c>
      <c r="B20" s="22" t="str">
        <f>IFERROR(__xludf.DUMMYFUNCTION("""COMPUTED_VALUE"""),"jemy.pauwels@demcon.com")</f>
        <v>jemy.pauwels@demcon.com</v>
      </c>
      <c r="C20" s="22" t="str">
        <f>IFERROR(__xludf.DUMMYFUNCTION("""COMPUTED_VALUE"""),"UDT TechFund by VDL &amp; DEMCON")</f>
        <v>UDT TechFund by VDL &amp; DEMCON</v>
      </c>
      <c r="D20" s="22" t="str">
        <f>IFERROR(__xludf.DUMMYFUNCTION("""COMPUTED_VALUE"""),"Investment Director")</f>
        <v>Investment Director</v>
      </c>
      <c r="E20" s="22" t="str">
        <f>IFERROR(__xludf.DUMMYFUNCTION("""COMPUTED_VALUE"""),"Investments")</f>
        <v>Investments</v>
      </c>
      <c r="F20" s="22" t="str">
        <f>IFERROR(__xludf.DUMMYFUNCTION("""COMPUTED_VALUE"""),"Maritime")</f>
        <v>Maritime</v>
      </c>
      <c r="H20" s="22" t="str">
        <f>VLOOKUP(B20,'new total list'!E:E,1,false)</f>
        <v>jemy.pauwels@demcon.com</v>
      </c>
      <c r="I20" s="22" t="str">
        <f>vlookup(A20,'new total list'!B:B,1,false)</f>
        <v>Jemy Pauwels</v>
      </c>
      <c r="J20" s="14"/>
      <c r="K20" s="14" t="str">
        <f t="shared" si="1"/>
        <v/>
      </c>
    </row>
    <row r="21">
      <c r="A21" s="22" t="str">
        <f>IFERROR(__xludf.DUMMYFUNCTION("""COMPUTED_VALUE"""),"brian stout")</f>
        <v>brian stout</v>
      </c>
      <c r="B21" s="22" t="str">
        <f>IFERROR(__xludf.DUMMYFUNCTION("""COMPUTED_VALUE"""),"brian.stout@ziggo.nl")</f>
        <v>brian.stout@ziggo.nl</v>
      </c>
      <c r="C21" s="22" t="str">
        <f>IFERROR(__xludf.DUMMYFUNCTION("""COMPUTED_VALUE"""),"Stout Managament Services BV")</f>
        <v>Stout Managament Services BV</v>
      </c>
      <c r="D21" s="22" t="str">
        <f>IFERROR(__xludf.DUMMYFUNCTION("""COMPUTED_VALUE"""),"Directeur")</f>
        <v>Directeur</v>
      </c>
      <c r="E21" s="22" t="str">
        <f>IFERROR(__xludf.DUMMYFUNCTION("""COMPUTED_VALUE"""),"To understand what new exciting ideas are there and how I can contribute as a mentor")</f>
        <v>To understand what new exciting ideas are there and how I can contribute as a mentor</v>
      </c>
      <c r="F21" s="22" t="str">
        <f>IFERROR(__xludf.DUMMYFUNCTION("""COMPUTED_VALUE"""),"Dual Use")</f>
        <v>Dual Use</v>
      </c>
      <c r="H21" s="22" t="str">
        <f>VLOOKUP(B21,'new total list'!E:E,1,false)</f>
        <v>brian.stout@ziggo.nl</v>
      </c>
      <c r="I21" s="22" t="str">
        <f>vlookup(A21,'new total list'!B:B,1,false)</f>
        <v>Brian Stout</v>
      </c>
      <c r="J21" s="14"/>
      <c r="K21" s="14" t="str">
        <f t="shared" si="1"/>
        <v/>
      </c>
    </row>
    <row r="22">
      <c r="A22" s="22" t="str">
        <f>IFERROR(__xludf.DUMMYFUNCTION("""COMPUTED_VALUE"""),"Tomba Paagman")</f>
        <v>Tomba Paagman</v>
      </c>
      <c r="B22" s="22" t="str">
        <f>IFERROR(__xludf.DUMMYFUNCTION("""COMPUTED_VALUE"""),"tomba.paagman@campusatsea.nl")</f>
        <v>tomba.paagman@campusatsea.nl</v>
      </c>
      <c r="C22" s="22" t="str">
        <f>IFERROR(__xludf.DUMMYFUNCTION("""COMPUTED_VALUE"""),"Campus@Sea")</f>
        <v>Campus@Sea</v>
      </c>
      <c r="D22" s="22" t="str">
        <f>IFERROR(__xludf.DUMMYFUNCTION("""COMPUTED_VALUE"""),"Junior Project Manager")</f>
        <v>Junior Project Manager</v>
      </c>
      <c r="E22" s="22" t="str">
        <f>IFERROR(__xludf.DUMMYFUNCTION("""COMPUTED_VALUE"""),"Learning the new generation of innovators")</f>
        <v>Learning the new generation of innovators</v>
      </c>
      <c r="F22" s="22" t="str">
        <f>IFERROR(__xludf.DUMMYFUNCTION("""COMPUTED_VALUE"""),"Maritime")</f>
        <v>Maritime</v>
      </c>
      <c r="H22" s="22" t="str">
        <f>VLOOKUP(B22,'new total list'!E:E,1,false)</f>
        <v>#N/A</v>
      </c>
      <c r="I22" s="22" t="str">
        <f>vlookup(A22,'new total list'!B:B,1,false)</f>
        <v>#N/A</v>
      </c>
      <c r="J22" s="14"/>
      <c r="K22" s="14" t="str">
        <f t="shared" si="1"/>
        <v>Marked</v>
      </c>
    </row>
    <row r="23">
      <c r="A23" s="22" t="str">
        <f>IFERROR(__xludf.DUMMYFUNCTION("""COMPUTED_VALUE"""),"Maarten van der Elst")</f>
        <v>Maarten van der Elst</v>
      </c>
      <c r="B23" s="22" t="str">
        <f>IFERROR(__xludf.DUMMYFUNCTION("""COMPUTED_VALUE"""),"m.vanderelst@tudelft.nl")</f>
        <v>m.vanderelst@tudelft.nl</v>
      </c>
      <c r="C23" s="22" t="str">
        <f>IFERROR(__xludf.DUMMYFUNCTION("""COMPUTED_VALUE"""),"Delft University of Technology")</f>
        <v>Delft University of Technology</v>
      </c>
      <c r="D23" s="22" t="str">
        <f>IFERROR(__xludf.DUMMYFUNCTION("""COMPUTED_VALUE"""),"Prof dr")</f>
        <v>Prof dr</v>
      </c>
      <c r="E23" s="22" t="str">
        <f>IFERROR(__xludf.DUMMYFUNCTION("""COMPUTED_VALUE"""),"To see what is new in healthtech")</f>
        <v>To see what is new in healthtech</v>
      </c>
      <c r="F23" s="22" t="str">
        <f>IFERROR(__xludf.DUMMYFUNCTION("""COMPUTED_VALUE"""),"MedTech")</f>
        <v>MedTech</v>
      </c>
      <c r="H23" s="45" t="str">
        <f>VLOOKUP(B23,'new total list'!E:E,1,false)</f>
        <v>M.vanderElst@tudelft.nl</v>
      </c>
      <c r="I23" s="22" t="str">
        <f>vlookup(A23,'new total list'!B:B,1,false)</f>
        <v>Maarten van der Elst</v>
      </c>
      <c r="J23" s="14"/>
      <c r="K23" s="14" t="str">
        <f t="shared" si="1"/>
        <v/>
      </c>
    </row>
    <row r="24">
      <c r="A24" s="22" t="str">
        <f>IFERROR(__xludf.DUMMYFUNCTION("""COMPUTED_VALUE"""),"Joris Meijaard")</f>
        <v>Joris Meijaard</v>
      </c>
      <c r="B24" s="22" t="str">
        <f>IFERROR(__xludf.DUMMYFUNCTION("""COMPUTED_VALUE"""),"meijaard@rsm.nl")</f>
        <v>meijaard@rsm.nl</v>
      </c>
      <c r="C24" s="22" t="str">
        <f>IFERROR(__xludf.DUMMYFUNCTION("""COMPUTED_VALUE"""),"RSM/MIR/Yes!Delft")</f>
        <v>RSM/MIR/Yes!Delft</v>
      </c>
      <c r="D24" s="22" t="str">
        <f>IFERROR(__xludf.DUMMYFUNCTION("""COMPUTED_VALUE"""),"Academic director")</f>
        <v>Academic director</v>
      </c>
      <c r="E24" s="22" t="str">
        <f>IFERROR(__xludf.DUMMYFUNCTION("""COMPUTED_VALUE"""),"Inspiration")</f>
        <v>Inspiration</v>
      </c>
      <c r="F24" s="22" t="str">
        <f>IFERROR(__xludf.DUMMYFUNCTION("""COMPUTED_VALUE"""),"​Aerospace")</f>
        <v>​Aerospace</v>
      </c>
      <c r="H24" s="22" t="str">
        <f>VLOOKUP(B24,'new total list'!E:E,1,false)</f>
        <v>meijaard@rsm.nl</v>
      </c>
      <c r="I24" s="22" t="str">
        <f>vlookup(A24,'new total list'!B:B,1,false)</f>
        <v>Joris Meijaard</v>
      </c>
      <c r="J24" s="14"/>
      <c r="K24" s="14" t="str">
        <f t="shared" si="1"/>
        <v/>
      </c>
    </row>
    <row r="25">
      <c r="A25" s="22" t="str">
        <f>IFERROR(__xludf.DUMMYFUNCTION("""COMPUTED_VALUE"""),"Philip Hess")</f>
        <v>Philip Hess</v>
      </c>
      <c r="B25" s="22" t="str">
        <f>IFERROR(__xludf.DUMMYFUNCTION("""COMPUTED_VALUE"""),"p.hess@rotterdamfactoring.nl")</f>
        <v>p.hess@rotterdamfactoring.nl</v>
      </c>
      <c r="C25" s="22" t="str">
        <f>IFERROR(__xludf.DUMMYFUNCTION("""COMPUTED_VALUE"""),"Rotterdam Factoring")</f>
        <v>Rotterdam Factoring</v>
      </c>
      <c r="D25" s="22" t="str">
        <f>IFERROR(__xludf.DUMMYFUNCTION("""COMPUTED_VALUE"""),"CEO")</f>
        <v>CEO</v>
      </c>
      <c r="E25" s="22" t="str">
        <f>IFERROR(__xludf.DUMMYFUNCTION("""COMPUTED_VALUE"""),"Connections and ideas")</f>
        <v>Connections and ideas</v>
      </c>
      <c r="F25" s="22" t="str">
        <f>IFERROR(__xludf.DUMMYFUNCTION("""COMPUTED_VALUE"""),"Energy")</f>
        <v>Energy</v>
      </c>
      <c r="H25" s="22" t="str">
        <f>VLOOKUP(B25,'new total list'!E:E,1,false)</f>
        <v>p.hess@rotterdamfactoring.nl</v>
      </c>
      <c r="I25" s="22" t="str">
        <f>vlookup(A25,'new total list'!B:B,1,false)</f>
        <v>Philip Hess</v>
      </c>
      <c r="J25" s="14"/>
      <c r="K25" s="14" t="str">
        <f t="shared" si="1"/>
        <v/>
      </c>
    </row>
    <row r="26">
      <c r="A26" s="22" t="str">
        <f>IFERROR(__xludf.DUMMYFUNCTION("""COMPUTED_VALUE"""),"Loet Rummenie")</f>
        <v>Loet Rummenie</v>
      </c>
      <c r="B26" s="22" t="str">
        <f>IFERROR(__xludf.DUMMYFUNCTION("""COMPUTED_VALUE"""),"loet.rummenie@hiceu.com")</f>
        <v>loet.rummenie@hiceu.com</v>
      </c>
      <c r="C26" s="22" t="str">
        <f>IFERROR(__xludf.DUMMYFUNCTION("""COMPUTED_VALUE"""),"HIC")</f>
        <v>HIC</v>
      </c>
      <c r="D26" s="22" t="str">
        <f>IFERROR(__xludf.DUMMYFUNCTION("""COMPUTED_VALUE"""),"Managing Director")</f>
        <v>Managing Director</v>
      </c>
      <c r="E26" s="22" t="str">
        <f>IFERROR(__xludf.DUMMYFUNCTION("""COMPUTED_VALUE"""),"network")</f>
        <v>network</v>
      </c>
      <c r="F26" s="22" t="str">
        <f>IFERROR(__xludf.DUMMYFUNCTION("""COMPUTED_VALUE"""),"Energy")</f>
        <v>Energy</v>
      </c>
      <c r="H26" s="22" t="str">
        <f>VLOOKUP(B26,'new total list'!E:E,1,false)</f>
        <v>loet.rummenie@hiceu.com</v>
      </c>
      <c r="I26" s="22" t="str">
        <f>vlookup(A26,'new total list'!B:B,1,false)</f>
        <v>Loet Rummenie</v>
      </c>
      <c r="J26" s="14"/>
      <c r="K26" s="14" t="str">
        <f t="shared" si="1"/>
        <v/>
      </c>
    </row>
    <row r="27">
      <c r="A27" s="22" t="str">
        <f>IFERROR(__xludf.DUMMYFUNCTION("""COMPUTED_VALUE"""),"Marlies Lukkes")</f>
        <v>Marlies Lukkes</v>
      </c>
      <c r="B27" s="22" t="str">
        <f>IFERROR(__xludf.DUMMYFUNCTION("""COMPUTED_VALUE"""),"m.lukkes@shell.com")</f>
        <v>m.lukkes@shell.com</v>
      </c>
      <c r="C27" s="22" t="str">
        <f>IFERROR(__xludf.DUMMYFUNCTION("""COMPUTED_VALUE"""),"Shell")</f>
        <v>Shell</v>
      </c>
      <c r="D27" s="22" t="str">
        <f>IFERROR(__xludf.DUMMYFUNCTION("""COMPUTED_VALUE"""),"Commercial partnership manager")</f>
        <v>Commercial partnership manager</v>
      </c>
      <c r="E27" s="22" t="str">
        <f>IFERROR(__xludf.DUMMYFUNCTION("""COMPUTED_VALUE"""),"connect with startups and wider ecosystem")</f>
        <v>connect with startups and wider ecosystem</v>
      </c>
      <c r="F27" s="22" t="str">
        <f>IFERROR(__xludf.DUMMYFUNCTION("""COMPUTED_VALUE"""),"Maritime")</f>
        <v>Maritime</v>
      </c>
      <c r="H27" s="22" t="str">
        <f>VLOOKUP(B27,'new total list'!E:E,1,false)</f>
        <v>m.lukkes@shell.com</v>
      </c>
      <c r="I27" s="22" t="str">
        <f>vlookup(A27,'new total list'!B:B,1,false)</f>
        <v>Marlies Lukkes</v>
      </c>
      <c r="J27" s="14"/>
      <c r="K27" s="14" t="str">
        <f t="shared" si="1"/>
        <v/>
      </c>
    </row>
    <row r="28">
      <c r="A28" s="22" t="str">
        <f>IFERROR(__xludf.DUMMYFUNCTION("""COMPUTED_VALUE"""),"Jelle Post")</f>
        <v>Jelle Post</v>
      </c>
      <c r="B28" s="22" t="str">
        <f>IFERROR(__xludf.DUMMYFUNCTION("""COMPUTED_VALUE"""),"jelle.post@tudelft.nl")</f>
        <v>jelle.post@tudelft.nl</v>
      </c>
      <c r="C28" s="22" t="str">
        <f>IFERROR(__xludf.DUMMYFUNCTION("""COMPUTED_VALUE"""),"Delft Enterprises")</f>
        <v>Delft Enterprises</v>
      </c>
      <c r="D28" s="22" t="str">
        <f>IFERROR(__xludf.DUMMYFUNCTION("""COMPUTED_VALUE"""),"Investment Manager")</f>
        <v>Investment Manager</v>
      </c>
      <c r="E28" s="22" t="str">
        <f>IFERROR(__xludf.DUMMYFUNCTION("""COMPUTED_VALUE"""),"Supporting our spin-offs &amp; network")</f>
        <v>Supporting our spin-offs &amp; network</v>
      </c>
      <c r="F28" s="22" t="str">
        <f>IFERROR(__xludf.DUMMYFUNCTION("""COMPUTED_VALUE"""),"​Future of Compute")</f>
        <v>​Future of Compute</v>
      </c>
      <c r="H28" s="22" t="str">
        <f>VLOOKUP(B28,'new total list'!E:E,1,false)</f>
        <v>jelle.post@tudelft.nl</v>
      </c>
      <c r="I28" s="22" t="str">
        <f>vlookup(A28,'new total list'!B:B,1,false)</f>
        <v>Jelle Post</v>
      </c>
      <c r="J28" s="14"/>
      <c r="K28" s="14" t="str">
        <f t="shared" si="1"/>
        <v/>
      </c>
    </row>
    <row r="29">
      <c r="A29" s="22" t="str">
        <f>IFERROR(__xludf.DUMMYFUNCTION("""COMPUTED_VALUE"""),"richard. van der Vegt")</f>
        <v>richard. van der Vegt</v>
      </c>
      <c r="B29" s="22" t="str">
        <f>IFERROR(__xludf.DUMMYFUNCTION("""COMPUTED_VALUE"""),"rg.vd.vegt@mindef.nl")</f>
        <v>rg.vd.vegt@mindef.nl</v>
      </c>
      <c r="C29" s="22" t="str">
        <f>IFERROR(__xludf.DUMMYFUNCTION("""COMPUTED_VALUE"""),"TNO DSS")</f>
        <v>TNO DSS</v>
      </c>
      <c r="D29" s="22" t="str">
        <f>IFERROR(__xludf.DUMMYFUNCTION("""COMPUTED_VALUE"""),"Business Manager")</f>
        <v>Business Manager</v>
      </c>
      <c r="E29" s="22" t="str">
        <f>IFERROR(__xludf.DUMMYFUNCTION("""COMPUTED_VALUE"""),"learning")</f>
        <v>learning</v>
      </c>
      <c r="F29" s="22" t="str">
        <f>IFERROR(__xludf.DUMMYFUNCTION("""COMPUTED_VALUE"""),"Dual Use")</f>
        <v>Dual Use</v>
      </c>
      <c r="H29" s="22" t="str">
        <f>VLOOKUP(B29,'new total list'!E:E,1,false)</f>
        <v>rg.vd.vegt@mindef.nl</v>
      </c>
      <c r="I29" s="22" t="str">
        <f>vlookup(A29,'new total list'!B:B,1,false)</f>
        <v>#N/A</v>
      </c>
      <c r="J29" s="14"/>
      <c r="K29" s="14" t="str">
        <f t="shared" si="1"/>
        <v/>
      </c>
    </row>
    <row r="30">
      <c r="A30" s="22" t="str">
        <f>IFERROR(__xludf.DUMMYFUNCTION("""COMPUTED_VALUE"""),"Sander Peltenburg")</f>
        <v>Sander Peltenburg</v>
      </c>
      <c r="B30" s="22" t="str">
        <f>IFERROR(__xludf.DUMMYFUNCTION("""COMPUTED_VALUE"""),"sander.peltenburg@rabobank.nl")</f>
        <v>sander.peltenburg@rabobank.nl</v>
      </c>
      <c r="C30" s="22" t="str">
        <f>IFERROR(__xludf.DUMMYFUNCTION("""COMPUTED_VALUE"""),"Rabobank")</f>
        <v>Rabobank</v>
      </c>
      <c r="D30" s="22" t="str">
        <f>IFERROR(__xludf.DUMMYFUNCTION("""COMPUTED_VALUE"""),"start and scaleup banker")</f>
        <v>start and scaleup banker</v>
      </c>
      <c r="E30" s="22" t="str">
        <f>IFERROR(__xludf.DUMMYFUNCTION("""COMPUTED_VALUE"""),"meet the startups")</f>
        <v>meet the startups</v>
      </c>
      <c r="F30" s="22" t="str">
        <f>IFERROR(__xludf.DUMMYFUNCTION("""COMPUTED_VALUE"""),"Energy")</f>
        <v>Energy</v>
      </c>
      <c r="H30" s="45" t="str">
        <f>VLOOKUP(B30,'new total list'!E:E,1,false)</f>
        <v>sander.peltenburg@rabobank.nl</v>
      </c>
      <c r="I30" s="22" t="str">
        <f>vlookup(A30,'new total list'!B:B,1,false)</f>
        <v>Sander Peltenburg</v>
      </c>
      <c r="J30" s="14"/>
      <c r="K30" s="14" t="str">
        <f t="shared" si="1"/>
        <v/>
      </c>
    </row>
    <row r="31">
      <c r="A31" s="22" t="str">
        <f>IFERROR(__xludf.DUMMYFUNCTION("""COMPUTED_VALUE"""),"renze blokland")</f>
        <v>renze blokland</v>
      </c>
      <c r="B31" s="22" t="str">
        <f>IFERROR(__xludf.DUMMYFUNCTION("""COMPUTED_VALUE"""),"renze.blokland@fme.nl")</f>
        <v>renze.blokland@fme.nl</v>
      </c>
      <c r="C31" s="22" t="str">
        <f>IFERROR(__xludf.DUMMYFUNCTION("""COMPUTED_VALUE"""),"FME")</f>
        <v>FME</v>
      </c>
      <c r="D31" s="22" t="str">
        <f>IFERROR(__xludf.DUMMYFUNCTION("""COMPUTED_VALUE"""),"funding advisor")</f>
        <v>funding advisor</v>
      </c>
      <c r="E31" s="22" t="str">
        <f>IFERROR(__xludf.DUMMYFUNCTION("""COMPUTED_VALUE"""),"connections with start/scale ups")</f>
        <v>connections with start/scale ups</v>
      </c>
      <c r="F31" s="22" t="str">
        <f>IFERROR(__xludf.DUMMYFUNCTION("""COMPUTED_VALUE"""),"​Aerospace")</f>
        <v>​Aerospace</v>
      </c>
      <c r="H31" s="45" t="str">
        <f>VLOOKUP(B31,'new total list'!E:E,1,false)</f>
        <v>renze.blokland@fme.nl</v>
      </c>
      <c r="I31" s="22" t="str">
        <f>vlookup(A31,'new total list'!B:B,1,false)</f>
        <v>Renze Blokland</v>
      </c>
      <c r="J31" s="14"/>
      <c r="K31" s="14" t="str">
        <f t="shared" si="1"/>
        <v/>
      </c>
    </row>
    <row r="32">
      <c r="A32" s="22" t="str">
        <f>IFERROR(__xludf.DUMMYFUNCTION("""COMPUTED_VALUE"""),"Nina Donker")</f>
        <v>Nina Donker</v>
      </c>
      <c r="B32" s="22" t="str">
        <f>IFERROR(__xludf.DUMMYFUNCTION("""COMPUTED_VALUE"""),"nina@capitaltvc.com")</f>
        <v>nina@capitaltvc.com</v>
      </c>
      <c r="C32" s="22" t="str">
        <f>IFERROR(__xludf.DUMMYFUNCTION("""COMPUTED_VALUE"""),"CapitalT")</f>
        <v>CapitalT</v>
      </c>
      <c r="D32" s="22" t="str">
        <f>IFERROR(__xludf.DUMMYFUNCTION("""COMPUTED_VALUE"""),"Investment Associate")</f>
        <v>Investment Associate</v>
      </c>
      <c r="E32" s="22" t="str">
        <f>IFERROR(__xludf.DUMMYFUNCTION("""COMPUTED_VALUE"""),"Network")</f>
        <v>Network</v>
      </c>
      <c r="F32" s="22" t="str">
        <f>IFERROR(__xludf.DUMMYFUNCTION("""COMPUTED_VALUE"""),"Energy")</f>
        <v>Energy</v>
      </c>
      <c r="H32" s="22" t="str">
        <f>VLOOKUP(B32,'new total list'!E:E,1,false)</f>
        <v>nina@capitaltvc.com</v>
      </c>
      <c r="I32" s="22" t="str">
        <f>vlookup(A32,'new total list'!B:B,1,false)</f>
        <v>Nina Donker</v>
      </c>
      <c r="J32" s="14"/>
      <c r="K32" s="14" t="str">
        <f t="shared" si="1"/>
        <v/>
      </c>
    </row>
    <row r="33">
      <c r="A33" s="22" t="str">
        <f>IFERROR(__xludf.DUMMYFUNCTION("""COMPUTED_VALUE"""),"Aman Jindal")</f>
        <v>Aman Jindal</v>
      </c>
      <c r="B33" s="22" t="str">
        <f>IFERROR(__xludf.DUMMYFUNCTION("""COMPUTED_VALUE"""),"aman.jindal@denoize.com")</f>
        <v>aman.jindal@denoize.com</v>
      </c>
      <c r="C33" s="22" t="str">
        <f>IFERROR(__xludf.DUMMYFUNCTION("""COMPUTED_VALUE"""),"DeNoize B.V.")</f>
        <v>DeNoize B.V.</v>
      </c>
      <c r="D33" s="22" t="str">
        <f>IFERROR(__xludf.DUMMYFUNCTION("""COMPUTED_VALUE"""),"CEO")</f>
        <v>CEO</v>
      </c>
      <c r="E33" s="22" t="str">
        <f>IFERROR(__xludf.DUMMYFUNCTION("""COMPUTED_VALUE"""),"Network")</f>
        <v>Network</v>
      </c>
      <c r="F33" s="22" t="str">
        <f>IFERROR(__xludf.DUMMYFUNCTION("""COMPUTED_VALUE"""),"Dual Use")</f>
        <v>Dual Use</v>
      </c>
      <c r="H33" s="22" t="str">
        <f>VLOOKUP(B33,'new total list'!E:E,1,false)</f>
        <v>aman.jindal@denoize.com</v>
      </c>
      <c r="I33" s="22" t="str">
        <f>vlookup(A33,'new total list'!B:B,1,false)</f>
        <v>Aman Jindal</v>
      </c>
      <c r="J33" s="14"/>
      <c r="K33" s="14" t="str">
        <f t="shared" si="1"/>
        <v/>
      </c>
    </row>
    <row r="34">
      <c r="A34" s="22" t="str">
        <f>IFERROR(__xludf.DUMMYFUNCTION("""COMPUTED_VALUE"""),"Simone van Schijndel")</f>
        <v>Simone van Schijndel</v>
      </c>
      <c r="B34" s="22" t="str">
        <f>IFERROR(__xludf.DUMMYFUNCTION("""COMPUTED_VALUE"""),"s.a.h.vanschijndel@tudelft.nl")</f>
        <v>s.a.h.vanschijndel@tudelft.nl</v>
      </c>
      <c r="C34" s="22" t="str">
        <f>IFERROR(__xludf.DUMMYFUNCTION("""COMPUTED_VALUE"""),"TU Delft")</f>
        <v>TU Delft</v>
      </c>
      <c r="D34" s="22" t="str">
        <f>IFERROR(__xludf.DUMMYFUNCTION("""COMPUTED_VALUE"""),"Head Program &amp; Partnership Development")</f>
        <v>Head Program &amp; Partnership Development</v>
      </c>
      <c r="E34" s="22" t="str">
        <f>IFERROR(__xludf.DUMMYFUNCTION("""COMPUTED_VALUE"""),"get to know the startups in the TU Delft ecosystem")</f>
        <v>get to know the startups in the TU Delft ecosystem</v>
      </c>
      <c r="F34" s="22" t="str">
        <f>IFERROR(__xludf.DUMMYFUNCTION("""COMPUTED_VALUE"""),"Maritime")</f>
        <v>Maritime</v>
      </c>
      <c r="H34" s="22" t="str">
        <f>VLOOKUP(B34,'new total list'!E:E,1,false)</f>
        <v>s.a.h.vanschijndel@tudelft.nl</v>
      </c>
      <c r="I34" s="22" t="str">
        <f>vlookup(A34,'new total list'!B:B,1,false)</f>
        <v>Simone van Schijndel</v>
      </c>
      <c r="J34" s="14"/>
      <c r="K34" s="14" t="str">
        <f t="shared" si="1"/>
        <v/>
      </c>
    </row>
    <row r="35">
      <c r="A35" s="22" t="str">
        <f>IFERROR(__xludf.DUMMYFUNCTION("""COMPUTED_VALUE"""),"Jacqueline Papendrecht")</f>
        <v>Jacqueline Papendrecht</v>
      </c>
      <c r="B35" s="22" t="str">
        <f>IFERROR(__xludf.DUMMYFUNCTION("""COMPUTED_VALUE"""),"j.papendrecht@tudelft.nl")</f>
        <v>j.papendrecht@tudelft.nl</v>
      </c>
      <c r="C35" s="22" t="str">
        <f>IFERROR(__xludf.DUMMYFUNCTION("""COMPUTED_VALUE"""),"TU DELFT CAMPUS")</f>
        <v>TU DELFT CAMPUS</v>
      </c>
      <c r="D35" s="22" t="str">
        <f>IFERROR(__xludf.DUMMYFUNCTION("""COMPUTED_VALUE"""),"accountmanager")</f>
        <v>accountmanager</v>
      </c>
      <c r="E35" s="22" t="str">
        <f>IFERROR(__xludf.DUMMYFUNCTION("""COMPUTED_VALUE"""),"networking")</f>
        <v>networking</v>
      </c>
      <c r="F35" s="22" t="str">
        <f>IFERROR(__xludf.DUMMYFUNCTION("""COMPUTED_VALUE"""),"Dual Use")</f>
        <v>Dual Use</v>
      </c>
      <c r="H35" s="22" t="str">
        <f>VLOOKUP(B35,'new total list'!E:E,1,false)</f>
        <v>j.papendrecht@tudelft.nl</v>
      </c>
      <c r="I35" s="22" t="str">
        <f>vlookup(A35,'new total list'!B:B,1,false)</f>
        <v>Jacqueline Papendrecht</v>
      </c>
      <c r="J35" s="14"/>
      <c r="K35" s="14" t="str">
        <f t="shared" si="1"/>
        <v/>
      </c>
    </row>
    <row r="36">
      <c r="A36" s="22" t="str">
        <f>IFERROR(__xludf.DUMMYFUNCTION("""COMPUTED_VALUE"""),"Luuk Mur")</f>
        <v>Luuk Mur</v>
      </c>
      <c r="B36" s="22" t="str">
        <f>IFERROR(__xludf.DUMMYFUNCTION("""COMPUTED_VALUE"""),"l.c.mur@tudelft.nl")</f>
        <v>l.c.mur@tudelft.nl</v>
      </c>
      <c r="C36" s="22" t="str">
        <f>IFERROR(__xludf.DUMMYFUNCTION("""COMPUTED_VALUE"""),"TU Delft")</f>
        <v>TU Delft</v>
      </c>
      <c r="D36" s="22" t="str">
        <f>IFERROR(__xludf.DUMMYFUNCTION("""COMPUTED_VALUE"""),"Policy Advisor")</f>
        <v>Policy Advisor</v>
      </c>
      <c r="E36" s="22" t="str">
        <f>IFERROR(__xludf.DUMMYFUNCTION("""COMPUTED_VALUE"""),"Obtain deeper insights into how TU Delft can better support the development of startups")</f>
        <v>Obtain deeper insights into how TU Delft can better support the development of startups</v>
      </c>
      <c r="F36" s="22" t="str">
        <f>IFERROR(__xludf.DUMMYFUNCTION("""COMPUTED_VALUE"""),"​Aerospace")</f>
        <v>​Aerospace</v>
      </c>
      <c r="H36" s="22" t="str">
        <f>VLOOKUP(B36,'new total list'!E:E,1,false)</f>
        <v>l.c.mur@tudelft.nl</v>
      </c>
      <c r="I36" s="22" t="str">
        <f>vlookup(A36,'new total list'!B:B,1,false)</f>
        <v>Luuk Mur</v>
      </c>
      <c r="J36" s="14"/>
      <c r="K36" s="14" t="str">
        <f t="shared" si="1"/>
        <v/>
      </c>
    </row>
    <row r="37">
      <c r="A37" s="22" t="str">
        <f>IFERROR(__xludf.DUMMYFUNCTION("""COMPUTED_VALUE"""),"Sander Vroom")</f>
        <v>Sander Vroom</v>
      </c>
      <c r="B37" s="22" t="str">
        <f>IFERROR(__xludf.DUMMYFUNCTION("""COMPUTED_VALUE"""),"sandervroom@gmail.com")</f>
        <v>sandervroom@gmail.com</v>
      </c>
      <c r="C37" s="22" t="str">
        <f>IFERROR(__xludf.DUMMYFUNCTION("""COMPUTED_VALUE"""),"Rabobank")</f>
        <v>Rabobank</v>
      </c>
      <c r="D37" s="22" t="str">
        <f>IFERROR(__xludf.DUMMYFUNCTION("""COMPUTED_VALUE"""),"Business Development Manager")</f>
        <v>Business Development Manager</v>
      </c>
      <c r="E37" s="22" t="str">
        <f>IFERROR(__xludf.DUMMYFUNCTION("""COMPUTED_VALUE"""),"New contacts within foodsystem-")</f>
        <v>New contacts within foodsystem-</v>
      </c>
      <c r="F37" s="22" t="str">
        <f>IFERROR(__xludf.DUMMYFUNCTION("""COMPUTED_VALUE"""),"agtech- and energytransition. And catching up with acquaintances.")</f>
        <v>agtech- and energytransition. And catching up with acquaintances.</v>
      </c>
      <c r="H37" s="22" t="str">
        <f>VLOOKUP(B37,'new total list'!E:E,1,false)</f>
        <v>#N/A</v>
      </c>
      <c r="I37" s="22" t="str">
        <f>vlookup(A37,'new total list'!B:B,1,false)</f>
        <v>Sander Vroom</v>
      </c>
      <c r="J37" s="14"/>
      <c r="K37" s="14" t="str">
        <f t="shared" si="1"/>
        <v/>
      </c>
    </row>
    <row r="38">
      <c r="A38" s="22" t="str">
        <f>IFERROR(__xludf.DUMMYFUNCTION("""COMPUTED_VALUE"""),"sjoerd mol")</f>
        <v>sjoerd mol</v>
      </c>
      <c r="B38" s="22" t="str">
        <f>IFERROR(__xludf.DUMMYFUNCTION("""COMPUTED_VALUE"""),"mol@benvalor.com")</f>
        <v>mol@benvalor.com</v>
      </c>
      <c r="C38" s="22" t="str">
        <f>IFERROR(__xludf.DUMMYFUNCTION("""COMPUTED_VALUE"""),"Benvalor")</f>
        <v>Benvalor</v>
      </c>
      <c r="D38" s="22" t="str">
        <f>IFERROR(__xludf.DUMMYFUNCTION("""COMPUTED_VALUE"""),"Partner")</f>
        <v>Partner</v>
      </c>
      <c r="E38" s="22" t="str">
        <f>IFERROR(__xludf.DUMMYFUNCTION("""COMPUTED_VALUE"""),"Meeting interesting startups")</f>
        <v>Meeting interesting startups</v>
      </c>
      <c r="F38" s="22" t="str">
        <f>IFERROR(__xludf.DUMMYFUNCTION("""COMPUTED_VALUE"""),"​Future of Compute")</f>
        <v>​Future of Compute</v>
      </c>
      <c r="H38" s="22" t="str">
        <f>VLOOKUP(B38,'new total list'!E:E,1,false)</f>
        <v>mol@benvalor.com</v>
      </c>
      <c r="I38" s="22" t="str">
        <f>vlookup(A38,'new total list'!B:B,1,false)</f>
        <v>Sjoerd Mol</v>
      </c>
      <c r="J38" s="14"/>
      <c r="K38" s="14" t="str">
        <f t="shared" si="1"/>
        <v/>
      </c>
    </row>
    <row r="39">
      <c r="A39" s="22" t="str">
        <f>IFERROR(__xludf.DUMMYFUNCTION("""COMPUTED_VALUE"""),"Kirsten Ruiter")</f>
        <v>Kirsten Ruiter</v>
      </c>
      <c r="B39" s="22" t="str">
        <f>IFERROR(__xludf.DUMMYFUNCTION("""COMPUTED_VALUE"""),"kirsten.ruiter@buccaneerdelft.com")</f>
        <v>kirsten.ruiter@buccaneerdelft.com</v>
      </c>
      <c r="C39" s="22" t="str">
        <f>IFERROR(__xludf.DUMMYFUNCTION("""COMPUTED_VALUE"""),"Buccaneer Delft")</f>
        <v>Buccaneer Delft</v>
      </c>
      <c r="D39" s="22" t="str">
        <f>IFERROR(__xludf.DUMMYFUNCTION("""COMPUTED_VALUE"""),"Managing Director")</f>
        <v>Managing Director</v>
      </c>
      <c r="E39" s="22" t="str">
        <f>IFERROR(__xludf.DUMMYFUNCTION("""COMPUTED_VALUE"""),"Meeting new startups")</f>
        <v>Meeting new startups</v>
      </c>
      <c r="F39" s="22" t="str">
        <f>IFERROR(__xludf.DUMMYFUNCTION("""COMPUTED_VALUE"""),"seeing innovations")</f>
        <v>seeing innovations</v>
      </c>
      <c r="H39" s="22" t="str">
        <f>VLOOKUP(B39,'new total list'!E:E,1,false)</f>
        <v>kirsten.ruiter@buccaneerdelft.com</v>
      </c>
      <c r="I39" s="22" t="str">
        <f>vlookup(A39,'new total list'!B:B,1,false)</f>
        <v>Kirsten Ruiter</v>
      </c>
      <c r="J39" s="14"/>
      <c r="K39" s="14" t="str">
        <f t="shared" si="1"/>
        <v/>
      </c>
    </row>
    <row r="40">
      <c r="A40" s="22" t="str">
        <f>IFERROR(__xludf.DUMMYFUNCTION("""COMPUTED_VALUE"""),"Henk van Groen")</f>
        <v>Henk van Groen</v>
      </c>
      <c r="B40" s="22" t="str">
        <f>IFERROR(__xludf.DUMMYFUNCTION("""COMPUTED_VALUE"""),"henk@percivalparticipations.com")</f>
        <v>henk@percivalparticipations.com</v>
      </c>
      <c r="C40" s="22" t="str">
        <f>IFERROR(__xludf.DUMMYFUNCTION("""COMPUTED_VALUE"""),"Percival Participations BV")</f>
        <v>Percival Participations BV</v>
      </c>
      <c r="D40" s="22" t="str">
        <f>IFERROR(__xludf.DUMMYFUNCTION("""COMPUTED_VALUE"""),"Director")</f>
        <v>Director</v>
      </c>
      <c r="E40" s="22" t="str">
        <f>IFERROR(__xludf.DUMMYFUNCTION("""COMPUTED_VALUE"""),"Ideas")</f>
        <v>Ideas</v>
      </c>
      <c r="F40" s="22" t="str">
        <f>IFERROR(__xludf.DUMMYFUNCTION("""COMPUTED_VALUE"""),"Energy")</f>
        <v>Energy</v>
      </c>
      <c r="H40" s="22" t="str">
        <f>VLOOKUP(B40,'new total list'!E:E,1,false)</f>
        <v>#N/A</v>
      </c>
      <c r="I40" s="22" t="str">
        <f>vlookup(A40,'new total list'!B:B,1,false)</f>
        <v>Henk van Groen</v>
      </c>
      <c r="J40" s="14"/>
      <c r="K40" s="14" t="str">
        <f t="shared" si="1"/>
        <v/>
      </c>
    </row>
    <row r="41">
      <c r="A41" s="22" t="str">
        <f>IFERROR(__xludf.DUMMYFUNCTION("""COMPUTED_VALUE"""),"Ellen")</f>
        <v>Ellen</v>
      </c>
      <c r="B41" s="22" t="str">
        <f>IFERROR(__xludf.DUMMYFUNCTION("""COMPUTED_VALUE"""),"em.vandam@cornelderholding.com")</f>
        <v>em.vandam@cornelderholding.com</v>
      </c>
      <c r="C41" s="22" t="str">
        <f>IFERROR(__xludf.DUMMYFUNCTION("""COMPUTED_VALUE"""),"Cornelder Holding B.V.")</f>
        <v>Cornelder Holding B.V.</v>
      </c>
      <c r="D41" s="22" t="str">
        <f>IFERROR(__xludf.DUMMYFUNCTION("""COMPUTED_VALUE"""),"CEO")</f>
        <v>CEO</v>
      </c>
      <c r="E41" s="22" t="str">
        <f>IFERROR(__xludf.DUMMYFUNCTION("""COMPUTED_VALUE"""),"To connect with promising startups")</f>
        <v>To connect with promising startups</v>
      </c>
      <c r="F41" s="22" t="str">
        <f>IFERROR(__xludf.DUMMYFUNCTION("""COMPUTED_VALUE"""),"gain insights into new technologies and industry trends")</f>
        <v>gain insights into new technologies and industry trends</v>
      </c>
      <c r="H41" s="22" t="str">
        <f>VLOOKUP(B41,'new total list'!E:E,1,false)</f>
        <v>em.vandam@cornelderholding.com</v>
      </c>
      <c r="I41" s="22" t="str">
        <f>vlookup(A41,'new total list'!B:B,1,false)</f>
        <v>#N/A</v>
      </c>
      <c r="J41" s="14"/>
      <c r="K41" s="14" t="str">
        <f t="shared" si="1"/>
        <v/>
      </c>
    </row>
    <row r="42">
      <c r="A42" s="22" t="str">
        <f>IFERROR(__xludf.DUMMYFUNCTION("""COMPUTED_VALUE"""),"Sjoerd Stevens")</f>
        <v>Sjoerd Stevens</v>
      </c>
      <c r="B42" s="22" t="str">
        <f>IFERROR(__xludf.DUMMYFUNCTION("""COMPUTED_VALUE"""),"sjoerd@norrskenevolve.vc")</f>
        <v>sjoerd@norrskenevolve.vc</v>
      </c>
      <c r="C42" s="22" t="str">
        <f>IFERROR(__xludf.DUMMYFUNCTION("""COMPUTED_VALUE"""),"Norrsken Evolve")</f>
        <v>Norrsken Evolve</v>
      </c>
      <c r="D42" s="22" t="str">
        <f>IFERROR(__xludf.DUMMYFUNCTION("""COMPUTED_VALUE"""),"Investor")</f>
        <v>Investor</v>
      </c>
      <c r="E42" s="22" t="str">
        <f>IFERROR(__xludf.DUMMYFUNCTION("""COMPUTED_VALUE"""),"Meeting startups")</f>
        <v>Meeting startups</v>
      </c>
      <c r="F42" s="22" t="str">
        <f>IFERROR(__xludf.DUMMYFUNCTION("""COMPUTED_VALUE"""),"Energy")</f>
        <v>Energy</v>
      </c>
      <c r="H42" s="22" t="str">
        <f>VLOOKUP(B42,'new total list'!E:E,1,false)</f>
        <v>#N/A</v>
      </c>
      <c r="I42" s="22" t="str">
        <f>vlookup(A42,'new total list'!B:B,1,false)</f>
        <v>Sjoerd Stevens</v>
      </c>
      <c r="J42" s="14"/>
      <c r="K42" s="14" t="str">
        <f t="shared" si="1"/>
        <v/>
      </c>
    </row>
    <row r="43">
      <c r="A43" s="22" t="str">
        <f>IFERROR(__xludf.DUMMYFUNCTION("""COMPUTED_VALUE"""),"Yannick Hopf")</f>
        <v>Yannick Hopf</v>
      </c>
      <c r="B43" s="22" t="str">
        <f>IFERROR(__xludf.DUMMYFUNCTION("""COMPUTED_VALUE"""),"yhopf@sonosilicon.com")</f>
        <v>yhopf@sonosilicon.com</v>
      </c>
      <c r="C43" s="22" t="str">
        <f>IFERROR(__xludf.DUMMYFUNCTION("""COMPUTED_VALUE"""),"Sonosilicon")</f>
        <v>Sonosilicon</v>
      </c>
      <c r="D43" s="22" t="str">
        <f>IFERROR(__xludf.DUMMYFUNCTION("""COMPUTED_VALUE"""),"Co-Founder")</f>
        <v>Co-Founder</v>
      </c>
      <c r="E43" s="22" t="str">
        <f>IFERROR(__xludf.DUMMYFUNCTION("""COMPUTED_VALUE"""),"Connection making")</f>
        <v>Connection making</v>
      </c>
      <c r="F43" s="22" t="str">
        <f>IFERROR(__xludf.DUMMYFUNCTION("""COMPUTED_VALUE"""),"MedTech")</f>
        <v>MedTech</v>
      </c>
      <c r="H43" s="22" t="str">
        <f>VLOOKUP(B43,'new total list'!E:E,1,false)</f>
        <v>yhopf@sonosilicon.com</v>
      </c>
      <c r="I43" s="22" t="str">
        <f>vlookup(A43,'new total list'!B:B,1,false)</f>
        <v>Yannick Hopf</v>
      </c>
      <c r="J43" s="14"/>
      <c r="K43" s="14" t="str">
        <f t="shared" si="1"/>
        <v/>
      </c>
      <c r="L43" s="7" t="s">
        <v>592</v>
      </c>
    </row>
    <row r="44">
      <c r="A44" s="22" t="str">
        <f>IFERROR(__xludf.DUMMYFUNCTION("""COMPUTED_VALUE"""),"Vincent Ruijter")</f>
        <v>Vincent Ruijter</v>
      </c>
      <c r="B44" s="22" t="str">
        <f>IFERROR(__xludf.DUMMYFUNCTION("""COMPUTED_VALUE"""),"vincent.ruijter@gmail.com")</f>
        <v>vincent.ruijter@gmail.com</v>
      </c>
      <c r="C44" s="22" t="str">
        <f>IFERROR(__xludf.DUMMYFUNCTION("""COMPUTED_VALUE"""),"Impact ready")</f>
        <v>Impact ready</v>
      </c>
      <c r="D44" s="22" t="str">
        <f>IFERROR(__xludf.DUMMYFUNCTION("""COMPUTED_VALUE"""),"Director")</f>
        <v>Director</v>
      </c>
      <c r="E44" s="22" t="str">
        <f>IFERROR(__xludf.DUMMYFUNCTION("""COMPUTED_VALUE"""),"Meeting startups")</f>
        <v>Meeting startups</v>
      </c>
      <c r="F44" s="22" t="str">
        <f>IFERROR(__xludf.DUMMYFUNCTION("""COMPUTED_VALUE"""),"Energy")</f>
        <v>Energy</v>
      </c>
      <c r="H44" s="22" t="str">
        <f>VLOOKUP(B44,'new total list'!E:E,1,false)</f>
        <v>vincent.ruijter@gmail.com</v>
      </c>
      <c r="I44" s="22" t="str">
        <f>vlookup(A44,'new total list'!B:B,1,false)</f>
        <v>Vincent Ruijter</v>
      </c>
      <c r="J44" s="14"/>
      <c r="K44" s="14" t="str">
        <f t="shared" si="1"/>
        <v/>
      </c>
    </row>
    <row r="45">
      <c r="A45" s="22" t="str">
        <f>IFERROR(__xludf.DUMMYFUNCTION("""COMPUTED_VALUE"""),"Ide Swager")</f>
        <v>Ide Swager</v>
      </c>
      <c r="B45" s="22" t="str">
        <f>IFERROR(__xludf.DUMMYFUNCTION("""COMPUTED_VALUE"""),"ide@swager.eu")</f>
        <v>ide@swager.eu</v>
      </c>
      <c r="C45" s="22" t="str">
        <f>IFERROR(__xludf.DUMMYFUNCTION("""COMPUTED_VALUE"""),"Freelance / Momo Medical")</f>
        <v>Freelance / Momo Medical</v>
      </c>
      <c r="D45" s="22" t="str">
        <f>IFERROR(__xludf.DUMMYFUNCTION("""COMPUTED_VALUE"""),"Consultant &amp; Coach")</f>
        <v>Consultant &amp; Coach</v>
      </c>
      <c r="E45" s="22" t="str">
        <f>IFERROR(__xludf.DUMMYFUNCTION("""COMPUTED_VALUE"""),"Expand and reconnect with Y!D network")</f>
        <v>Expand and reconnect with Y!D network</v>
      </c>
      <c r="F45" s="22" t="str">
        <f>IFERROR(__xludf.DUMMYFUNCTION("""COMPUTED_VALUE"""),"meet new start-ups")</f>
        <v>meet new start-ups</v>
      </c>
      <c r="H45" s="22" t="str">
        <f>VLOOKUP(B45,'new total list'!E:E,1,false)</f>
        <v>#N/A</v>
      </c>
      <c r="I45" s="22" t="str">
        <f>vlookup(A45,'new total list'!B:B,1,false)</f>
        <v>Ide Swager</v>
      </c>
      <c r="J45" s="14"/>
      <c r="K45" s="14" t="str">
        <f t="shared" si="1"/>
        <v/>
      </c>
    </row>
    <row r="46">
      <c r="A46" s="22" t="str">
        <f>IFERROR(__xludf.DUMMYFUNCTION("""COMPUTED_VALUE"""),"Tsuyoshi Yamashita")</f>
        <v>Tsuyoshi Yamashita</v>
      </c>
      <c r="B46" s="22" t="str">
        <f>IFERROR(__xludf.DUMMYFUNCTION("""COMPUTED_VALUE"""),"tsuyoshi_yamashita@murata.com")</f>
        <v>tsuyoshi_yamashita@murata.com</v>
      </c>
      <c r="C46" s="22" t="str">
        <f>IFERROR(__xludf.DUMMYFUNCTION("""COMPUTED_VALUE"""),"WONDERSTONE Ventures")</f>
        <v>WONDERSTONE Ventures</v>
      </c>
      <c r="D46" s="22" t="str">
        <f>IFERROR(__xludf.DUMMYFUNCTION("""COMPUTED_VALUE"""),"Director")</f>
        <v>Director</v>
      </c>
      <c r="E46" s="22" t="str">
        <f>IFERROR(__xludf.DUMMYFUNCTION("""COMPUTED_VALUE"""),"New startup information and networking")</f>
        <v>New startup information and networking</v>
      </c>
      <c r="F46" s="22" t="str">
        <f>IFERROR(__xludf.DUMMYFUNCTION("""COMPUTED_VALUE"""),"​Aerospace")</f>
        <v>​Aerospace</v>
      </c>
      <c r="H46" s="22" t="str">
        <f>VLOOKUP(B46,'new total list'!E:E,1,false)</f>
        <v>tsuyoshi_yamashita@murata.com</v>
      </c>
      <c r="I46" s="22" t="str">
        <f>vlookup(A46,'new total list'!B:B,1,false)</f>
        <v>Tsuyoshi Yamashita</v>
      </c>
      <c r="J46" s="14"/>
      <c r="K46" s="14" t="str">
        <f t="shared" si="1"/>
        <v/>
      </c>
    </row>
    <row r="47">
      <c r="A47" s="22" t="str">
        <f>IFERROR(__xludf.DUMMYFUNCTION("""COMPUTED_VALUE"""),"Fatih Kaya")</f>
        <v>Fatih Kaya</v>
      </c>
      <c r="B47" s="22" t="str">
        <f>IFERROR(__xludf.DUMMYFUNCTION("""COMPUTED_VALUE"""),"f.kaya@kikkcapital.com")</f>
        <v>f.kaya@kikkcapital.com</v>
      </c>
      <c r="C47" s="22" t="str">
        <f>IFERROR(__xludf.DUMMYFUNCTION("""COMPUTED_VALUE"""),"KIKK Capital")</f>
        <v>KIKK Capital</v>
      </c>
      <c r="D47" s="22" t="str">
        <f>IFERROR(__xludf.DUMMYFUNCTION("""COMPUTED_VALUE"""),"Investment Manager")</f>
        <v>Investment Manager</v>
      </c>
      <c r="E47" s="22" t="str">
        <f>IFERROR(__xludf.DUMMYFUNCTION("""COMPUTED_VALUE"""),"Hopefully some interesting leads.")</f>
        <v>Hopefully some interesting leads.</v>
      </c>
      <c r="F47" s="22" t="str">
        <f>IFERROR(__xludf.DUMMYFUNCTION("""COMPUTED_VALUE"""),"Dual Use")</f>
        <v>Dual Use</v>
      </c>
      <c r="H47" s="22" t="str">
        <f>VLOOKUP(B47,'new total list'!E:E,1,false)</f>
        <v>f.kaya@kikkcapital.com</v>
      </c>
      <c r="I47" s="22" t="str">
        <f>vlookup(A47,'new total list'!B:B,1,false)</f>
        <v>Fatih Kaya</v>
      </c>
      <c r="J47" s="14"/>
      <c r="K47" s="14" t="str">
        <f t="shared" si="1"/>
        <v/>
      </c>
    </row>
    <row r="48">
      <c r="A48" s="22" t="str">
        <f>IFERROR(__xludf.DUMMYFUNCTION("""COMPUTED_VALUE"""),"Joris van Kappen")</f>
        <v>Joris van Kappen</v>
      </c>
      <c r="B48" s="22" t="str">
        <f>IFERROR(__xludf.DUMMYFUNCTION("""COMPUTED_VALUE"""),"joris@van-kappen.com")</f>
        <v>joris@van-kappen.com</v>
      </c>
      <c r="C48" s="22" t="str">
        <f>IFERROR(__xludf.DUMMYFUNCTION("""COMPUTED_VALUE"""),"Accelor Hub")</f>
        <v>Accelor Hub</v>
      </c>
      <c r="D48" s="22" t="str">
        <f>IFERROR(__xludf.DUMMYFUNCTION("""COMPUTED_VALUE"""),"Founder &amp; GTM Strategist")</f>
        <v>Founder &amp; GTM Strategist</v>
      </c>
      <c r="E48" s="22" t="str">
        <f>IFERROR(__xludf.DUMMYFUNCTION("""COMPUTED_VALUE"""),"Meet the new startups")</f>
        <v>Meet the new startups</v>
      </c>
      <c r="F48" s="22" t="str">
        <f>IFERROR(__xludf.DUMMYFUNCTION("""COMPUTED_VALUE"""),"learn what they are building")</f>
        <v>learn what they are building</v>
      </c>
      <c r="H48" s="22" t="str">
        <f>VLOOKUP(B48,'new total list'!E:E,1,false)</f>
        <v>joris@van-kappen.com</v>
      </c>
      <c r="I48" s="22" t="str">
        <f>vlookup(A48,'new total list'!B:B,1,false)</f>
        <v>Joris van Kappen</v>
      </c>
      <c r="J48" s="14"/>
      <c r="K48" s="14" t="str">
        <f t="shared" si="1"/>
        <v/>
      </c>
    </row>
    <row r="49">
      <c r="A49" s="22" t="str">
        <f>IFERROR(__xludf.DUMMYFUNCTION("""COMPUTED_VALUE"""),"Richard Illes")</f>
        <v>Richard Illes</v>
      </c>
      <c r="B49" s="22" t="str">
        <f>IFERROR(__xludf.DUMMYFUNCTION("""COMPUTED_VALUE"""),"richard.illes@o3.partners")</f>
        <v>richard.illes@o3.partners</v>
      </c>
      <c r="C49" s="22" t="str">
        <f>IFERROR(__xludf.DUMMYFUNCTION("""COMPUTED_VALUE"""),"O3 Partners N.V.")</f>
        <v>O3 Partners N.V.</v>
      </c>
      <c r="D49" s="22" t="str">
        <f>IFERROR(__xludf.DUMMYFUNCTION("""COMPUTED_VALUE"""),"Investment Director")</f>
        <v>Investment Director</v>
      </c>
      <c r="E49" s="22" t="str">
        <f>IFERROR(__xludf.DUMMYFUNCTION("""COMPUTED_VALUE"""),"great meetings with sharp founders")</f>
        <v>great meetings with sharp founders</v>
      </c>
      <c r="F49" s="22" t="str">
        <f>IFERROR(__xludf.DUMMYFUNCTION("""COMPUTED_VALUE"""),"Energy")</f>
        <v>Energy</v>
      </c>
      <c r="H49" s="22" t="str">
        <f>VLOOKUP(B49,'new total list'!E:E,1,false)</f>
        <v>#N/A</v>
      </c>
      <c r="I49" s="22" t="str">
        <f>vlookup(A49,'new total list'!B:B,1,false)</f>
        <v>Richard Illes</v>
      </c>
      <c r="J49" s="14"/>
      <c r="K49" s="14" t="str">
        <f t="shared" si="1"/>
        <v/>
      </c>
    </row>
    <row r="50">
      <c r="A50" s="22" t="str">
        <f>IFERROR(__xludf.DUMMYFUNCTION("""COMPUTED_VALUE"""),"Mathijs van der Knaap")</f>
        <v>Mathijs van der Knaap</v>
      </c>
      <c r="B50" s="22" t="str">
        <f>IFERROR(__xludf.DUMMYFUNCTION("""COMPUTED_VALUE"""),"mathijs@vpcapital.eu")</f>
        <v>mathijs@vpcapital.eu</v>
      </c>
      <c r="C50" s="22" t="str">
        <f>IFERROR(__xludf.DUMMYFUNCTION("""COMPUTED_VALUE"""),"VP Capital")</f>
        <v>VP Capital</v>
      </c>
      <c r="D50" s="22" t="str">
        <f>IFERROR(__xludf.DUMMYFUNCTION("""COMPUTED_VALUE"""),"Investment Manager")</f>
        <v>Investment Manager</v>
      </c>
      <c r="E50" s="22" t="str">
        <f>IFERROR(__xludf.DUMMYFUNCTION("""COMPUTED_VALUE"""),"Network and find investment opportunities")</f>
        <v>Network and find investment opportunities</v>
      </c>
      <c r="F50" s="22" t="str">
        <f>IFERROR(__xludf.DUMMYFUNCTION("""COMPUTED_VALUE"""),"Energy")</f>
        <v>Energy</v>
      </c>
      <c r="H50" s="22" t="str">
        <f>VLOOKUP(B50,'new total list'!E:E,1,false)</f>
        <v>mathijs@vpcapital.eu</v>
      </c>
      <c r="I50" s="22" t="str">
        <f>vlookup(A50,'new total list'!B:B,1,false)</f>
        <v>Mathijs Van Der Knaap</v>
      </c>
      <c r="J50" s="14"/>
      <c r="K50" s="14" t="str">
        <f t="shared" si="1"/>
        <v/>
      </c>
    </row>
    <row r="51">
      <c r="A51" s="22" t="str">
        <f>IFERROR(__xludf.DUMMYFUNCTION("""COMPUTED_VALUE"""),"Karlijn van de Kamp")</f>
        <v>Karlijn van de Kamp</v>
      </c>
      <c r="B51" s="22" t="str">
        <f>IFERROR(__xludf.DUMMYFUNCTION("""COMPUTED_VALUE"""),"k.kamp@portofrotterdam.com")</f>
        <v>k.kamp@portofrotterdam.com</v>
      </c>
      <c r="C51" s="22" t="str">
        <f>IFERROR(__xludf.DUMMYFUNCTION("""COMPUTED_VALUE"""),"Port of Rotterdam")</f>
        <v>Port of Rotterdam</v>
      </c>
      <c r="D51" s="22" t="str">
        <f>IFERROR(__xludf.DUMMYFUNCTION("""COMPUTED_VALUE"""),"Business Development Manager Bedrijven")</f>
        <v>Business Development Manager Bedrijven</v>
      </c>
      <c r="E51" s="22" t="str">
        <f>IFERROR(__xludf.DUMMYFUNCTION("""COMPUTED_VALUE"""),"Connection")</f>
        <v>Connection</v>
      </c>
      <c r="F51" s="22" t="str">
        <f>IFERROR(__xludf.DUMMYFUNCTION("""COMPUTED_VALUE"""),"Maritime")</f>
        <v>Maritime</v>
      </c>
      <c r="H51" s="22" t="str">
        <f>VLOOKUP(B51,'new total list'!E:E,1,false)</f>
        <v>#N/A</v>
      </c>
      <c r="I51" s="22" t="str">
        <f>vlookup(A51,'new total list'!B:B,1,false)</f>
        <v>#N/A</v>
      </c>
      <c r="J51" s="14"/>
      <c r="K51" s="14" t="str">
        <f t="shared" si="1"/>
        <v>Marked</v>
      </c>
    </row>
    <row r="52">
      <c r="A52" s="22" t="str">
        <f>IFERROR(__xludf.DUMMYFUNCTION("""COMPUTED_VALUE"""),"Remy Kesrouani")</f>
        <v>Remy Kesrouani</v>
      </c>
      <c r="B52" s="22" t="str">
        <f>IFERROR(__xludf.DUMMYFUNCTION("""COMPUTED_VALUE"""),"remy@kadmoscapital.com")</f>
        <v>remy@kadmoscapital.com</v>
      </c>
      <c r="C52" s="22" t="str">
        <f>IFERROR(__xludf.DUMMYFUNCTION("""COMPUTED_VALUE"""),"Kadmos Capital")</f>
        <v>Kadmos Capital</v>
      </c>
      <c r="D52" s="22" t="str">
        <f>IFERROR(__xludf.DUMMYFUNCTION("""COMPUTED_VALUE"""),"Managing Partner")</f>
        <v>Managing Partner</v>
      </c>
      <c r="E52" s="22" t="str">
        <f>IFERROR(__xludf.DUMMYFUNCTION("""COMPUTED_VALUE"""),"invest")</f>
        <v>invest</v>
      </c>
      <c r="F52" s="22" t="str">
        <f>IFERROR(__xludf.DUMMYFUNCTION("""COMPUTED_VALUE"""),"Energy")</f>
        <v>Energy</v>
      </c>
      <c r="H52" s="22" t="str">
        <f>VLOOKUP(B52,'new total list'!E:E,1,false)</f>
        <v>remy@kadmoscapital.com</v>
      </c>
      <c r="I52" s="22" t="str">
        <f>vlookup(A52,'new total list'!B:B,1,false)</f>
        <v>Remy Kesrouani</v>
      </c>
      <c r="J52" s="14"/>
      <c r="K52" s="14" t="str">
        <f t="shared" si="1"/>
        <v/>
      </c>
    </row>
    <row r="53">
      <c r="A53" s="22" t="str">
        <f>IFERROR(__xludf.DUMMYFUNCTION("""COMPUTED_VALUE"""),"J. Theunissen")</f>
        <v>J. Theunissen</v>
      </c>
      <c r="B53" s="22" t="str">
        <f>IFERROR(__xludf.DUMMYFUNCTION("""COMPUTED_VALUE"""),"j.theunissen@kikkcapital.com")</f>
        <v>j.theunissen@kikkcapital.com</v>
      </c>
      <c r="C53" s="22" t="str">
        <f>IFERROR(__xludf.DUMMYFUNCTION("""COMPUTED_VALUE"""),"KIKK Capital")</f>
        <v>KIKK Capital</v>
      </c>
      <c r="D53" s="22" t="str">
        <f>IFERROR(__xludf.DUMMYFUNCTION("""COMPUTED_VALUE"""),"Sr. Investment Manager")</f>
        <v>Sr. Investment Manager</v>
      </c>
      <c r="E53" s="22" t="str">
        <f>IFERROR(__xludf.DUMMYFUNCTION("""COMPUTED_VALUE"""),"meet interesting leads")</f>
        <v>meet interesting leads</v>
      </c>
      <c r="F53" s="22" t="str">
        <f>IFERROR(__xludf.DUMMYFUNCTION("""COMPUTED_VALUE"""),"Dual Use")</f>
        <v>Dual Use</v>
      </c>
      <c r="H53" s="22" t="str">
        <f>VLOOKUP(B53,'new total list'!E:E,1,false)</f>
        <v>j.theunissen@kikkcapital.com</v>
      </c>
      <c r="I53" s="22" t="str">
        <f>vlookup(A53,'new total list'!B:B,1,false)</f>
        <v>#N/A</v>
      </c>
      <c r="J53" s="14"/>
      <c r="K53" s="14" t="str">
        <f t="shared" si="1"/>
        <v/>
      </c>
    </row>
    <row r="54">
      <c r="A54" s="22" t="str">
        <f>IFERROR(__xludf.DUMMYFUNCTION("""COMPUTED_VALUE"""),"Philip Bueters")</f>
        <v>Philip Bueters</v>
      </c>
      <c r="B54" s="22" t="str">
        <f>IFERROR(__xludf.DUMMYFUNCTION("""COMPUTED_VALUE"""),"philip@mtsprout.nl")</f>
        <v>philip@mtsprout.nl</v>
      </c>
      <c r="C54" s="22" t="str">
        <f>IFERROR(__xludf.DUMMYFUNCTION("""COMPUTED_VALUE"""),"MT Mediagroep")</f>
        <v>MT Mediagroep</v>
      </c>
      <c r="D54" s="22" t="str">
        <f>IFERROR(__xludf.DUMMYFUNCTION("""COMPUTED_VALUE"""),"editor")</f>
        <v>editor</v>
      </c>
      <c r="E54" s="22" t="str">
        <f>IFERROR(__xludf.DUMMYFUNCTION("""COMPUTED_VALUE"""),"article")</f>
        <v>article</v>
      </c>
      <c r="F54" s="22" t="str">
        <f>IFERROR(__xludf.DUMMYFUNCTION("""COMPUTED_VALUE"""),"network")</f>
        <v>network</v>
      </c>
      <c r="H54" s="22" t="str">
        <f>VLOOKUP(B54,'new total list'!E:E,1,false)</f>
        <v>philip@mtsprout.nl</v>
      </c>
      <c r="I54" s="22" t="str">
        <f>vlookup(A54,'new total list'!B:B,1,false)</f>
        <v>Philip Bueters</v>
      </c>
      <c r="J54" s="14"/>
      <c r="K54" s="14" t="str">
        <f t="shared" si="1"/>
        <v/>
      </c>
    </row>
    <row r="55">
      <c r="A55" s="22" t="str">
        <f>IFERROR(__xludf.DUMMYFUNCTION("""COMPUTED_VALUE"""),"Rui Li")</f>
        <v>Rui Li</v>
      </c>
      <c r="B55" s="22" t="str">
        <f>IFERROR(__xludf.DUMMYFUNCTION("""COMPUTED_VALUE"""),"rui.li@graduate.nl")</f>
        <v>rui.li@graduate.nl</v>
      </c>
      <c r="C55" s="22" t="str">
        <f>IFERROR(__xludf.DUMMYFUNCTION("""COMPUTED_VALUE"""),"Graduate Ventures")</f>
        <v>Graduate Ventures</v>
      </c>
      <c r="D55" s="22" t="str">
        <f>IFERROR(__xludf.DUMMYFUNCTION("""COMPUTED_VALUE"""),"Associate Principal")</f>
        <v>Associate Principal</v>
      </c>
      <c r="E55" s="22" t="str">
        <f>IFERROR(__xludf.DUMMYFUNCTION("""COMPUTED_VALUE"""),"Reconnect with everyone")</f>
        <v>Reconnect with everyone</v>
      </c>
      <c r="F55" s="22" t="str">
        <f>IFERROR(__xludf.DUMMYFUNCTION("""COMPUTED_VALUE"""),"meet new startups")</f>
        <v>meet new startups</v>
      </c>
      <c r="H55" s="22" t="str">
        <f>VLOOKUP(B55,'new total list'!E:E,1,false)</f>
        <v>Rui.Li@graduate.nl</v>
      </c>
      <c r="I55" s="22" t="str">
        <f>vlookup(A55,'new total list'!B:B,1,false)</f>
        <v>Rui Li</v>
      </c>
      <c r="J55" s="14"/>
      <c r="K55" s="14" t="str">
        <f t="shared" si="1"/>
        <v/>
      </c>
    </row>
    <row r="56">
      <c r="A56" s="22" t="str">
        <f>IFERROR(__xludf.DUMMYFUNCTION("""COMPUTED_VALUE"""),"Dop")</f>
        <v>Dop</v>
      </c>
      <c r="B56" s="22" t="str">
        <f>IFERROR(__xludf.DUMMYFUNCTION("""COMPUTED_VALUE"""),"dop.brzesowsky@gmail.com")</f>
        <v>dop.brzesowsky@gmail.com</v>
      </c>
      <c r="C56" s="22" t="str">
        <f>IFERROR(__xludf.DUMMYFUNCTION("""COMPUTED_VALUE"""),"Berkenbosch Management")</f>
        <v>Berkenbosch Management</v>
      </c>
      <c r="D56" s="22" t="str">
        <f>IFERROR(__xludf.DUMMYFUNCTION("""COMPUTED_VALUE"""),"Owner")</f>
        <v>Owner</v>
      </c>
      <c r="E56" s="22" t="str">
        <f>IFERROR(__xludf.DUMMYFUNCTION("""COMPUTED_VALUE"""),"New ideas")</f>
        <v>New ideas</v>
      </c>
      <c r="F56" s="22" t="str">
        <f>IFERROR(__xludf.DUMMYFUNCTION("""COMPUTED_VALUE"""),"MedTech")</f>
        <v>MedTech</v>
      </c>
      <c r="H56" s="22" t="str">
        <f>VLOOKUP(B56,'new total list'!E:E,1,false)</f>
        <v>dop.brzesowsky@gmail.com</v>
      </c>
      <c r="I56" s="22" t="str">
        <f>vlookup(A56,'new total list'!B:B,1,false)</f>
        <v>#N/A</v>
      </c>
      <c r="J56" s="14"/>
      <c r="K56" s="14" t="str">
        <f t="shared" si="1"/>
        <v/>
      </c>
    </row>
    <row r="57">
      <c r="A57" s="22" t="str">
        <f>IFERROR(__xludf.DUMMYFUNCTION("""COMPUTED_VALUE"""),"Hidde Heimel")</f>
        <v>Hidde Heimel</v>
      </c>
      <c r="B57" s="22" t="str">
        <f>IFERROR(__xludf.DUMMYFUNCTION("""COMPUTED_VALUE"""),"hheimel@8capital.nl")</f>
        <v>hheimel@8capital.nl</v>
      </c>
      <c r="C57" s="22" t="str">
        <f>IFERROR(__xludf.DUMMYFUNCTION("""COMPUTED_VALUE"""),"8 Capital Group")</f>
        <v>8 Capital Group</v>
      </c>
      <c r="D57" s="22" t="str">
        <f>IFERROR(__xludf.DUMMYFUNCTION("""COMPUTED_VALUE"""),"Partner Investments")</f>
        <v>Partner Investments</v>
      </c>
      <c r="E57" s="22" t="str">
        <f>IFERROR(__xludf.DUMMYFUNCTION("""COMPUTED_VALUE"""),"Meetinginteresting start ups / people to potenitally invest in")</f>
        <v>Meetinginteresting start ups / people to potenitally invest in</v>
      </c>
      <c r="F57" s="22" t="str">
        <f>IFERROR(__xludf.DUMMYFUNCTION("""COMPUTED_VALUE"""),"Energy")</f>
        <v>Energy</v>
      </c>
      <c r="H57" s="22" t="str">
        <f>VLOOKUP(B57,'new total list'!E:E,1,false)</f>
        <v>hheimel@8capital.nl</v>
      </c>
      <c r="I57" s="22" t="str">
        <f>vlookup(A57,'new total list'!B:B,1,false)</f>
        <v>Hidde Heimel</v>
      </c>
      <c r="J57" s="14"/>
      <c r="K57" s="14" t="str">
        <f t="shared" si="1"/>
        <v/>
      </c>
    </row>
    <row r="58">
      <c r="A58" s="22" t="str">
        <f>IFERROR(__xludf.DUMMYFUNCTION("""COMPUTED_VALUE"""),"Michiel van Stapele")</f>
        <v>Michiel van Stapele</v>
      </c>
      <c r="B58" s="22" t="str">
        <f>IFERROR(__xludf.DUMMYFUNCTION("""COMPUTED_VALUE"""),"michiel.vanstapele@octrooicentrum.nl")</f>
        <v>michiel.vanstapele@octrooicentrum.nl</v>
      </c>
      <c r="C58" s="22" t="str">
        <f>IFERROR(__xludf.DUMMYFUNCTION("""COMPUTED_VALUE"""),"Octrooicentrum Nederland / RVO")</f>
        <v>Octrooicentrum Nederland / RVO</v>
      </c>
      <c r="D58" s="22" t="str">
        <f>IFERROR(__xludf.DUMMYFUNCTION("""COMPUTED_VALUE"""),"IP advisor")</f>
        <v>IP advisor</v>
      </c>
      <c r="E58" s="22" t="str">
        <f>IFERROR(__xludf.DUMMYFUNCTION("""COMPUTED_VALUE"""),"IP awareness")</f>
        <v>IP awareness</v>
      </c>
      <c r="F58" s="22" t="str">
        <f>IFERROR(__xludf.DUMMYFUNCTION("""COMPUTED_VALUE"""),"Energy")</f>
        <v>Energy</v>
      </c>
      <c r="H58" s="45" t="str">
        <f>VLOOKUP(B58,'new total list'!E:E,1,false)</f>
        <v>michiel.vanstapele@octrooicentrum.nl</v>
      </c>
      <c r="I58" s="22" t="str">
        <f>vlookup(A58,'new total list'!B:B,1,false)</f>
        <v>Michiel van Stapele</v>
      </c>
      <c r="J58" s="14"/>
      <c r="K58" s="14" t="str">
        <f t="shared" si="1"/>
        <v/>
      </c>
    </row>
    <row r="59">
      <c r="A59" s="22" t="str">
        <f>IFERROR(__xludf.DUMMYFUNCTION("""COMPUTED_VALUE"""),"Gerko Visee")</f>
        <v>Gerko Visee</v>
      </c>
      <c r="B59" s="22" t="str">
        <f>IFERROR(__xludf.DUMMYFUNCTION("""COMPUTED_VALUE"""),"gerko.visee@denhaag.nl")</f>
        <v>gerko.visee@denhaag.nl</v>
      </c>
      <c r="C59" s="22" t="str">
        <f>IFERROR(__xludf.DUMMYFUNCTION("""COMPUTED_VALUE"""),"City of The Hague")</f>
        <v>City of The Hague</v>
      </c>
      <c r="D59" s="22" t="str">
        <f>IFERROR(__xludf.DUMMYFUNCTION("""COMPUTED_VALUE"""),"Policy adviser international talent")</f>
        <v>Policy adviser international talent</v>
      </c>
      <c r="E59" s="22" t="str">
        <f>IFERROR(__xludf.DUMMYFUNCTION("""COMPUTED_VALUE"""),"Network")</f>
        <v>Network</v>
      </c>
      <c r="F59" s="22" t="str">
        <f>IFERROR(__xludf.DUMMYFUNCTION("""COMPUTED_VALUE"""),"​Aerospace")</f>
        <v>​Aerospace</v>
      </c>
      <c r="H59" s="22" t="str">
        <f>VLOOKUP(B59,'new total list'!E:E,1,false)</f>
        <v>gerko.visee@denhaag.nl</v>
      </c>
      <c r="I59" s="22" t="str">
        <f>vlookup(A59,'new total list'!B:B,1,false)</f>
        <v>Gerko Visee</v>
      </c>
      <c r="J59" s="14"/>
      <c r="K59" s="14" t="str">
        <f t="shared" si="1"/>
        <v/>
      </c>
    </row>
    <row r="60">
      <c r="A60" s="22" t="str">
        <f>IFERROR(__xludf.DUMMYFUNCTION("""COMPUTED_VALUE"""),"Rogier Barents")</f>
        <v>Rogier Barents</v>
      </c>
      <c r="B60" s="22" t="str">
        <f>IFERROR(__xludf.DUMMYFUNCTION("""COMPUTED_VALUE"""),"rogier@intespring.nl")</f>
        <v>rogier@intespring.nl</v>
      </c>
      <c r="C60" s="22" t="str">
        <f>IFERROR(__xludf.DUMMYFUNCTION("""COMPUTED_VALUE"""),"InteSpring")</f>
        <v>InteSpring</v>
      </c>
      <c r="D60" s="22" t="str">
        <f>IFERROR(__xludf.DUMMYFUNCTION("""COMPUTED_VALUE"""),"Founder / CEO")</f>
        <v>Founder / CEO</v>
      </c>
      <c r="E60" s="22" t="str">
        <f>IFERROR(__xludf.DUMMYFUNCTION("""COMPUTED_VALUE"""),"Contact with interesting defence startups")</f>
        <v>Contact with interesting defence startups</v>
      </c>
      <c r="F60" s="22" t="str">
        <f>IFERROR(__xludf.DUMMYFUNCTION("""COMPUTED_VALUE"""),"Dual Use")</f>
        <v>Dual Use</v>
      </c>
      <c r="H60" s="22" t="str">
        <f>VLOOKUP(B60,'new total list'!E:E,1,false)</f>
        <v>rogier@intespring.nl</v>
      </c>
      <c r="I60" s="22" t="str">
        <f>vlookup(A60,'new total list'!B:B,1,false)</f>
        <v>Rogier Barents</v>
      </c>
      <c r="J60" s="14"/>
      <c r="K60" s="14" t="str">
        <f t="shared" si="1"/>
        <v/>
      </c>
    </row>
    <row r="61">
      <c r="A61" s="22" t="str">
        <f>IFERROR(__xludf.DUMMYFUNCTION("""COMPUTED_VALUE"""),"Hugo Niezen")</f>
        <v>Hugo Niezen</v>
      </c>
      <c r="B61" s="22" t="str">
        <f>IFERROR(__xludf.DUMMYFUNCTION("""COMPUTED_VALUE"""),"hugo.niezen@tno.nl")</f>
        <v>hugo.niezen@tno.nl</v>
      </c>
      <c r="C61" s="22" t="str">
        <f>IFERROR(__xludf.DUMMYFUNCTION("""COMPUTED_VALUE"""),"TNO Fast Track")</f>
        <v>TNO Fast Track</v>
      </c>
      <c r="D61" s="22" t="str">
        <f>IFERROR(__xludf.DUMMYFUNCTION("""COMPUTED_VALUE"""),"Senior Business Developer")</f>
        <v>Senior Business Developer</v>
      </c>
      <c r="E61" s="22" t="str">
        <f>IFERROR(__xludf.DUMMYFUNCTION("""COMPUTED_VALUE"""),"Inspiration and relevant contacts")</f>
        <v>Inspiration and relevant contacts</v>
      </c>
      <c r="F61" s="22" t="str">
        <f>IFERROR(__xludf.DUMMYFUNCTION("""COMPUTED_VALUE"""),"​Future of Compute")</f>
        <v>​Future of Compute</v>
      </c>
      <c r="H61" s="22" t="str">
        <f>VLOOKUP(B61,'new total list'!E:E,1,false)</f>
        <v>hugo.niezen@tno.nl</v>
      </c>
      <c r="I61" s="22" t="str">
        <f>vlookup(A61,'new total list'!B:B,1,false)</f>
        <v>Hugo Niezen</v>
      </c>
      <c r="J61" s="14"/>
      <c r="K61" s="14" t="str">
        <f t="shared" si="1"/>
        <v/>
      </c>
    </row>
    <row r="62">
      <c r="A62" s="22" t="str">
        <f>IFERROR(__xludf.DUMMYFUNCTION("""COMPUTED_VALUE"""),"Daniel Tajari")</f>
        <v>Daniel Tajari</v>
      </c>
      <c r="B62" s="22" t="str">
        <f>IFERROR(__xludf.DUMMYFUNCTION("""COMPUTED_VALUE"""),"daniel.tajari@tno.nl")</f>
        <v>daniel.tajari@tno.nl</v>
      </c>
      <c r="C62" s="22" t="str">
        <f>IFERROR(__xludf.DUMMYFUNCTION("""COMPUTED_VALUE"""),"Tno")</f>
        <v>Tno</v>
      </c>
      <c r="D62" s="22" t="str">
        <f>IFERROR(__xludf.DUMMYFUNCTION("""COMPUTED_VALUE"""),"Project Manager")</f>
        <v>Project Manager</v>
      </c>
      <c r="E62" s="22" t="str">
        <f>IFERROR(__xludf.DUMMYFUNCTION("""COMPUTED_VALUE"""),"Networking")</f>
        <v>Networking</v>
      </c>
      <c r="F62" s="22" t="str">
        <f>IFERROR(__xludf.DUMMYFUNCTION("""COMPUTED_VALUE"""),"find potential startups for collaboration")</f>
        <v>find potential startups for collaboration</v>
      </c>
      <c r="H62" s="22" t="str">
        <f>VLOOKUP(B62,'new total list'!E:E,1,false)</f>
        <v>#N/A</v>
      </c>
      <c r="I62" s="22" t="str">
        <f>vlookup(A62,'new total list'!B:B,1,false)</f>
        <v>Daniel Tajari</v>
      </c>
      <c r="J62" s="14"/>
      <c r="K62" s="14" t="str">
        <f t="shared" si="1"/>
        <v/>
      </c>
    </row>
    <row r="63">
      <c r="A63" s="22" t="str">
        <f>IFERROR(__xludf.DUMMYFUNCTION("""COMPUTED_VALUE"""),"Ralph van Dam")</f>
        <v>Ralph van Dam</v>
      </c>
      <c r="B63" s="22" t="str">
        <f>IFERROR(__xludf.DUMMYFUNCTION("""COMPUTED_VALUE"""),"ralph.van.dam@achmea.nl")</f>
        <v>ralph.van.dam@achmea.nl</v>
      </c>
      <c r="C63" s="22" t="str">
        <f>IFERROR(__xludf.DUMMYFUNCTION("""COMPUTED_VALUE"""),"Achmea Impact Ventures")</f>
        <v>Achmea Impact Ventures</v>
      </c>
      <c r="D63" s="22" t="str">
        <f>IFERROR(__xludf.DUMMYFUNCTION("""COMPUTED_VALUE"""),"Head of Startups &amp; Scaleups")</f>
        <v>Head of Startups &amp; Scaleups</v>
      </c>
      <c r="E63" s="22" t="str">
        <f>IFERROR(__xludf.DUMMYFUNCTION("""COMPUTED_VALUE"""),"Startup leads")</f>
        <v>Startup leads</v>
      </c>
      <c r="F63" s="22" t="str">
        <f>IFERROR(__xludf.DUMMYFUNCTION("""COMPUTED_VALUE"""),"Energy")</f>
        <v>Energy</v>
      </c>
      <c r="H63" s="22" t="str">
        <f>VLOOKUP(B63,'new total list'!E:E,1,false)</f>
        <v>ralph.van.dam@achmea.nl</v>
      </c>
      <c r="I63" s="22" t="str">
        <f>vlookup(A63,'new total list'!B:B,1,false)</f>
        <v>Ralph Van Dam</v>
      </c>
      <c r="J63" s="14"/>
      <c r="K63" s="14" t="str">
        <f t="shared" si="1"/>
        <v/>
      </c>
    </row>
    <row r="64">
      <c r="A64" s="22" t="str">
        <f>IFERROR(__xludf.DUMMYFUNCTION("""COMPUTED_VALUE"""),"Ton J. Jonker")</f>
        <v>Ton J. Jonker</v>
      </c>
      <c r="B64" s="22" t="str">
        <f>IFERROR(__xludf.DUMMYFUNCTION("""COMPUTED_VALUE"""),"t.jonker@pzh.nl")</f>
        <v>t.jonker@pzh.nl</v>
      </c>
      <c r="C64" s="22" t="str">
        <f>IFERROR(__xludf.DUMMYFUNCTION("""COMPUTED_VALUE"""),"PZH")</f>
        <v>PZH</v>
      </c>
      <c r="D64" s="22" t="str">
        <f>IFERROR(__xludf.DUMMYFUNCTION("""COMPUTED_VALUE"""),"Director")</f>
        <v>Director</v>
      </c>
      <c r="E64" s="22" t="str">
        <f>IFERROR(__xludf.DUMMYFUNCTION("""COMPUTED_VALUE"""),"Information")</f>
        <v>Information</v>
      </c>
      <c r="F64" s="22" t="str">
        <f>IFERROR(__xludf.DUMMYFUNCTION("""COMPUTED_VALUE"""),"Energy")</f>
        <v>Energy</v>
      </c>
      <c r="H64" s="22" t="str">
        <f>VLOOKUP(B64,'new total list'!E:E,1,false)</f>
        <v>t.jonker@pzh.nl</v>
      </c>
      <c r="I64" s="22" t="str">
        <f>vlookup(A64,'new total list'!B:B,1,false)</f>
        <v>#N/A</v>
      </c>
      <c r="J64" s="14"/>
      <c r="K64" s="14" t="str">
        <f t="shared" si="1"/>
        <v/>
      </c>
    </row>
    <row r="65">
      <c r="A65" s="22" t="str">
        <f>IFERROR(__xludf.DUMMYFUNCTION("""COMPUTED_VALUE"""),"Damien van der Bijl")</f>
        <v>Damien van der Bijl</v>
      </c>
      <c r="B65" s="22" t="str">
        <f>IFERROR(__xludf.DUMMYFUNCTION("""COMPUTED_VALUE"""),"damien.vanderbijl@capricorn.be")</f>
        <v>damien.vanderbijl@capricorn.be</v>
      </c>
      <c r="C65" s="22" t="str">
        <f>IFERROR(__xludf.DUMMYFUNCTION("""COMPUTED_VALUE"""),"Capricorn Partners")</f>
        <v>Capricorn Partners</v>
      </c>
      <c r="D65" s="22" t="str">
        <f>IFERROR(__xludf.DUMMYFUNCTION("""COMPUTED_VALUE"""),"Investment Director")</f>
        <v>Investment Director</v>
      </c>
      <c r="E65" s="22" t="str">
        <f>IFERROR(__xludf.DUMMYFUNCTION("""COMPUTED_VALUE"""),"Interesting leads")</f>
        <v>Interesting leads</v>
      </c>
      <c r="F65" s="22" t="str">
        <f>IFERROR(__xludf.DUMMYFUNCTION("""COMPUTED_VALUE"""),"Energy")</f>
        <v>Energy</v>
      </c>
      <c r="H65" s="22" t="str">
        <f>VLOOKUP(B65,'new total list'!E:E,1,false)</f>
        <v>damien.vanderbijl@capricorn.be</v>
      </c>
      <c r="I65" s="22" t="str">
        <f>vlookup(A65,'new total list'!B:B,1,false)</f>
        <v>Damien van der Bijl</v>
      </c>
      <c r="J65" s="14"/>
      <c r="K65" s="14" t="str">
        <f t="shared" si="1"/>
        <v/>
      </c>
    </row>
    <row r="66">
      <c r="A66" s="22" t="str">
        <f>IFERROR(__xludf.DUMMYFUNCTION("""COMPUTED_VALUE"""),"Stein")</f>
        <v>Stein</v>
      </c>
      <c r="B66" s="22" t="str">
        <f>IFERROR(__xludf.DUMMYFUNCTION("""COMPUTED_VALUE"""),"steinar@hensk.es")</f>
        <v>steinar@hensk.es</v>
      </c>
      <c r="C66" s="22" t="str">
        <f>IFERROR(__xludf.DUMMYFUNCTION("""COMPUTED_VALUE"""),"Bird Control Group")</f>
        <v>Bird Control Group</v>
      </c>
      <c r="D66" s="22" t="str">
        <f>IFERROR(__xludf.DUMMYFUNCTION("""COMPUTED_VALUE"""),"Founder")</f>
        <v>Founder</v>
      </c>
      <c r="E66" s="22" t="str">
        <f>IFERROR(__xludf.DUMMYFUNCTION("""COMPUTED_VALUE"""),"network")</f>
        <v>network</v>
      </c>
      <c r="F66" s="22" t="str">
        <f>IFERROR(__xludf.DUMMYFUNCTION("""COMPUTED_VALUE"""),"Energy")</f>
        <v>Energy</v>
      </c>
      <c r="H66" s="22" t="str">
        <f>VLOOKUP(B66,'new total list'!E:E,1,false)</f>
        <v>steinar@hensk.es</v>
      </c>
      <c r="I66" s="22" t="str">
        <f>vlookup(A66,'new total list'!B:B,1,false)</f>
        <v>#N/A</v>
      </c>
      <c r="J66" s="14"/>
      <c r="K66" s="14" t="str">
        <f t="shared" si="1"/>
        <v/>
      </c>
    </row>
    <row r="67">
      <c r="A67" s="22" t="str">
        <f>IFERROR(__xludf.DUMMYFUNCTION("""COMPUTED_VALUE"""),"Robert Huijsmans")</f>
        <v>Robert Huijsmans</v>
      </c>
      <c r="B67" s="22" t="str">
        <f>IFERROR(__xludf.DUMMYFUNCTION("""COMPUTED_VALUE"""),"rhuijsmans@ipcentric.nl")</f>
        <v>rhuijsmans@ipcentric.nl</v>
      </c>
      <c r="C67" s="22" t="str">
        <f>IFERROR(__xludf.DUMMYFUNCTION("""COMPUTED_VALUE"""),"IPCentric Solutions")</f>
        <v>IPCentric Solutions</v>
      </c>
      <c r="D67" s="22" t="str">
        <f>IFERROR(__xludf.DUMMYFUNCTION("""COMPUTED_VALUE"""),"Founder")</f>
        <v>Founder</v>
      </c>
      <c r="E67" s="22" t="str">
        <f>IFERROR(__xludf.DUMMYFUNCTION("""COMPUTED_VALUE"""),"Networking")</f>
        <v>Networking</v>
      </c>
      <c r="F67" s="22" t="str">
        <f>IFERROR(__xludf.DUMMYFUNCTION("""COMPUTED_VALUE"""),"Cyber")</f>
        <v>Cyber</v>
      </c>
      <c r="H67" s="22" t="str">
        <f>VLOOKUP(B67,'new total list'!E:E,1,false)</f>
        <v>rhuijsmans@ipcentric.nl</v>
      </c>
      <c r="I67" s="22" t="str">
        <f>vlookup(A67,'new total list'!B:B,1,false)</f>
        <v>#N/A</v>
      </c>
      <c r="J67" s="14"/>
      <c r="K67" s="14" t="str">
        <f t="shared" si="1"/>
        <v/>
      </c>
    </row>
    <row r="68">
      <c r="A68" s="22" t="str">
        <f>IFERROR(__xludf.DUMMYFUNCTION("""COMPUTED_VALUE"""),"Nick Bos")</f>
        <v>Nick Bos</v>
      </c>
      <c r="B68" s="22" t="str">
        <f>IFERROR(__xludf.DUMMYFUNCTION("""COMPUTED_VALUE"""),"n.j.p.m.bos@tudelft.nl")</f>
        <v>n.j.p.m.bos@tudelft.nl</v>
      </c>
      <c r="C68" s="22" t="str">
        <f>IFERROR(__xludf.DUMMYFUNCTION("""COMPUTED_VALUE"""),"TU Delft College van Bestuur")</f>
        <v>TU Delft College van Bestuur</v>
      </c>
      <c r="D68" s="22" t="str">
        <f>IFERROR(__xludf.DUMMYFUNCTION("""COMPUTED_VALUE"""),"CvB-lid Portefeuillehouder Bedrijfsvoering")</f>
        <v>CvB-lid Portefeuillehouder Bedrijfsvoering</v>
      </c>
      <c r="E68" s="22" t="str">
        <f>IFERROR(__xludf.DUMMYFUNCTION("""COMPUTED_VALUE"""),"Kennis")</f>
        <v>Kennis</v>
      </c>
      <c r="F68" s="22" t="str">
        <f>IFERROR(__xludf.DUMMYFUNCTION("""COMPUTED_VALUE"""),"Energy")</f>
        <v>Energy</v>
      </c>
      <c r="H68" s="22" t="str">
        <f>VLOOKUP(B68,'new total list'!E:E,1,false)</f>
        <v>n.j.p.m.bos@tudelft.nl</v>
      </c>
      <c r="I68" s="22" t="str">
        <f>vlookup(A68,'new total list'!B:B,1,false)</f>
        <v>Nick Bos</v>
      </c>
      <c r="J68" s="14"/>
      <c r="K68" s="14" t="str">
        <f t="shared" si="1"/>
        <v/>
      </c>
    </row>
    <row r="69">
      <c r="A69" s="22" t="str">
        <f>IFERROR(__xludf.DUMMYFUNCTION("""COMPUTED_VALUE"""),"Vareska van de Vrande")</f>
        <v>Vareska van de Vrande</v>
      </c>
      <c r="B69" s="22" t="str">
        <f>IFERROR(__xludf.DUMMYFUNCTION("""COMPUTED_VALUE"""),"vvrande@rsm.nl")</f>
        <v>vvrande@rsm.nl</v>
      </c>
      <c r="C69" s="22" t="str">
        <f>IFERROR(__xludf.DUMMYFUNCTION("""COMPUTED_VALUE"""),"Rotterdam School of Management")</f>
        <v>Rotterdam School of Management</v>
      </c>
      <c r="D69" s="22" t="str">
        <f>IFERROR(__xludf.DUMMYFUNCTION("""COMPUTED_VALUE"""),"Erasmus University")</f>
        <v>Erasmus University</v>
      </c>
      <c r="E69" s="22" t="str">
        <f>IFERROR(__xludf.DUMMYFUNCTION("""COMPUTED_VALUE"""),"Professor of Collaborative Innovation and Business Venturing")</f>
        <v>Professor of Collaborative Innovation and Business Venturing</v>
      </c>
      <c r="F69" s="22" t="str">
        <f>IFERROR(__xludf.DUMMYFUNCTION("""COMPUTED_VALUE"""),"Networking")</f>
        <v>Networking</v>
      </c>
      <c r="H69" s="22" t="str">
        <f>VLOOKUP(B69,'new total list'!E:E,1,false)</f>
        <v>vvrande@rsm.nl</v>
      </c>
      <c r="I69" s="22" t="str">
        <f>vlookup(A69,'new total list'!B:B,1,false)</f>
        <v>Vareska van de Vrande</v>
      </c>
      <c r="J69" s="14"/>
      <c r="K69" s="14" t="str">
        <f t="shared" si="1"/>
        <v/>
      </c>
    </row>
    <row r="70">
      <c r="A70" s="22" t="str">
        <f>IFERROR(__xludf.DUMMYFUNCTION("""COMPUTED_VALUE"""),"Diana Droog")</f>
        <v>Diana Droog</v>
      </c>
      <c r="B70" s="22" t="str">
        <f>IFERROR(__xludf.DUMMYFUNCTION("""COMPUTED_VALUE"""),"d.droog@tudelft.nl")</f>
        <v>d.droog@tudelft.nl</v>
      </c>
      <c r="C70" s="22" t="str">
        <f>IFERROR(__xludf.DUMMYFUNCTION("""COMPUTED_VALUE"""),"TU Delft")</f>
        <v>TU Delft</v>
      </c>
      <c r="D70" s="22" t="str">
        <f>IFERROR(__xludf.DUMMYFUNCTION("""COMPUTED_VALUE"""),"EU Funding support - NATO DIANA Support")</f>
        <v>EU Funding support - NATO DIANA Support</v>
      </c>
      <c r="E70" s="22" t="str">
        <f>IFERROR(__xludf.DUMMYFUNCTION("""COMPUTED_VALUE"""),"to widingen my netwerk")</f>
        <v>to widingen my netwerk</v>
      </c>
      <c r="F70" s="22" t="str">
        <f>IFERROR(__xludf.DUMMYFUNCTION("""COMPUTED_VALUE"""),"Dual Use")</f>
        <v>Dual Use</v>
      </c>
      <c r="H70" s="22" t="str">
        <f>VLOOKUP(B70,'new total list'!E:E,1,false)</f>
        <v>d.droog@tudelft.nl</v>
      </c>
      <c r="I70" s="22" t="str">
        <f>vlookup(A70,'new total list'!B:B,1,false)</f>
        <v>Diana Droog</v>
      </c>
      <c r="J70" s="14"/>
      <c r="K70" s="14" t="str">
        <f t="shared" si="1"/>
        <v/>
      </c>
    </row>
    <row r="71">
      <c r="A71" s="22" t="str">
        <f>IFERROR(__xludf.DUMMYFUNCTION("""COMPUTED_VALUE"""),"Arie Slottje")</f>
        <v>Arie Slottje</v>
      </c>
      <c r="B71" s="22" t="str">
        <f>IFERROR(__xludf.DUMMYFUNCTION("""COMPUTED_VALUE"""),"slottjearie@gmail.com")</f>
        <v>slottjearie@gmail.com</v>
      </c>
      <c r="C71" s="22" t="str">
        <f>IFERROR(__xludf.DUMMYFUNCTION("""COMPUTED_VALUE"""),"Na")</f>
        <v>Na</v>
      </c>
      <c r="D71" s="22" t="str">
        <f>IFERROR(__xludf.DUMMYFUNCTION("""COMPUTED_VALUE"""),"YES!Delft mentor")</f>
        <v>YES!Delft mentor</v>
      </c>
      <c r="E71" s="22" t="str">
        <f>IFERROR(__xludf.DUMMYFUNCTION("""COMPUTED_VALUE"""),"Contacts and inspiration")</f>
        <v>Contacts and inspiration</v>
      </c>
      <c r="F71" s="22" t="str">
        <f>IFERROR(__xludf.DUMMYFUNCTION("""COMPUTED_VALUE"""),"MedTech")</f>
        <v>MedTech</v>
      </c>
      <c r="H71" s="22" t="str">
        <f>VLOOKUP(B71,'new total list'!E:E,1,false)</f>
        <v>slottjearie@gmail.com</v>
      </c>
      <c r="I71" s="22" t="str">
        <f>vlookup(A71,'new total list'!B:B,1,false)</f>
        <v>Arie Slottje</v>
      </c>
      <c r="J71" s="14"/>
      <c r="K71" s="14" t="str">
        <f t="shared" si="1"/>
        <v/>
      </c>
    </row>
    <row r="72">
      <c r="A72" s="22" t="str">
        <f>IFERROR(__xludf.DUMMYFUNCTION("""COMPUTED_VALUE"""),"Sven Bakkes")</f>
        <v>Sven Bakkes</v>
      </c>
      <c r="B72" s="22" t="str">
        <f>IFERROR(__xludf.DUMMYFUNCTION("""COMPUTED_VALUE"""),"sven@lumolabs.io")</f>
        <v>sven@lumolabs.io</v>
      </c>
      <c r="C72" s="22" t="str">
        <f>IFERROR(__xludf.DUMMYFUNCTION("""COMPUTED_VALUE"""),"LUMO Labs")</f>
        <v>LUMO Labs</v>
      </c>
      <c r="D72" s="22" t="str">
        <f>IFERROR(__xludf.DUMMYFUNCTION("""COMPUTED_VALUE"""),"Founding Partner")</f>
        <v>Founding Partner</v>
      </c>
      <c r="E72" s="22" t="str">
        <f>IFERROR(__xludf.DUMMYFUNCTION("""COMPUTED_VALUE"""),"Netwerken")</f>
        <v>Netwerken</v>
      </c>
      <c r="F72" s="22" t="str">
        <f>IFERROR(__xludf.DUMMYFUNCTION("""COMPUTED_VALUE"""),"MedTech")</f>
        <v>MedTech</v>
      </c>
      <c r="H72" s="22" t="str">
        <f>VLOOKUP(B72,'new total list'!E:E,1,false)</f>
        <v>sven@lumolabs.io</v>
      </c>
      <c r="I72" s="22" t="str">
        <f>vlookup(A72,'new total list'!B:B,1,false)</f>
        <v>Sven Bakkes</v>
      </c>
      <c r="J72" s="14"/>
      <c r="K72" s="14" t="str">
        <f t="shared" si="1"/>
        <v/>
      </c>
      <c r="L72" s="7" t="s">
        <v>707</v>
      </c>
    </row>
    <row r="73">
      <c r="A73" s="22" t="str">
        <f>IFERROR(__xludf.DUMMYFUNCTION("""COMPUTED_VALUE"""),"Ronald Gelderblom")</f>
        <v>Ronald Gelderblom</v>
      </c>
      <c r="B73" s="22" t="str">
        <f>IFERROR(__xludf.DUMMYFUNCTION("""COMPUTED_VALUE"""),"r.gelderblom@tudelft.nl")</f>
        <v>r.gelderblom@tudelft.nl</v>
      </c>
      <c r="C73" s="22" t="str">
        <f>IFERROR(__xludf.DUMMYFUNCTION("""COMPUTED_VALUE"""),"Delft Enterprises")</f>
        <v>Delft Enterprises</v>
      </c>
      <c r="D73" s="22" t="str">
        <f>IFERROR(__xludf.DUMMYFUNCTION("""COMPUTED_VALUE"""),"Managing Director")</f>
        <v>Managing Director</v>
      </c>
      <c r="E73" s="22" t="str">
        <f>IFERROR(__xludf.DUMMYFUNCTION("""COMPUTED_VALUE"""),"Networking")</f>
        <v>Networking</v>
      </c>
      <c r="F73" s="22" t="str">
        <f>IFERROR(__xludf.DUMMYFUNCTION("""COMPUTED_VALUE"""),"​Future of Compute")</f>
        <v>​Future of Compute</v>
      </c>
      <c r="H73" s="22" t="str">
        <f>VLOOKUP(B73,'new total list'!E:E,1,false)</f>
        <v>R.Gelderblom@tudelft.nl</v>
      </c>
      <c r="I73" s="22" t="str">
        <f>vlookup(A73,'new total list'!B:B,1,false)</f>
        <v>Ronald Gelderblom</v>
      </c>
      <c r="J73" s="14"/>
      <c r="K73" s="14" t="str">
        <f t="shared" si="1"/>
        <v/>
      </c>
    </row>
    <row r="74">
      <c r="A74" s="22" t="str">
        <f>IFERROR(__xludf.DUMMYFUNCTION("""COMPUTED_VALUE"""),"Erik Ver")</f>
        <v>Erik Ver</v>
      </c>
      <c r="B74" s="22" t="str">
        <f>IFERROR(__xludf.DUMMYFUNCTION("""COMPUTED_VALUE"""),"verloopbv@hotmail.com")</f>
        <v>verloopbv@hotmail.com</v>
      </c>
      <c r="C74" s="22" t="str">
        <f>IFERROR(__xludf.DUMMYFUNCTION("""COMPUTED_VALUE"""),"Verloop Solutions BV")</f>
        <v>Verloop Solutions BV</v>
      </c>
      <c r="D74" s="22" t="str">
        <f>IFERROR(__xludf.DUMMYFUNCTION("""COMPUTED_VALUE"""),"Directeur")</f>
        <v>Directeur</v>
      </c>
      <c r="E74" s="22" t="str">
        <f>IFERROR(__xludf.DUMMYFUNCTION("""COMPUTED_VALUE"""),"Meet up with founders")</f>
        <v>Meet up with founders</v>
      </c>
      <c r="F74" s="22" t="str">
        <f>IFERROR(__xludf.DUMMYFUNCTION("""COMPUTED_VALUE"""),"Maritime")</f>
        <v>Maritime</v>
      </c>
      <c r="H74" s="22" t="str">
        <f>VLOOKUP(B74,'new total list'!E:E,1,false)</f>
        <v>verloopbv@hotmail.com</v>
      </c>
      <c r="I74" s="22" t="str">
        <f>vlookup(A74,'new total list'!B:B,1,false)</f>
        <v>#N/A</v>
      </c>
      <c r="J74" s="14"/>
      <c r="K74" s="14" t="str">
        <f t="shared" si="1"/>
        <v/>
      </c>
      <c r="L74" s="7" t="s">
        <v>720</v>
      </c>
    </row>
    <row r="75">
      <c r="A75" s="22" t="str">
        <f>IFERROR(__xludf.DUMMYFUNCTION("""COMPUTED_VALUE"""),"Stef Prinsen")</f>
        <v>Stef Prinsen</v>
      </c>
      <c r="B75" s="22" t="str">
        <f>IFERROR(__xludf.DUMMYFUNCTION("""COMPUTED_VALUE"""),"stef.prinsen@tno.nl")</f>
        <v>stef.prinsen@tno.nl</v>
      </c>
      <c r="C75" s="22" t="str">
        <f>IFERROR(__xludf.DUMMYFUNCTION("""COMPUTED_VALUE"""),"TNO Fast Track")</f>
        <v>TNO Fast Track</v>
      </c>
      <c r="D75" s="22" t="str">
        <f>IFERROR(__xludf.DUMMYFUNCTION("""COMPUTED_VALUE"""),"Business Developer")</f>
        <v>Business Developer</v>
      </c>
      <c r="E75" s="22" t="str">
        <f>IFERROR(__xludf.DUMMYFUNCTION("""COMPUTED_VALUE"""),"Our mission is to accelerate the R&amp;D roadmap of Dutch deeptech startups. Always keen to speak with founders and hear about their technical challanges and ambitions")</f>
        <v>Our mission is to accelerate the R&amp;D roadmap of Dutch deeptech startups. Always keen to speak with founders and hear about their technical challanges and ambitions</v>
      </c>
      <c r="F75" s="22" t="str">
        <f>IFERROR(__xludf.DUMMYFUNCTION("""COMPUTED_VALUE"""),"Energy")</f>
        <v>Energy</v>
      </c>
      <c r="H75" s="22" t="str">
        <f>VLOOKUP(B75,'new total list'!E:E,1,false)</f>
        <v>stef.prinsen@tno.nl</v>
      </c>
      <c r="I75" s="22" t="str">
        <f>vlookup(A75,'new total list'!B:B,1,false)</f>
        <v>Stef Prinsen</v>
      </c>
      <c r="J75" s="14"/>
      <c r="K75" s="14" t="str">
        <f t="shared" si="1"/>
        <v/>
      </c>
      <c r="L75" s="7" t="s">
        <v>720</v>
      </c>
    </row>
    <row r="76">
      <c r="A76" s="22" t="str">
        <f>IFERROR(__xludf.DUMMYFUNCTION("""COMPUTED_VALUE"""),"Frederik Westerouen van Meeteren")</f>
        <v>Frederik Westerouen van Meeteren</v>
      </c>
      <c r="B76" s="22" t="str">
        <f>IFERROR(__xludf.DUMMYFUNCTION("""COMPUTED_VALUE"""),"fvanmeeteren@gmail.com")</f>
        <v>fvanmeeteren@gmail.com</v>
      </c>
      <c r="C76" s="22" t="str">
        <f>IFERROR(__xludf.DUMMYFUNCTION("""COMPUTED_VALUE"""),"FWVM Enterprises B.V.")</f>
        <v>FWVM Enterprises B.V.</v>
      </c>
      <c r="D76" s="22" t="str">
        <f>IFERROR(__xludf.DUMMYFUNCTION("""COMPUTED_VALUE"""),"Innovation Strategist &amp; Startup Mentor")</f>
        <v>Innovation Strategist &amp; Startup Mentor</v>
      </c>
      <c r="E76" s="22" t="str">
        <f>IFERROR(__xludf.DUMMYFUNCTION("""COMPUTED_VALUE"""),"Help startups grow to the next level!")</f>
        <v>Help startups grow to the next level!</v>
      </c>
      <c r="F76" s="22" t="str">
        <f>IFERROR(__xludf.DUMMYFUNCTION("""COMPUTED_VALUE"""),"​Future of Compute")</f>
        <v>​Future of Compute</v>
      </c>
      <c r="H76" s="22" t="str">
        <f>VLOOKUP(B76,'new total list'!E:E,1,false)</f>
        <v>fvanmeeteren@gmail.com</v>
      </c>
      <c r="I76" s="22" t="str">
        <f>vlookup(A76,'new total list'!B:B,1,false)</f>
        <v>Frederik Westerouen van Meeteren</v>
      </c>
      <c r="J76" s="14"/>
      <c r="K76" s="14" t="str">
        <f t="shared" si="1"/>
        <v/>
      </c>
    </row>
    <row r="77">
      <c r="A77" s="22" t="str">
        <f>IFERROR(__xludf.DUMMYFUNCTION("""COMPUTED_VALUE"""),"Floris Van Den Broek")</f>
        <v>Floris Van Den Broek</v>
      </c>
      <c r="B77" s="22" t="str">
        <f>IFERROR(__xludf.DUMMYFUNCTION("""COMPUTED_VALUE"""),"floris@ictinstitute.nl")</f>
        <v>floris@ictinstitute.nl</v>
      </c>
      <c r="C77" s="22" t="str">
        <f>IFERROR(__xludf.DUMMYFUNCTION("""COMPUTED_VALUE"""),"ict institute")</f>
        <v>ict institute</v>
      </c>
      <c r="D77" s="22" t="str">
        <f>IFERROR(__xludf.DUMMYFUNCTION("""COMPUTED_VALUE"""),"partner")</f>
        <v>partner</v>
      </c>
      <c r="E77" s="22" t="str">
        <f>IFERROR(__xludf.DUMMYFUNCTION("""COMPUTED_VALUE"""),"network")</f>
        <v>network</v>
      </c>
      <c r="F77" s="22" t="str">
        <f>IFERROR(__xludf.DUMMYFUNCTION("""COMPUTED_VALUE"""),"Cyber")</f>
        <v>Cyber</v>
      </c>
      <c r="H77" s="22" t="str">
        <f>VLOOKUP(B77,'new total list'!E:E,1,false)</f>
        <v>#N/A</v>
      </c>
      <c r="I77" s="22" t="str">
        <f>vlookup(A77,'new total list'!B:B,1,false)</f>
        <v>Floris van den Broek</v>
      </c>
      <c r="J77" s="14"/>
      <c r="K77" s="14" t="str">
        <f t="shared" si="1"/>
        <v/>
      </c>
    </row>
    <row r="78">
      <c r="A78" s="22" t="str">
        <f>IFERROR(__xludf.DUMMYFUNCTION("""COMPUTED_VALUE"""),"Cas van Cooten")</f>
        <v>Cas van Cooten</v>
      </c>
      <c r="B78" s="22" t="str">
        <f>IFERROR(__xludf.DUMMYFUNCTION("""COMPUTED_VALUE"""),"cas@offensys.com")</f>
        <v>cas@offensys.com</v>
      </c>
      <c r="C78" s="22" t="str">
        <f>IFERROR(__xludf.DUMMYFUNCTION("""COMPUTED_VALUE"""),"Offensys")</f>
        <v>Offensys</v>
      </c>
      <c r="D78" s="22" t="str">
        <f>IFERROR(__xludf.DUMMYFUNCTION("""COMPUTED_VALUE"""),"Co-founder")</f>
        <v>Co-founder</v>
      </c>
      <c r="E78" s="22" t="str">
        <f>IFERROR(__xludf.DUMMYFUNCTION("""COMPUTED_VALUE"""),"Exposure for startup (booth and/or pitches)")</f>
        <v>Exposure for startup (booth and/or pitches)</v>
      </c>
      <c r="F78" s="22" t="str">
        <f>IFERROR(__xludf.DUMMYFUNCTION("""COMPUTED_VALUE"""),"networking")</f>
        <v>networking</v>
      </c>
      <c r="H78" s="22" t="str">
        <f>VLOOKUP(B78,'new total list'!E:E,1,false)</f>
        <v>#N/A</v>
      </c>
      <c r="I78" s="22" t="str">
        <f>vlookup(A78,'new total list'!B:B,1,false)</f>
        <v>Cas van Cooten</v>
      </c>
      <c r="J78" s="14"/>
      <c r="K78" s="14" t="str">
        <f t="shared" si="1"/>
        <v/>
      </c>
    </row>
    <row r="79">
      <c r="A79" s="22" t="str">
        <f>IFERROR(__xludf.DUMMYFUNCTION("""COMPUTED_VALUE"""),"Frank Schuijer")</f>
        <v>Frank Schuijer</v>
      </c>
      <c r="B79" s="22" t="str">
        <f>IFERROR(__xludf.DUMMYFUNCTION("""COMPUTED_VALUE"""),"frank@sirrom.nl")</f>
        <v>frank@sirrom.nl</v>
      </c>
      <c r="C79" s="22" t="str">
        <f>IFERROR(__xludf.DUMMYFUNCTION("""COMPUTED_VALUE"""),"Sirrom Holding B.V.")</f>
        <v>Sirrom Holding B.V.</v>
      </c>
      <c r="D79" s="22" t="str">
        <f>IFERROR(__xludf.DUMMYFUNCTION("""COMPUTED_VALUE"""),"Startup mentor")</f>
        <v>Startup mentor</v>
      </c>
      <c r="E79" s="22" t="str">
        <f>IFERROR(__xludf.DUMMYFUNCTION("""COMPUTED_VALUE"""),"Getting more excited about our ecosystem")</f>
        <v>Getting more excited about our ecosystem</v>
      </c>
      <c r="F79" s="22" t="str">
        <f>IFERROR(__xludf.DUMMYFUNCTION("""COMPUTED_VALUE"""),"Dual Use")</f>
        <v>Dual Use</v>
      </c>
      <c r="H79" s="22" t="str">
        <f>VLOOKUP(B79,'new total list'!E:E,1,false)</f>
        <v>frank@sirrom.nl</v>
      </c>
      <c r="I79" s="22" t="str">
        <f>vlookup(A79,'new total list'!B:B,1,false)</f>
        <v>Frank Schuijer</v>
      </c>
      <c r="J79" s="14"/>
      <c r="K79" s="14" t="str">
        <f t="shared" si="1"/>
        <v/>
      </c>
    </row>
    <row r="80">
      <c r="A80" s="22" t="str">
        <f>IFERROR(__xludf.DUMMYFUNCTION("""COMPUTED_VALUE"""),"Vlado")</f>
        <v>Vlado</v>
      </c>
      <c r="B80" s="22" t="str">
        <f>IFERROR(__xludf.DUMMYFUNCTION("""COMPUTED_VALUE"""),"vlado@synemedia.eu")</f>
        <v>vlado@synemedia.eu</v>
      </c>
      <c r="C80" s="22" t="str">
        <f>IFERROR(__xludf.DUMMYFUNCTION("""COMPUTED_VALUE"""),"Synemedia")</f>
        <v>Synemedia</v>
      </c>
      <c r="D80" s="22" t="str">
        <f>IFERROR(__xludf.DUMMYFUNCTION("""COMPUTED_VALUE"""),"Owner")</f>
        <v>Owner</v>
      </c>
      <c r="E80" s="22" t="str">
        <f>IFERROR(__xludf.DUMMYFUNCTION("""COMPUTED_VALUE"""),"Meet teams to work with")</f>
        <v>Meet teams to work with</v>
      </c>
      <c r="F80" s="22" t="str">
        <f>IFERROR(__xludf.DUMMYFUNCTION("""COMPUTED_VALUE"""),"MedTech")</f>
        <v>MedTech</v>
      </c>
      <c r="H80" s="22" t="str">
        <f>VLOOKUP(B80,'new total list'!E:E,1,false)</f>
        <v>#N/A</v>
      </c>
      <c r="I80" s="22" t="str">
        <f>vlookup(A80,'new total list'!B:B,1,false)</f>
        <v>#N/A</v>
      </c>
      <c r="J80" s="14"/>
      <c r="K80" s="14" t="str">
        <f t="shared" si="1"/>
        <v>Marked</v>
      </c>
    </row>
    <row r="81">
      <c r="A81" s="22" t="str">
        <f>IFERROR(__xludf.DUMMYFUNCTION("""COMPUTED_VALUE"""),"Richard Holleman")</f>
        <v>Richard Holleman</v>
      </c>
      <c r="B81" s="22" t="str">
        <f>IFERROR(__xludf.DUMMYFUNCTION("""COMPUTED_VALUE"""),"richard@caricecars.com")</f>
        <v>richard@caricecars.com</v>
      </c>
      <c r="C81" s="22" t="str">
        <f>IFERROR(__xludf.DUMMYFUNCTION("""COMPUTED_VALUE"""),"Carice BV")</f>
        <v>Carice BV</v>
      </c>
      <c r="D81" s="22" t="str">
        <f>IFERROR(__xludf.DUMMYFUNCTION("""COMPUTED_VALUE"""),"Founder")</f>
        <v>Founder</v>
      </c>
      <c r="E81" s="22" t="str">
        <f>IFERROR(__xludf.DUMMYFUNCTION("""COMPUTED_VALUE"""),"Making friends to make the world a little nicer.")</f>
        <v>Making friends to make the world a little nicer.</v>
      </c>
      <c r="F81" s="22" t="str">
        <f>IFERROR(__xludf.DUMMYFUNCTION("""COMPUTED_VALUE"""),"Energy")</f>
        <v>Energy</v>
      </c>
      <c r="H81" s="22" t="str">
        <f>VLOOKUP(B81,'new total list'!E:E,1,false)</f>
        <v>richard@caricecars.com</v>
      </c>
      <c r="I81" s="22" t="str">
        <f>vlookup(A81,'new total list'!B:B,1,false)</f>
        <v>Richard Holleman</v>
      </c>
      <c r="J81" s="14"/>
      <c r="K81" s="14" t="str">
        <f t="shared" si="1"/>
        <v/>
      </c>
    </row>
    <row r="82">
      <c r="A82" s="22" t="str">
        <f>IFERROR(__xludf.DUMMYFUNCTION("""COMPUTED_VALUE"""),"Flip Jansen")</f>
        <v>Flip Jansen</v>
      </c>
      <c r="B82" s="22" t="str">
        <f>IFERROR(__xludf.DUMMYFUNCTION("""COMPUTED_VALUE"""),"fj@innovationindustries.com")</f>
        <v>fj@innovationindustries.com</v>
      </c>
      <c r="C82" s="22" t="str">
        <f>IFERROR(__xludf.DUMMYFUNCTION("""COMPUTED_VALUE"""),"Innovation Industries")</f>
        <v>Innovation Industries</v>
      </c>
      <c r="D82" s="22" t="str">
        <f>IFERROR(__xludf.DUMMYFUNCTION("""COMPUTED_VALUE"""),"Investment Analyst")</f>
        <v>Investment Analyst</v>
      </c>
      <c r="E82" s="22" t="str">
        <f>IFERROR(__xludf.DUMMYFUNCTION("""COMPUTED_VALUE"""),"Network and sourcing")</f>
        <v>Network and sourcing</v>
      </c>
      <c r="F82" s="22" t="str">
        <f>IFERROR(__xludf.DUMMYFUNCTION("""COMPUTED_VALUE"""),"​Future of Compute")</f>
        <v>​Future of Compute</v>
      </c>
      <c r="H82" s="22" t="str">
        <f>VLOOKUP(B82,'new total list'!E:E,1,false)</f>
        <v>#N/A</v>
      </c>
      <c r="I82" s="22" t="str">
        <f>vlookup(A82,'new total list'!B:B,1,false)</f>
        <v>#N/A</v>
      </c>
      <c r="J82" s="14"/>
      <c r="K82" s="14" t="str">
        <f t="shared" si="1"/>
        <v>Marked</v>
      </c>
    </row>
    <row r="83">
      <c r="A83" s="22" t="str">
        <f>IFERROR(__xludf.DUMMYFUNCTION("""COMPUTED_VALUE"""),"Patrick Besten")</f>
        <v>Patrick Besten</v>
      </c>
      <c r="B83" s="22" t="str">
        <f>IFERROR(__xludf.DUMMYFUNCTION("""COMPUTED_VALUE"""),"p.j.besten@icloud.com")</f>
        <v>p.j.besten@icloud.com</v>
      </c>
      <c r="C83" s="22" t="str">
        <f>IFERROR(__xludf.DUMMYFUNCTION("""COMPUTED_VALUE"""),"Flywheel Impact")</f>
        <v>Flywheel Impact</v>
      </c>
      <c r="D83" s="22" t="str">
        <f>IFERROR(__xludf.DUMMYFUNCTION("""COMPUTED_VALUE"""),"DGA")</f>
        <v>DGA</v>
      </c>
      <c r="E83" s="22" t="str">
        <f>IFERROR(__xludf.DUMMYFUNCTION("""COMPUTED_VALUE"""),"possible leads")</f>
        <v>possible leads</v>
      </c>
      <c r="F83" s="22" t="str">
        <f>IFERROR(__xludf.DUMMYFUNCTION("""COMPUTED_VALUE"""),"Maritime")</f>
        <v>Maritime</v>
      </c>
      <c r="H83" s="22" t="str">
        <f>VLOOKUP(B83,'new total list'!E:E,1,false)</f>
        <v>#N/A</v>
      </c>
      <c r="I83" s="22" t="str">
        <f>vlookup(A83,'new total list'!B:B,1,false)</f>
        <v>#N/A</v>
      </c>
      <c r="J83" s="14"/>
      <c r="K83" s="14" t="str">
        <f t="shared" si="1"/>
        <v>Marked</v>
      </c>
    </row>
    <row r="84">
      <c r="A84" s="22" t="str">
        <f>IFERROR(__xludf.DUMMYFUNCTION("""COMPUTED_VALUE"""),"Salima Oualite")</f>
        <v>Salima Oualite</v>
      </c>
      <c r="B84" s="22" t="str">
        <f>IFERROR(__xludf.DUMMYFUNCTION("""COMPUTED_VALUE"""),"salima.oualite@denhaag.nl")</f>
        <v>salima.oualite@denhaag.nl</v>
      </c>
      <c r="C84" s="22" t="str">
        <f>IFERROR(__xludf.DUMMYFUNCTION("""COMPUTED_VALUE"""),"The Hague Municipality")</f>
        <v>The Hague Municipality</v>
      </c>
      <c r="D84" s="22" t="str">
        <f>IFERROR(__xludf.DUMMYFUNCTION("""COMPUTED_VALUE"""),"Policy Advisor Economic Affairs")</f>
        <v>Policy Advisor Economic Affairs</v>
      </c>
      <c r="E84" s="22" t="str">
        <f>IFERROR(__xludf.DUMMYFUNCTION("""COMPUTED_VALUE"""),"Insight into innovations and developments within the ecosystem and its networks")</f>
        <v>Insight into innovations and developments within the ecosystem and its networks</v>
      </c>
      <c r="F84" s="22" t="str">
        <f>IFERROR(__xludf.DUMMYFUNCTION("""COMPUTED_VALUE"""),"Maritime")</f>
        <v>Maritime</v>
      </c>
      <c r="H84" s="22" t="str">
        <f>VLOOKUP(B84,'new total list'!E:E,1,false)</f>
        <v>salima.oualite@denhaag.nl</v>
      </c>
      <c r="I84" s="22" t="str">
        <f>vlookup(A84,'new total list'!B:B,1,false)</f>
        <v>Salima Oualite</v>
      </c>
      <c r="J84" s="14"/>
      <c r="K84" s="14" t="str">
        <f t="shared" si="1"/>
        <v/>
      </c>
    </row>
    <row r="85">
      <c r="A85" s="22" t="str">
        <f>IFERROR(__xludf.DUMMYFUNCTION("""COMPUTED_VALUE"""),"Ellen Hensbergen")</f>
        <v>Ellen Hensbergen</v>
      </c>
      <c r="B85" s="22" t="str">
        <f>IFERROR(__xludf.DUMMYFUNCTION("""COMPUTED_VALUE"""),"ellen.hensbergen@invesdor.com")</f>
        <v>ellen.hensbergen@invesdor.com</v>
      </c>
      <c r="C85" s="22" t="str">
        <f>IFERROR(__xludf.DUMMYFUNCTION("""COMPUTED_VALUE"""),"Invesdor")</f>
        <v>Invesdor</v>
      </c>
      <c r="D85" s="22" t="str">
        <f>IFERROR(__xludf.DUMMYFUNCTION("""COMPUTED_VALUE"""),"Managing Director")</f>
        <v>Managing Director</v>
      </c>
      <c r="E85" s="22" t="str">
        <f>IFERROR(__xludf.DUMMYFUNCTION("""COMPUTED_VALUE"""),"Get to know new companies")</f>
        <v>Get to know new companies</v>
      </c>
      <c r="F85" s="22" t="str">
        <f>IFERROR(__xludf.DUMMYFUNCTION("""COMPUTED_VALUE"""),"Energy")</f>
        <v>Energy</v>
      </c>
      <c r="H85" s="22" t="str">
        <f>VLOOKUP(B85,'new total list'!E:E,1,false)</f>
        <v>ellen.hensbergen@invesdor.com</v>
      </c>
      <c r="I85" s="22" t="str">
        <f>vlookup(A85,'new total list'!B:B,1,false)</f>
        <v>Ellen Hensbergen</v>
      </c>
      <c r="J85" s="14"/>
      <c r="K85" s="14" t="str">
        <f t="shared" si="1"/>
        <v/>
      </c>
    </row>
    <row r="86">
      <c r="A86" s="22" t="str">
        <f>IFERROR(__xludf.DUMMYFUNCTION("""COMPUTED_VALUE"""),"Ralf")</f>
        <v>Ralf</v>
      </c>
      <c r="B86" s="22" t="str">
        <f>IFERROR(__xludf.DUMMYFUNCTION("""COMPUTED_VALUE"""),"ralf@ralfheijkants.nl")</f>
        <v>ralf@ralfheijkants.nl</v>
      </c>
      <c r="C86" s="22" t="str">
        <f>IFERROR(__xludf.DUMMYFUNCTION("""COMPUTED_VALUE"""),"heijkants")</f>
        <v>heijkants</v>
      </c>
      <c r="D86" s="22" t="str">
        <f>IFERROR(__xludf.DUMMYFUNCTION("""COMPUTED_VALUE"""),"consulant")</f>
        <v>consulant</v>
      </c>
      <c r="E86" s="22" t="str">
        <f>IFERROR(__xludf.DUMMYFUNCTION("""COMPUTED_VALUE"""),"finding startup to join as co-founder")</f>
        <v>finding startup to join as co-founder</v>
      </c>
      <c r="F86" s="22" t="str">
        <f>IFERROR(__xludf.DUMMYFUNCTION("""COMPUTED_VALUE"""),"MedTech")</f>
        <v>MedTech</v>
      </c>
      <c r="H86" s="22" t="str">
        <f>VLOOKUP(B86,'new total list'!E:E,1,false)</f>
        <v>ralf@ralfheijkants.nl</v>
      </c>
      <c r="I86" s="22" t="str">
        <f>vlookup(A86,'new total list'!B:B,1,false)</f>
        <v>#N/A</v>
      </c>
      <c r="J86" s="14"/>
      <c r="K86" s="14" t="str">
        <f t="shared" si="1"/>
        <v/>
      </c>
    </row>
    <row r="87">
      <c r="A87" s="22" t="str">
        <f>IFERROR(__xludf.DUMMYFUNCTION("""COMPUTED_VALUE"""),"tamas puski")</f>
        <v>tamas puski</v>
      </c>
      <c r="B87" s="22" t="str">
        <f>IFERROR(__xludf.DUMMYFUNCTION("""COMPUTED_VALUE"""),"puskitamas@gmail.com")</f>
        <v>puskitamas@gmail.com</v>
      </c>
      <c r="C87" s="22" t="str">
        <f>IFERROR(__xludf.DUMMYFUNCTION("""COMPUTED_VALUE"""),"iseeq")</f>
        <v>iseeq</v>
      </c>
      <c r="D87" s="22" t="str">
        <f>IFERROR(__xludf.DUMMYFUNCTION("""COMPUTED_VALUE"""),"md")</f>
        <v>md</v>
      </c>
      <c r="E87" s="22" t="str">
        <f>IFERROR(__xludf.DUMMYFUNCTION("""COMPUTED_VALUE"""),"networking")</f>
        <v>networking</v>
      </c>
      <c r="F87" s="22" t="str">
        <f>IFERROR(__xludf.DUMMYFUNCTION("""COMPUTED_VALUE"""),"Dual Use")</f>
        <v>Dual Use</v>
      </c>
      <c r="H87" s="22" t="str">
        <f>VLOOKUP(B87,'new total list'!E:E,1,false)</f>
        <v>#N/A</v>
      </c>
      <c r="I87" s="22" t="str">
        <f>vlookup(A87,'new total list'!B:B,1,false)</f>
        <v>Tamas Puski</v>
      </c>
      <c r="J87" s="14"/>
      <c r="K87" s="14" t="str">
        <f t="shared" si="1"/>
        <v/>
      </c>
    </row>
    <row r="88">
      <c r="A88" s="22" t="str">
        <f>IFERROR(__xludf.DUMMYFUNCTION("""COMPUTED_VALUE"""),"Rens Schoenmakers")</f>
        <v>Rens Schoenmakers</v>
      </c>
      <c r="B88" s="22" t="str">
        <f>IFERROR(__xludf.DUMMYFUNCTION("""COMPUTED_VALUE"""),"rens@fyeo.nl")</f>
        <v>rens@fyeo.nl</v>
      </c>
      <c r="C88" s="22" t="str">
        <f>IFERROR(__xludf.DUMMYFUNCTION("""COMPUTED_VALUE"""),"FYEO")</f>
        <v>FYEO</v>
      </c>
      <c r="D88" s="22" t="str">
        <f>IFERROR(__xludf.DUMMYFUNCTION("""COMPUTED_VALUE"""),"CEO")</f>
        <v>CEO</v>
      </c>
      <c r="E88" s="22" t="str">
        <f>IFERROR(__xludf.DUMMYFUNCTION("""COMPUTED_VALUE"""),"meet startups and support the ones I have been mentoring")</f>
        <v>meet startups and support the ones I have been mentoring</v>
      </c>
      <c r="F88" s="22" t="str">
        <f>IFERROR(__xludf.DUMMYFUNCTION("""COMPUTED_VALUE"""),"MedTech")</f>
        <v>MedTech</v>
      </c>
      <c r="H88" s="22" t="str">
        <f>VLOOKUP(B88,'new total list'!E:E,1,false)</f>
        <v>rens@fyeo.nl</v>
      </c>
      <c r="I88" s="22" t="str">
        <f>vlookup(A88,'new total list'!B:B,1,false)</f>
        <v>Rens Schoenmakers</v>
      </c>
      <c r="J88" s="14"/>
      <c r="K88" s="14" t="str">
        <f t="shared" si="1"/>
        <v/>
      </c>
    </row>
    <row r="89">
      <c r="A89" s="22" t="str">
        <f>IFERROR(__xludf.DUMMYFUNCTION("""COMPUTED_VALUE"""),"Auke van den Hout")</f>
        <v>Auke van den Hout</v>
      </c>
      <c r="B89" s="22" t="str">
        <f>IFERROR(__xludf.DUMMYFUNCTION("""COMPUTED_VALUE"""),"auke.vandenhout@graduate.nl")</f>
        <v>auke.vandenhout@graduate.nl</v>
      </c>
      <c r="C89" s="22" t="str">
        <f>IFERROR(__xludf.DUMMYFUNCTION("""COMPUTED_VALUE"""),"Graduate Ventures")</f>
        <v>Graduate Ventures</v>
      </c>
      <c r="D89" s="22" t="str">
        <f>IFERROR(__xludf.DUMMYFUNCTION("""COMPUTED_VALUE"""),"Managing Partner")</f>
        <v>Managing Partner</v>
      </c>
      <c r="E89" s="22" t="str">
        <f>IFERROR(__xludf.DUMMYFUNCTION("""COMPUTED_VALUE"""),"Start uops")</f>
        <v>Start uops</v>
      </c>
      <c r="F89" s="22" t="str">
        <f>IFERROR(__xludf.DUMMYFUNCTION("""COMPUTED_VALUE"""),"Energy")</f>
        <v>Energy</v>
      </c>
      <c r="H89" s="22" t="str">
        <f>VLOOKUP(B89,'new total list'!E:E,1,false)</f>
        <v>auke.vandenhout@graduate.nl</v>
      </c>
      <c r="I89" s="22" t="str">
        <f>vlookup(A89,'new total list'!B:B,1,false)</f>
        <v>Auke van den Hout</v>
      </c>
      <c r="J89" s="14"/>
      <c r="K89" s="14" t="str">
        <f t="shared" si="1"/>
        <v/>
      </c>
    </row>
    <row r="90">
      <c r="A90" s="22" t="str">
        <f>IFERROR(__xludf.DUMMYFUNCTION("""COMPUTED_VALUE"""),"Dan Veen")</f>
        <v>Dan Veen</v>
      </c>
      <c r="B90" s="22" t="str">
        <f>IFERROR(__xludf.DUMMYFUNCTION("""COMPUTED_VALUE"""),"veen@maritimeoffshore.nl")</f>
        <v>veen@maritimeoffshore.nl</v>
      </c>
      <c r="C90" s="22" t="str">
        <f>IFERROR(__xludf.DUMMYFUNCTION("""COMPUTED_VALUE"""),"Maritime &amp; Offshore NL")</f>
        <v>Maritime &amp; Offshore NL</v>
      </c>
      <c r="D90" s="22" t="str">
        <f>IFERROR(__xludf.DUMMYFUNCTION("""COMPUTED_VALUE"""),"Team Lead")</f>
        <v>Team Lead</v>
      </c>
      <c r="E90" s="22" t="str">
        <f>IFERROR(__xludf.DUMMYFUNCTION("""COMPUTED_VALUE"""),"Acces to maritime startups")</f>
        <v>Acces to maritime startups</v>
      </c>
      <c r="F90" s="22" t="str">
        <f>IFERROR(__xludf.DUMMYFUNCTION("""COMPUTED_VALUE"""),"Maritime")</f>
        <v>Maritime</v>
      </c>
      <c r="H90" s="22" t="str">
        <f>VLOOKUP(B90,'new total list'!E:E,1,false)</f>
        <v>#N/A</v>
      </c>
      <c r="I90" s="22" t="str">
        <f>vlookup(A90,'new total list'!B:B,1,false)</f>
        <v>Dan Veen</v>
      </c>
      <c r="J90" s="14"/>
      <c r="K90" s="14" t="str">
        <f t="shared" si="1"/>
        <v/>
      </c>
    </row>
    <row r="91">
      <c r="A91" s="22" t="str">
        <f>IFERROR(__xludf.DUMMYFUNCTION("""COMPUTED_VALUE"""),"Rutger Arisz")</f>
        <v>Rutger Arisz</v>
      </c>
      <c r="B91" s="22" t="str">
        <f>IFERROR(__xludf.DUMMYFUNCTION("""COMPUTED_VALUE"""),"rutger.arisz@gmail.com")</f>
        <v>rutger.arisz@gmail.com</v>
      </c>
      <c r="C91" s="22" t="str">
        <f>IFERROR(__xludf.DUMMYFUNCTION("""COMPUTED_VALUE"""),"ARISZ Management &amp; Consultancy")</f>
        <v>ARISZ Management &amp; Consultancy</v>
      </c>
      <c r="D91" s="22" t="str">
        <f>IFERROR(__xludf.DUMMYFUNCTION("""COMPUTED_VALUE"""),"CEO")</f>
        <v>CEO</v>
      </c>
      <c r="E91" s="22" t="str">
        <f>IFERROR(__xludf.DUMMYFUNCTION("""COMPUTED_VALUE"""),"Network rejuvination")</f>
        <v>Network rejuvination</v>
      </c>
      <c r="F91" s="22" t="str">
        <f>IFERROR(__xludf.DUMMYFUNCTION("""COMPUTED_VALUE"""),"MedTech")</f>
        <v>MedTech</v>
      </c>
      <c r="H91" s="22" t="str">
        <f>VLOOKUP(B91,'new total list'!E:E,1,false)</f>
        <v>rutger.arisz@gmail.com</v>
      </c>
      <c r="I91" s="22" t="str">
        <f>vlookup(A91,'new total list'!B:B,1,false)</f>
        <v>Rutger Arisz</v>
      </c>
      <c r="J91" s="14"/>
      <c r="K91" s="14" t="str">
        <f t="shared" si="1"/>
        <v/>
      </c>
    </row>
    <row r="92">
      <c r="A92" s="22" t="str">
        <f>IFERROR(__xludf.DUMMYFUNCTION("""COMPUTED_VALUE"""),"Régis Cazenave")</f>
        <v>Régis Cazenave</v>
      </c>
      <c r="B92" s="22" t="str">
        <f>IFERROR(__xludf.DUMMYFUNCTION("""COMPUTED_VALUE"""),"regis@mindforward.eu")</f>
        <v>regis@mindforward.eu</v>
      </c>
      <c r="C92" s="22" t="str">
        <f>IFERROR(__xludf.DUMMYFUNCTION("""COMPUTED_VALUE"""),"Mind Forward")</f>
        <v>Mind Forward</v>
      </c>
      <c r="D92" s="22" t="str">
        <f>IFERROR(__xludf.DUMMYFUNCTION("""COMPUTED_VALUE"""),"Managing Partner")</f>
        <v>Managing Partner</v>
      </c>
      <c r="E92" s="22" t="str">
        <f>IFERROR(__xludf.DUMMYFUNCTION("""COMPUTED_VALUE"""),"Meet the Startups to exchange ideas")</f>
        <v>Meet the Startups to exchange ideas</v>
      </c>
      <c r="F92" s="22" t="str">
        <f>IFERROR(__xludf.DUMMYFUNCTION("""COMPUTED_VALUE"""),"explore collaboration opportunities")</f>
        <v>explore collaboration opportunities</v>
      </c>
      <c r="H92" s="22" t="str">
        <f>VLOOKUP(B92,'new total list'!E:E,1,false)</f>
        <v>regis@mindforward.eu</v>
      </c>
      <c r="I92" s="22" t="str">
        <f>vlookup(A92,'new total list'!B:B,1,false)</f>
        <v>Régis Cazenave</v>
      </c>
      <c r="J92" s="14"/>
      <c r="K92" s="14" t="str">
        <f t="shared" si="1"/>
        <v/>
      </c>
    </row>
    <row r="93">
      <c r="A93" s="22" t="str">
        <f>IFERROR(__xludf.DUMMYFUNCTION("""COMPUTED_VALUE"""),"Moritz Mueller")</f>
        <v>Moritz Mueller</v>
      </c>
      <c r="B93" s="22" t="str">
        <f>IFERROR(__xludf.DUMMYFUNCTION("""COMPUTED_VALUE"""),"moritzmueller@setventures.com")</f>
        <v>moritzmueller@setventures.com</v>
      </c>
      <c r="C93" s="22" t="str">
        <f>IFERROR(__xludf.DUMMYFUNCTION("""COMPUTED_VALUE"""),"SET Ventures")</f>
        <v>SET Ventures</v>
      </c>
      <c r="D93" s="22" t="str">
        <f>IFERROR(__xludf.DUMMYFUNCTION("""COMPUTED_VALUE"""),"Investment Manager")</f>
        <v>Investment Manager</v>
      </c>
      <c r="E93" s="22" t="str">
        <f>IFERROR(__xludf.DUMMYFUNCTION("""COMPUTED_VALUE"""),"Meet energy start-ups and get to know the ecosystem.")</f>
        <v>Meet energy start-ups and get to know the ecosystem.</v>
      </c>
      <c r="F93" s="22" t="str">
        <f>IFERROR(__xludf.DUMMYFUNCTION("""COMPUTED_VALUE"""),"Energy")</f>
        <v>Energy</v>
      </c>
      <c r="H93" s="22" t="str">
        <f>VLOOKUP(B93,'new total list'!E:E,1,false)</f>
        <v>moritzmueller@setventures.com</v>
      </c>
      <c r="I93" s="22" t="str">
        <f>vlookup(A93,'new total list'!B:B,1,false)</f>
        <v>#N/A</v>
      </c>
      <c r="J93" s="14"/>
      <c r="K93" s="14" t="str">
        <f t="shared" si="1"/>
        <v/>
      </c>
    </row>
    <row r="94">
      <c r="A94" s="22" t="str">
        <f>IFERROR(__xludf.DUMMYFUNCTION("""COMPUTED_VALUE"""),"Ken Gould")</f>
        <v>Ken Gould</v>
      </c>
      <c r="B94" s="22" t="str">
        <f>IFERROR(__xludf.DUMMYFUNCTION("""COMPUTED_VALUE"""),"gould@evamobility.org")</f>
        <v>gould@evamobility.org</v>
      </c>
      <c r="C94" s="22" t="str">
        <f>IFERROR(__xludf.DUMMYFUNCTION("""COMPUTED_VALUE"""),"EVA")</f>
        <v>EVA</v>
      </c>
      <c r="D94" s="22" t="str">
        <f>IFERROR(__xludf.DUMMYFUNCTION("""COMPUTED_VALUE"""),"Founder")</f>
        <v>Founder</v>
      </c>
      <c r="E94" s="22" t="str">
        <f>IFERROR(__xludf.DUMMYFUNCTION("""COMPUTED_VALUE"""),"Inspiration")</f>
        <v>Inspiration</v>
      </c>
      <c r="F94" s="22" t="str">
        <f>IFERROR(__xludf.DUMMYFUNCTION("""COMPUTED_VALUE"""),"Energy")</f>
        <v>Energy</v>
      </c>
      <c r="H94" s="22" t="str">
        <f>VLOOKUP(B94,'new total list'!E:E,1,false)</f>
        <v>#N/A</v>
      </c>
      <c r="I94" s="22" t="str">
        <f>vlookup(A94,'new total list'!B:B,1,false)</f>
        <v>Ken Gould</v>
      </c>
      <c r="J94" s="14"/>
      <c r="K94" s="14" t="str">
        <f t="shared" si="1"/>
        <v/>
      </c>
      <c r="L94" s="7" t="s">
        <v>798</v>
      </c>
    </row>
    <row r="95">
      <c r="A95" s="22" t="str">
        <f>IFERROR(__xludf.DUMMYFUNCTION("""COMPUTED_VALUE"""),"Hendrik Verschuur")</f>
        <v>Hendrik Verschuur</v>
      </c>
      <c r="B95" s="22" t="str">
        <f>IFERROR(__xludf.DUMMYFUNCTION("""COMPUTED_VALUE"""),"hpverwchuur@gmail.com")</f>
        <v>hpverwchuur@gmail.com</v>
      </c>
      <c r="C95" s="22" t="str">
        <f>IFERROR(__xludf.DUMMYFUNCTION("""COMPUTED_VALUE"""),"I’m a mentor")</f>
        <v>I’m a mentor</v>
      </c>
      <c r="D95" s="22" t="str">
        <f>IFERROR(__xludf.DUMMYFUNCTION("""COMPUTED_VALUE"""),"Doctor")</f>
        <v>Doctor</v>
      </c>
      <c r="E95" s="22" t="str">
        <f>IFERROR(__xludf.DUMMYFUNCTION("""COMPUTED_VALUE"""),"Mentoring")</f>
        <v>Mentoring</v>
      </c>
      <c r="F95" s="22" t="str">
        <f>IFERROR(__xludf.DUMMYFUNCTION("""COMPUTED_VALUE"""),"MedTech")</f>
        <v>MedTech</v>
      </c>
      <c r="H95" s="22" t="str">
        <f>VLOOKUP(B95,'new total list'!E:E,1,false)</f>
        <v>#N/A</v>
      </c>
      <c r="I95" s="22" t="str">
        <f>vlookup(A95,'new total list'!B:B,1,false)</f>
        <v>Hendrik Verschuur</v>
      </c>
      <c r="J95" s="14"/>
      <c r="K95" s="14" t="str">
        <f t="shared" si="1"/>
        <v/>
      </c>
    </row>
    <row r="96">
      <c r="A96" s="22" t="str">
        <f>IFERROR(__xludf.DUMMYFUNCTION("""COMPUTED_VALUE"""),"Matthew Burton")</f>
        <v>Matthew Burton</v>
      </c>
      <c r="B96" s="22" t="str">
        <f>IFERROR(__xludf.DUMMYFUNCTION("""COMPUTED_VALUE"""),"matt@mfbconsulting.nl")</f>
        <v>matt@mfbconsulting.nl</v>
      </c>
      <c r="C96" s="22" t="str">
        <f>IFERROR(__xludf.DUMMYFUNCTION("""COMPUTED_VALUE"""),"MFB Consulting BV")</f>
        <v>MFB Consulting BV</v>
      </c>
      <c r="D96" s="22" t="str">
        <f>IFERROR(__xludf.DUMMYFUNCTION("""COMPUTED_VALUE"""),"Patent Attorney  / Innovation &amp; IP Consultant")</f>
        <v>Patent Attorney  / Innovation &amp; IP Consultant</v>
      </c>
      <c r="E96" s="22" t="str">
        <f>IFERROR(__xludf.DUMMYFUNCTION("""COMPUTED_VALUE"""),"meet exciting young companies; meet companies looking for innovation/IP/patent support")</f>
        <v>meet exciting young companies; meet companies looking for innovation/IP/patent support</v>
      </c>
      <c r="F96" s="22" t="str">
        <f>IFERROR(__xludf.DUMMYFUNCTION("""COMPUTED_VALUE"""),"Energy")</f>
        <v>Energy</v>
      </c>
      <c r="H96" s="22" t="str">
        <f>VLOOKUP(B96,'new total list'!E:E,1,false)</f>
        <v>matt@mfbconsulting.nl</v>
      </c>
      <c r="I96" s="22" t="str">
        <f>vlookup(A96,'new total list'!B:B,1,false)</f>
        <v>Matthew Burton</v>
      </c>
      <c r="J96" s="14"/>
      <c r="K96" s="14" t="str">
        <f t="shared" si="1"/>
        <v/>
      </c>
    </row>
    <row r="97">
      <c r="A97" s="22" t="str">
        <f>IFERROR(__xludf.DUMMYFUNCTION("""COMPUTED_VALUE"""),"Jeroen Mann")</f>
        <v>Jeroen Mann</v>
      </c>
      <c r="B97" s="22" t="str">
        <f>IFERROR(__xludf.DUMMYFUNCTION("""COMPUTED_VALUE"""),"jeroen.mann@mannovation.nl")</f>
        <v>jeroen.mann@mannovation.nl</v>
      </c>
      <c r="C97" s="22" t="str">
        <f>IFERROR(__xludf.DUMMYFUNCTION("""COMPUTED_VALUE"""),"Mannovation BV")</f>
        <v>Mannovation BV</v>
      </c>
      <c r="D97" s="22" t="str">
        <f>IFERROR(__xludf.DUMMYFUNCTION("""COMPUTED_VALUE"""),"Directeur")</f>
        <v>Directeur</v>
      </c>
      <c r="E97" s="22" t="str">
        <f>IFERROR(__xludf.DUMMYFUNCTION("""COMPUTED_VALUE"""),"Inspiration")</f>
        <v>Inspiration</v>
      </c>
      <c r="F97" s="22" t="str">
        <f>IFERROR(__xludf.DUMMYFUNCTION("""COMPUTED_VALUE"""),"Maritime")</f>
        <v>Maritime</v>
      </c>
      <c r="H97" s="45" t="str">
        <f>VLOOKUP(B97,'new total list'!E:E,1,false)</f>
        <v>jeroen.mann@mannovation.nl</v>
      </c>
      <c r="I97" s="22" t="str">
        <f>vlookup(A97,'new total list'!B:B,1,false)</f>
        <v>Jeroen Mann</v>
      </c>
      <c r="J97" s="14"/>
      <c r="K97" s="14" t="str">
        <f t="shared" si="1"/>
        <v/>
      </c>
    </row>
    <row r="98">
      <c r="A98" s="22" t="str">
        <f>IFERROR(__xludf.DUMMYFUNCTION("""COMPUTED_VALUE"""),"Arthur Kramer")</f>
        <v>Arthur Kramer</v>
      </c>
      <c r="B98" s="22" t="str">
        <f>IFERROR(__xludf.DUMMYFUNCTION("""COMPUTED_VALUE"""),"a.kramer@visible-investments.nl")</f>
        <v>a.kramer@visible-investments.nl</v>
      </c>
      <c r="C98" s="22" t="str">
        <f>IFERROR(__xludf.DUMMYFUNCTION("""COMPUTED_VALUE"""),"Visible investments")</f>
        <v>Visible investments</v>
      </c>
      <c r="D98" s="22" t="str">
        <f>IFERROR(__xludf.DUMMYFUNCTION("""COMPUTED_VALUE"""),"GP")</f>
        <v>GP</v>
      </c>
      <c r="E98" s="22" t="str">
        <f>IFERROR(__xludf.DUMMYFUNCTION("""COMPUTED_VALUE"""),"Possible investment opportunities")</f>
        <v>Possible investment opportunities</v>
      </c>
      <c r="F98" s="22" t="str">
        <f>IFERROR(__xludf.DUMMYFUNCTION("""COMPUTED_VALUE"""),"Maritime")</f>
        <v>Maritime</v>
      </c>
      <c r="H98" s="22" t="str">
        <f>VLOOKUP(B98,'new total list'!E:E,1,false)</f>
        <v>a.kramer@visible-investments.nl</v>
      </c>
      <c r="I98" s="22" t="str">
        <f>vlookup(A98,'new total list'!B:B,1,false)</f>
        <v>Arthur Kramer</v>
      </c>
      <c r="J98" s="14"/>
      <c r="K98" s="14" t="str">
        <f t="shared" si="1"/>
        <v/>
      </c>
    </row>
    <row r="99">
      <c r="A99" s="22" t="str">
        <f>IFERROR(__xludf.DUMMYFUNCTION("""COMPUTED_VALUE"""),"Haiyan Che")</f>
        <v>Haiyan Che</v>
      </c>
      <c r="B99" s="22" t="str">
        <f>IFERROR(__xludf.DUMMYFUNCTION("""COMPUTED_VALUE"""),"yilunche@hotmail.com")</f>
        <v>yilunche@hotmail.com</v>
      </c>
      <c r="C99" s="22" t="str">
        <f>IFERROR(__xludf.DUMMYFUNCTION("""COMPUTED_VALUE"""),"Outstanding Consulting Ltd.")</f>
        <v>Outstanding Consulting Ltd.</v>
      </c>
      <c r="D99" s="22" t="str">
        <f>IFERROR(__xludf.DUMMYFUNCTION("""COMPUTED_VALUE"""),"Director")</f>
        <v>Director</v>
      </c>
      <c r="E99" s="22" t="str">
        <f>IFERROR(__xludf.DUMMYFUNCTION("""COMPUTED_VALUE"""),"Networking")</f>
        <v>Networking</v>
      </c>
      <c r="F99" s="22" t="str">
        <f>IFERROR(__xludf.DUMMYFUNCTION("""COMPUTED_VALUE"""),"Dual Use")</f>
        <v>Dual Use</v>
      </c>
      <c r="H99" s="22" t="str">
        <f>VLOOKUP(B99,'new total list'!E:E,1,false)</f>
        <v>yilunche@hotmail.com</v>
      </c>
      <c r="I99" s="22" t="str">
        <f>vlookup(A99,'new total list'!B:B,1,false)</f>
        <v>Haiyan Che</v>
      </c>
      <c r="J99" s="14"/>
      <c r="K99" s="14" t="str">
        <f t="shared" si="1"/>
        <v/>
      </c>
    </row>
    <row r="100">
      <c r="A100" s="22" t="str">
        <f>IFERROR(__xludf.DUMMYFUNCTION("""COMPUTED_VALUE"""),"Ernst van der Wal")</f>
        <v>Ernst van der Wal</v>
      </c>
      <c r="B100" s="22" t="str">
        <f>IFERROR(__xludf.DUMMYFUNCTION("""COMPUTED_VALUE"""),"ernst@lyla.systems")</f>
        <v>ernst@lyla.systems</v>
      </c>
      <c r="C100" s="22" t="str">
        <f>IFERROR(__xludf.DUMMYFUNCTION("""COMPUTED_VALUE"""),"Lyla")</f>
        <v>Lyla</v>
      </c>
      <c r="D100" s="22" t="str">
        <f>IFERROR(__xludf.DUMMYFUNCTION("""COMPUTED_VALUE"""),"Co-founder")</f>
        <v>Co-founder</v>
      </c>
      <c r="E100" s="22" t="str">
        <f>IFERROR(__xludf.DUMMYFUNCTION("""COMPUTED_VALUE"""),"Investor connections")</f>
        <v>Investor connections</v>
      </c>
      <c r="F100" s="22" t="str">
        <f>IFERROR(__xludf.DUMMYFUNCTION("""COMPUTED_VALUE"""),"meet other startups and experts in the medtech field")</f>
        <v>meet other startups and experts in the medtech field</v>
      </c>
      <c r="H100" s="22" t="str">
        <f>VLOOKUP(B100,'new total list'!E:E,1,false)</f>
        <v>Ernst@lyla.systems</v>
      </c>
      <c r="I100" s="22" t="str">
        <f>vlookup(A100,'new total list'!B:B,1,false)</f>
        <v>#N/A</v>
      </c>
      <c r="J100" s="14"/>
      <c r="K100" s="14" t="str">
        <f t="shared" si="1"/>
        <v/>
      </c>
    </row>
    <row r="101">
      <c r="A101" s="22" t="str">
        <f>IFERROR(__xludf.DUMMYFUNCTION("""COMPUTED_VALUE"""),"Iskander Hannivoort")</f>
        <v>Iskander Hannivoort</v>
      </c>
      <c r="B101" s="22" t="str">
        <f>IFERROR(__xludf.DUMMYFUNCTION("""COMPUTED_VALUE"""),"iskander@manuk.ai")</f>
        <v>iskander@manuk.ai</v>
      </c>
      <c r="C101" s="22" t="str">
        <f>IFERROR(__xludf.DUMMYFUNCTION("""COMPUTED_VALUE"""),"Manukai")</f>
        <v>Manukai</v>
      </c>
      <c r="D101" s="22" t="str">
        <f>IFERROR(__xludf.DUMMYFUNCTION("""COMPUTED_VALUE"""),"Founder &amp; CEO")</f>
        <v>Founder &amp; CEO</v>
      </c>
      <c r="E101" s="22" t="str">
        <f>IFERROR(__xludf.DUMMYFUNCTION("""COMPUTED_VALUE"""),"Meet potential partners and investors")</f>
        <v>Meet potential partners and investors</v>
      </c>
      <c r="F101" s="22" t="str">
        <f>IFERROR(__xludf.DUMMYFUNCTION("""COMPUTED_VALUE"""),"​Aerospace")</f>
        <v>​Aerospace</v>
      </c>
      <c r="H101" s="22" t="str">
        <f>VLOOKUP(B101,'new total list'!E:E,1,false)</f>
        <v>iskander@manuk.ai</v>
      </c>
      <c r="I101" s="22" t="str">
        <f>vlookup(A101,'new total list'!B:B,1,false)</f>
        <v>Iskander Hannivoort</v>
      </c>
      <c r="J101" s="14"/>
      <c r="K101" s="14" t="str">
        <f t="shared" si="1"/>
        <v/>
      </c>
    </row>
    <row r="102">
      <c r="A102" s="22" t="str">
        <f>IFERROR(__xludf.DUMMYFUNCTION("""COMPUTED_VALUE"""),"Leapfunder")</f>
        <v>Leapfunder</v>
      </c>
      <c r="B102" s="22" t="str">
        <f>IFERROR(__xludf.DUMMYFUNCTION("""COMPUTED_VALUE"""),"info@leapfunder.com")</f>
        <v>info@leapfunder.com</v>
      </c>
      <c r="C102" s="22" t="str">
        <f>IFERROR(__xludf.DUMMYFUNCTION("""COMPUTED_VALUE"""),"Leapfunder")</f>
        <v>Leapfunder</v>
      </c>
      <c r="D102" s="22" t="str">
        <f>IFERROR(__xludf.DUMMYFUNCTION("""COMPUTED_VALUE"""),"CEO")</f>
        <v>CEO</v>
      </c>
      <c r="E102" s="22" t="str">
        <f>IFERROR(__xludf.DUMMYFUNCTION("""COMPUTED_VALUE"""),"Network")</f>
        <v>Network</v>
      </c>
      <c r="F102" s="22" t="str">
        <f>IFERROR(__xludf.DUMMYFUNCTION("""COMPUTED_VALUE"""),"​Future of Compute")</f>
        <v>​Future of Compute</v>
      </c>
      <c r="H102" s="22" t="str">
        <f>VLOOKUP(B102,'new total list'!E:E,1,false)</f>
        <v>#N/A</v>
      </c>
      <c r="I102" s="22" t="str">
        <f>vlookup(A102,'new total list'!B:B,1,false)</f>
        <v>#N/A</v>
      </c>
      <c r="J102" s="14"/>
      <c r="K102" s="14" t="str">
        <f t="shared" si="1"/>
        <v>Marked</v>
      </c>
    </row>
    <row r="103">
      <c r="A103" s="22" t="str">
        <f>IFERROR(__xludf.DUMMYFUNCTION("""COMPUTED_VALUE"""),"Herbert ten Have")</f>
        <v>Herbert ten Have</v>
      </c>
      <c r="B103" s="22" t="str">
        <f>IFERROR(__xludf.DUMMYFUNCTION("""COMPUTED_VALUE"""),"herberttenhave@gmail.com")</f>
        <v>herberttenhave@gmail.com</v>
      </c>
      <c r="C103" s="22" t="str">
        <f>IFERROR(__xludf.DUMMYFUNCTION("""COMPUTED_VALUE"""),"Herbert scale experts")</f>
        <v>Herbert scale experts</v>
      </c>
      <c r="D103" s="22" t="str">
        <f>IFERROR(__xludf.DUMMYFUNCTION("""COMPUTED_VALUE"""),"CEO")</f>
        <v>CEO</v>
      </c>
      <c r="E103" s="22" t="str">
        <f>IFERROR(__xludf.DUMMYFUNCTION("""COMPUTED_VALUE"""),"Learn &amp; add value")</f>
        <v>Learn &amp; add value</v>
      </c>
      <c r="F103" s="22" t="str">
        <f>IFERROR(__xludf.DUMMYFUNCTION("""COMPUTED_VALUE"""),"Maritime")</f>
        <v>Maritime</v>
      </c>
      <c r="H103" s="22" t="str">
        <f>VLOOKUP(B103,'new total list'!E:E,1,false)</f>
        <v>#N/A</v>
      </c>
      <c r="I103" s="22" t="str">
        <f>vlookup(A103,'new total list'!B:B,1,false)</f>
        <v>Herbert ten Have</v>
      </c>
      <c r="J103" s="14"/>
      <c r="K103" s="14" t="str">
        <f t="shared" si="1"/>
        <v/>
      </c>
    </row>
    <row r="104">
      <c r="A104" s="22" t="str">
        <f>IFERROR(__xludf.DUMMYFUNCTION("""COMPUTED_VALUE"""),"Vincent Wijdeveld")</f>
        <v>Vincent Wijdeveld</v>
      </c>
      <c r="B104" s="22" t="str">
        <f>IFERROR(__xludf.DUMMYFUNCTION("""COMPUTED_VALUE"""),"vincent@tarnoc.nl")</f>
        <v>vincent@tarnoc.nl</v>
      </c>
      <c r="C104" s="22" t="str">
        <f>IFERROR(__xludf.DUMMYFUNCTION("""COMPUTED_VALUE"""),"Tarnoc")</f>
        <v>Tarnoc</v>
      </c>
      <c r="D104" s="22" t="str">
        <f>IFERROR(__xludf.DUMMYFUNCTION("""COMPUTED_VALUE"""),"CEO")</f>
        <v>CEO</v>
      </c>
      <c r="E104" s="22" t="str">
        <f>IFERROR(__xludf.DUMMYFUNCTION("""COMPUTED_VALUE"""),"Investments")</f>
        <v>Investments</v>
      </c>
      <c r="F104" s="22" t="str">
        <f>IFERROR(__xludf.DUMMYFUNCTION("""COMPUTED_VALUE"""),"Energy")</f>
        <v>Energy</v>
      </c>
      <c r="H104" s="22" t="str">
        <f>VLOOKUP(B104,'new total list'!E:E,1,false)</f>
        <v>vincent@tarnoc.nl</v>
      </c>
      <c r="I104" s="22" t="str">
        <f>vlookup(A104,'new total list'!B:B,1,false)</f>
        <v>Vincent Wijdeveld</v>
      </c>
      <c r="J104" s="14"/>
      <c r="K104" s="14" t="str">
        <f t="shared" si="1"/>
        <v/>
      </c>
    </row>
    <row r="105">
      <c r="A105" s="22" t="str">
        <f>IFERROR(__xludf.DUMMYFUNCTION("""COMPUTED_VALUE"""),"John")</f>
        <v>John</v>
      </c>
      <c r="B105" s="22" t="str">
        <f>IFERROR(__xludf.DUMMYFUNCTION("""COMPUTED_VALUE"""),"john@hightechxl.com")</f>
        <v>john@hightechxl.com</v>
      </c>
      <c r="C105" s="22" t="str">
        <f>IFERROR(__xludf.DUMMYFUNCTION("""COMPUTED_VALUE"""),"HighTechXL")</f>
        <v>HighTechXL</v>
      </c>
      <c r="D105" s="22" t="str">
        <f>IFERROR(__xludf.DUMMYFUNCTION("""COMPUTED_VALUE"""),"CEO")</f>
        <v>CEO</v>
      </c>
      <c r="E105" s="22" t="str">
        <f>IFERROR(__xludf.DUMMYFUNCTION("""COMPUTED_VALUE"""),"COnnections")</f>
        <v>COnnections</v>
      </c>
      <c r="F105" s="22" t="str">
        <f>IFERROR(__xludf.DUMMYFUNCTION("""COMPUTED_VALUE"""),"Energy")</f>
        <v>Energy</v>
      </c>
      <c r="H105" s="22" t="str">
        <f>VLOOKUP(B105,'new total list'!E:E,1,false)</f>
        <v>john@hightechxl.com</v>
      </c>
      <c r="I105" s="22" t="str">
        <f>vlookup(A105,'new total list'!B:B,1,false)</f>
        <v>#N/A</v>
      </c>
      <c r="J105" s="14"/>
      <c r="K105" s="14" t="str">
        <f t="shared" si="1"/>
        <v/>
      </c>
    </row>
    <row r="106">
      <c r="A106" s="22" t="str">
        <f>IFERROR(__xludf.DUMMYFUNCTION("""COMPUTED_VALUE"""),"Floris Duffhuis")</f>
        <v>Floris Duffhuis</v>
      </c>
      <c r="B106" s="22" t="str">
        <f>IFERROR(__xludf.DUMMYFUNCTION("""COMPUTED_VALUE"""),"floris.duffhuis@1-2-order.nl")</f>
        <v>floris.duffhuis@1-2-order.nl</v>
      </c>
      <c r="C106" s="22" t="str">
        <f>IFERROR(__xludf.DUMMYFUNCTION("""COMPUTED_VALUE"""),"1-2-ORDER")</f>
        <v>1-2-ORDER</v>
      </c>
      <c r="D106" s="22" t="str">
        <f>IFERROR(__xludf.DUMMYFUNCTION("""COMPUTED_VALUE"""),"Business Development")</f>
        <v>Business Development</v>
      </c>
      <c r="E106" s="22" t="str">
        <f>IFERROR(__xludf.DUMMYFUNCTION("""COMPUTED_VALUE"""),"Exploring collaboration opportunities")</f>
        <v>Exploring collaboration opportunities</v>
      </c>
      <c r="F106" s="22" t="str">
        <f>IFERROR(__xludf.DUMMYFUNCTION("""COMPUTED_VALUE"""),"Maritime")</f>
        <v>Maritime</v>
      </c>
      <c r="H106" s="22" t="str">
        <f>VLOOKUP(B106,'new total list'!E:E,1,false)</f>
        <v>#N/A</v>
      </c>
      <c r="I106" s="22" t="str">
        <f>vlookup(A106,'new total list'!B:B,1,false)</f>
        <v>Floris Duffhuis</v>
      </c>
      <c r="J106" s="14"/>
      <c r="K106" s="14" t="str">
        <f t="shared" si="1"/>
        <v/>
      </c>
    </row>
    <row r="107">
      <c r="A107" s="22" t="str">
        <f>IFERROR(__xludf.DUMMYFUNCTION("""COMPUTED_VALUE"""),"Hicham")</f>
        <v>Hicham</v>
      </c>
      <c r="B107" s="22" t="str">
        <f>IFERROR(__xludf.DUMMYFUNCTION("""COMPUTED_VALUE"""),"shatou@lequest.com")</f>
        <v>shatou@lequest.com</v>
      </c>
      <c r="C107" s="22" t="str">
        <f>IFERROR(__xludf.DUMMYFUNCTION("""COMPUTED_VALUE"""),"LeQuest")</f>
        <v>LeQuest</v>
      </c>
      <c r="D107" s="22" t="str">
        <f>IFERROR(__xludf.DUMMYFUNCTION("""COMPUTED_VALUE"""),"Founder &amp; CEO")</f>
        <v>Founder &amp; CEO</v>
      </c>
      <c r="E107" s="22" t="str">
        <f>IFERROR(__xludf.DUMMYFUNCTION("""COMPUTED_VALUE"""),"connect")</f>
        <v>connect</v>
      </c>
      <c r="F107" s="22" t="str">
        <f>IFERROR(__xludf.DUMMYFUNCTION("""COMPUTED_VALUE"""),"learn")</f>
        <v>learn</v>
      </c>
      <c r="H107" s="22" t="str">
        <f>VLOOKUP(B107,'new total list'!E:E,1,false)</f>
        <v>shatou@lequest.com</v>
      </c>
      <c r="I107" s="22" t="str">
        <f>vlookup(A107,'new total list'!B:B,1,false)</f>
        <v>#N/A</v>
      </c>
      <c r="J107" s="14"/>
      <c r="K107" s="14" t="str">
        <f t="shared" si="1"/>
        <v/>
      </c>
    </row>
    <row r="108">
      <c r="A108" s="22" t="str">
        <f>IFERROR(__xludf.DUMMYFUNCTION("""COMPUTED_VALUE"""),"Reka Gugan")</f>
        <v>Reka Gugan</v>
      </c>
      <c r="B108" s="22" t="str">
        <f>IFERROR(__xludf.DUMMYFUNCTION("""COMPUTED_VALUE"""),"rekagugan@earthstarinvestments.com")</f>
        <v>rekagugan@earthstarinvestments.com</v>
      </c>
      <c r="C108" s="22" t="str">
        <f>IFERROR(__xludf.DUMMYFUNCTION("""COMPUTED_VALUE"""),"Earthstar")</f>
        <v>Earthstar</v>
      </c>
      <c r="D108" s="22" t="str">
        <f>IFERROR(__xludf.DUMMYFUNCTION("""COMPUTED_VALUE"""),"Founding Partner")</f>
        <v>Founding Partner</v>
      </c>
      <c r="E108" s="22" t="str">
        <f>IFERROR(__xludf.DUMMYFUNCTION("""COMPUTED_VALUE"""),"Meeting startups")</f>
        <v>Meeting startups</v>
      </c>
      <c r="F108" s="22" t="str">
        <f>IFERROR(__xludf.DUMMYFUNCTION("""COMPUTED_VALUE"""),"Energy")</f>
        <v>Energy</v>
      </c>
      <c r="H108" s="22" t="str">
        <f>VLOOKUP(B108,'new total list'!E:E,1,false)</f>
        <v>rekagugan@earthstarinvestments.com</v>
      </c>
      <c r="I108" s="22" t="str">
        <f>vlookup(A108,'new total list'!B:B,1,false)</f>
        <v>Reka Gugan</v>
      </c>
      <c r="J108" s="14"/>
      <c r="K108" s="14" t="str">
        <f t="shared" si="1"/>
        <v/>
      </c>
    </row>
    <row r="109">
      <c r="A109" s="22" t="str">
        <f>IFERROR(__xludf.DUMMYFUNCTION("""COMPUTED_VALUE"""),"Dario Turelli")</f>
        <v>Dario Turelli</v>
      </c>
      <c r="B109" s="22" t="str">
        <f>IFERROR(__xludf.DUMMYFUNCTION("""COMPUTED_VALUE"""),"d.a.turelli@tudelft.nl")</f>
        <v>d.a.turelli@tudelft.nl</v>
      </c>
      <c r="C109" s="22" t="str">
        <f>IFERROR(__xludf.DUMMYFUNCTION("""COMPUTED_VALUE"""),"Mondai | House of AI")</f>
        <v>Mondai | House of AI</v>
      </c>
      <c r="D109" s="22" t="str">
        <f>IFERROR(__xludf.DUMMYFUNCTION("""COMPUTED_VALUE"""),"Business Development Manager")</f>
        <v>Business Development Manager</v>
      </c>
      <c r="E109" s="22" t="str">
        <f>IFERROR(__xludf.DUMMYFUNCTION("""COMPUTED_VALUE"""),"Meeting the Startups")</f>
        <v>Meeting the Startups</v>
      </c>
      <c r="F109" s="22" t="str">
        <f>IFERROR(__xludf.DUMMYFUNCTION("""COMPUTED_VALUE"""),"​Future of Compute")</f>
        <v>​Future of Compute</v>
      </c>
      <c r="H109" s="22" t="str">
        <f>VLOOKUP(B109,'new total list'!E:E,1,false)</f>
        <v>d.a.turelli@tudelft.nl</v>
      </c>
      <c r="I109" s="22" t="str">
        <f>vlookup(A109,'new total list'!B:B,1,false)</f>
        <v>Dario Turelli</v>
      </c>
      <c r="J109" s="14"/>
      <c r="K109" s="14" t="str">
        <f t="shared" si="1"/>
        <v/>
      </c>
    </row>
    <row r="110">
      <c r="A110" s="22" t="str">
        <f>IFERROR(__xludf.DUMMYFUNCTION("""COMPUTED_VALUE"""),"Mohammed Hussein")</f>
        <v>Mohammed Hussein</v>
      </c>
      <c r="B110" s="22" t="str">
        <f>IFERROR(__xludf.DUMMYFUNCTION("""COMPUTED_VALUE"""),"m.hussein@hyerpower.nl")</f>
        <v>m.hussein@hyerpower.nl</v>
      </c>
      <c r="C110" s="22" t="str">
        <f>IFERROR(__xludf.DUMMYFUNCTION("""COMPUTED_VALUE"""),"HyER Power B.V.")</f>
        <v>HyER Power B.V.</v>
      </c>
      <c r="D110" s="22" t="str">
        <f>IFERROR(__xludf.DUMMYFUNCTION("""COMPUTED_VALUE"""),"Business Developer")</f>
        <v>Business Developer</v>
      </c>
      <c r="E110" s="22" t="str">
        <f>IFERROR(__xludf.DUMMYFUNCTION("""COMPUTED_VALUE"""),"Networking with energy companies and experts")</f>
        <v>Networking with energy companies and experts</v>
      </c>
      <c r="F110" s="22" t="str">
        <f>IFERROR(__xludf.DUMMYFUNCTION("""COMPUTED_VALUE"""),"Energy")</f>
        <v>Energy</v>
      </c>
      <c r="H110" s="22" t="str">
        <f>VLOOKUP(B110,'new total list'!E:E,1,false)</f>
        <v>m.hussein@hyerpower.nl</v>
      </c>
      <c r="I110" s="22" t="str">
        <f>vlookup(A110,'new total list'!B:B,1,false)</f>
        <v>Mohammed Hussein</v>
      </c>
      <c r="J110" s="14"/>
      <c r="K110" s="14" t="str">
        <f t="shared" si="1"/>
        <v/>
      </c>
    </row>
    <row r="111">
      <c r="A111" s="22" t="str">
        <f>IFERROR(__xludf.DUMMYFUNCTION("""COMPUTED_VALUE"""),"Erik Pentinga")</f>
        <v>Erik Pentinga</v>
      </c>
      <c r="B111" s="22" t="str">
        <f>IFERROR(__xludf.DUMMYFUNCTION("""COMPUTED_VALUE"""),"erik.pentinga@investinternational.nl")</f>
        <v>erik.pentinga@investinternational.nl</v>
      </c>
      <c r="C111" s="22" t="str">
        <f>IFERROR(__xludf.DUMMYFUNCTION("""COMPUTED_VALUE"""),"Invest International")</f>
        <v>Invest International</v>
      </c>
      <c r="D111" s="22" t="str">
        <f>IFERROR(__xludf.DUMMYFUNCTION("""COMPUTED_VALUE"""),"Investment Manager")</f>
        <v>Investment Manager</v>
      </c>
      <c r="E111" s="22" t="str">
        <f>IFERROR(__xludf.DUMMYFUNCTION("""COMPUTED_VALUE"""),"Connect to start/scale-ups with an international financing need (import")</f>
        <v>Connect to start/scale-ups with an international financing need (import</v>
      </c>
      <c r="F111" s="22" t="str">
        <f>IFERROR(__xludf.DUMMYFUNCTION("""COMPUTED_VALUE"""),"export")</f>
        <v>export</v>
      </c>
      <c r="H111" s="22" t="str">
        <f>VLOOKUP(B111,'new total list'!E:E,1,false)</f>
        <v>erik.pentinga@investinternational.nl</v>
      </c>
      <c r="I111" s="22" t="str">
        <f>vlookup(A111,'new total list'!B:B,1,false)</f>
        <v>Erik Pentinga</v>
      </c>
      <c r="J111" s="14"/>
      <c r="K111" s="14" t="str">
        <f t="shared" si="1"/>
        <v/>
      </c>
    </row>
    <row r="112">
      <c r="A112" s="22" t="str">
        <f>IFERROR(__xludf.DUMMYFUNCTION("""COMPUTED_VALUE"""),"John Gebeily")</f>
        <v>John Gebeily</v>
      </c>
      <c r="B112" s="22" t="str">
        <f>IFERROR(__xludf.DUMMYFUNCTION("""COMPUTED_VALUE"""),"john@kadmoscapital.com")</f>
        <v>john@kadmoscapital.com</v>
      </c>
      <c r="C112" s="22" t="str">
        <f>IFERROR(__xludf.DUMMYFUNCTION("""COMPUTED_VALUE"""),"Kadmos Capital Ltd")</f>
        <v>Kadmos Capital Ltd</v>
      </c>
      <c r="D112" s="22" t="str">
        <f>IFERROR(__xludf.DUMMYFUNCTION("""COMPUTED_VALUE"""),"General Partner")</f>
        <v>General Partner</v>
      </c>
      <c r="E112" s="22" t="str">
        <f>IFERROR(__xludf.DUMMYFUNCTION("""COMPUTED_VALUE"""),"Networking")</f>
        <v>Networking</v>
      </c>
      <c r="F112" s="22" t="str">
        <f>IFERROR(__xludf.DUMMYFUNCTION("""COMPUTED_VALUE"""),"Cyber")</f>
        <v>Cyber</v>
      </c>
      <c r="H112" s="22" t="str">
        <f>VLOOKUP(B112,'new total list'!E:E,1,false)</f>
        <v>john@kadmoscapital.com</v>
      </c>
      <c r="I112" s="22" t="str">
        <f>vlookup(A112,'new total list'!B:B,1,false)</f>
        <v>John Gebeily</v>
      </c>
      <c r="J112" s="14"/>
      <c r="K112" s="14" t="str">
        <f t="shared" si="1"/>
        <v/>
      </c>
    </row>
    <row r="113">
      <c r="A113" s="22" t="str">
        <f>IFERROR(__xludf.DUMMYFUNCTION("""COMPUTED_VALUE"""),"Jin")</f>
        <v>Jin</v>
      </c>
      <c r="B113" s="22" t="str">
        <f>IFERROR(__xludf.DUMMYFUNCTION("""COMPUTED_VALUE"""),"hanjin@globusii.com")</f>
        <v>hanjin@globusii.com</v>
      </c>
      <c r="C113" s="22" t="str">
        <f>IFERROR(__xludf.DUMMYFUNCTION("""COMPUTED_VALUE"""),"Globus")</f>
        <v>Globus</v>
      </c>
      <c r="D113" s="22" t="str">
        <f>IFERROR(__xludf.DUMMYFUNCTION("""COMPUTED_VALUE"""),"Managing Partner")</f>
        <v>Managing Partner</v>
      </c>
      <c r="E113" s="22" t="str">
        <f>IFERROR(__xludf.DUMMYFUNCTION("""COMPUTED_VALUE"""),"Network")</f>
        <v>Network</v>
      </c>
      <c r="F113" s="22" t="str">
        <f>IFERROR(__xludf.DUMMYFUNCTION("""COMPUTED_VALUE"""),"Energy")</f>
        <v>Energy</v>
      </c>
      <c r="H113" s="22" t="str">
        <f>VLOOKUP(B113,'new total list'!E:E,1,false)</f>
        <v>hanjin@globusii.com</v>
      </c>
      <c r="I113" s="22" t="str">
        <f>vlookup(A113,'new total list'!B:B,1,false)</f>
        <v>#N/A</v>
      </c>
      <c r="J113" s="14"/>
      <c r="K113" s="14" t="str">
        <f t="shared" si="1"/>
        <v/>
      </c>
    </row>
    <row r="114">
      <c r="A114" s="22" t="str">
        <f>IFERROR(__xludf.DUMMYFUNCTION("""COMPUTED_VALUE"""),"Michel van Schie")</f>
        <v>Michel van Schie</v>
      </c>
      <c r="B114" s="22" t="str">
        <f>IFERROR(__xludf.DUMMYFUNCTION("""COMPUTED_VALUE"""),"m.vanschie@sparkdesign.nl")</f>
        <v>m.vanschie@sparkdesign.nl</v>
      </c>
      <c r="C114" s="22" t="str">
        <f>IFERROR(__xludf.DUMMYFUNCTION("""COMPUTED_VALUE"""),"Spark design &amp; innovation")</f>
        <v>Spark design &amp; innovation</v>
      </c>
      <c r="D114" s="22" t="str">
        <f>IFERROR(__xludf.DUMMYFUNCTION("""COMPUTED_VALUE"""),"Managing partner")</f>
        <v>Managing partner</v>
      </c>
      <c r="E114" s="22" t="str">
        <f>IFERROR(__xludf.DUMMYFUNCTION("""COMPUTED_VALUE"""),"Learn about promising startups")</f>
        <v>Learn about promising startups</v>
      </c>
      <c r="F114" s="22" t="str">
        <f>IFERROR(__xludf.DUMMYFUNCTION("""COMPUTED_VALUE"""),"MedTech")</f>
        <v>MedTech</v>
      </c>
      <c r="H114" s="22" t="str">
        <f>VLOOKUP(B114,'new total list'!E:E,1,false)</f>
        <v>m.vanschie@sparkdesign.nl</v>
      </c>
      <c r="I114" s="22" t="str">
        <f>vlookup(A114,'new total list'!B:B,1,false)</f>
        <v>Michel van Schie</v>
      </c>
      <c r="J114" s="14"/>
      <c r="K114" s="14" t="str">
        <f t="shared" si="1"/>
        <v/>
      </c>
    </row>
    <row r="115">
      <c r="A115" s="22" t="str">
        <f>IFERROR(__xludf.DUMMYFUNCTION("""COMPUTED_VALUE"""),"Rudmer Hoekstra")</f>
        <v>Rudmer Hoekstra</v>
      </c>
      <c r="B115" s="22" t="str">
        <f>IFERROR(__xludf.DUMMYFUNCTION("""COMPUTED_VALUE"""),"r.hoekstra@npex.nl")</f>
        <v>r.hoekstra@npex.nl</v>
      </c>
      <c r="C115" s="45" t="str">
        <f>IFERROR(__xludf.DUMMYFUNCTION("""COMPUTED_VALUE"""),"NPEX.nl")</f>
        <v>NPEX.nl</v>
      </c>
      <c r="D115" s="22" t="str">
        <f>IFERROR(__xludf.DUMMYFUNCTION("""COMPUTED_VALUE"""),"Investor")</f>
        <v>Investor</v>
      </c>
      <c r="E115" s="22" t="str">
        <f>IFERROR(__xludf.DUMMYFUNCTION("""COMPUTED_VALUE"""),"Network")</f>
        <v>Network</v>
      </c>
      <c r="F115" s="22" t="str">
        <f>IFERROR(__xludf.DUMMYFUNCTION("""COMPUTED_VALUE"""),"MedTech")</f>
        <v>MedTech</v>
      </c>
      <c r="H115" s="22" t="str">
        <f>VLOOKUP(B115,'new total list'!E:E,1,false)</f>
        <v>r.hoekstra@npex.nl</v>
      </c>
      <c r="I115" s="22" t="str">
        <f>vlookup(A115,'new total list'!B:B,1,false)</f>
        <v>Rudmer Hoekstra</v>
      </c>
      <c r="J115" s="14"/>
      <c r="K115" s="14" t="str">
        <f t="shared" si="1"/>
        <v/>
      </c>
    </row>
    <row r="116">
      <c r="A116" s="22" t="str">
        <f>IFERROR(__xludf.DUMMYFUNCTION("""COMPUTED_VALUE"""),"Koen Bouwers")</f>
        <v>Koen Bouwers</v>
      </c>
      <c r="B116" s="22" t="str">
        <f>IFERROR(__xludf.DUMMYFUNCTION("""COMPUTED_VALUE"""),"koenbouwers@hotmail.com")</f>
        <v>koenbouwers@hotmail.com</v>
      </c>
      <c r="C116" s="22" t="str">
        <f>IFERROR(__xludf.DUMMYFUNCTION("""COMPUTED_VALUE"""),"Cot partners")</f>
        <v>Cot partners</v>
      </c>
      <c r="D116" s="22" t="str">
        <f>IFERROR(__xludf.DUMMYFUNCTION("""COMPUTED_VALUE"""),"Founder")</f>
        <v>Founder</v>
      </c>
      <c r="E116" s="22" t="str">
        <f>IFERROR(__xludf.DUMMYFUNCTION("""COMPUTED_VALUE"""),"See new technology")</f>
        <v>See new technology</v>
      </c>
      <c r="F116" s="22" t="str">
        <f>IFERROR(__xludf.DUMMYFUNCTION("""COMPUTED_VALUE"""),"Maritime")</f>
        <v>Maritime</v>
      </c>
      <c r="H116" s="22" t="str">
        <f>VLOOKUP(B116,'new total list'!E:E,1,false)</f>
        <v>koenbouwers@hotmail.com</v>
      </c>
      <c r="I116" s="22" t="str">
        <f>vlookup(A116,'new total list'!B:B,1,false)</f>
        <v>Koen Bouwers</v>
      </c>
      <c r="J116" s="14"/>
      <c r="K116" s="14" t="str">
        <f t="shared" si="1"/>
        <v/>
      </c>
    </row>
    <row r="117">
      <c r="A117" s="22" t="str">
        <f>IFERROR(__xludf.DUMMYFUNCTION("""COMPUTED_VALUE"""),"Mirik")</f>
        <v>Mirik</v>
      </c>
      <c r="B117" s="22" t="str">
        <f>IFERROR(__xludf.DUMMYFUNCTION("""COMPUTED_VALUE"""),"mirik@scaleupcompany.com")</f>
        <v>mirik@scaleupcompany.com</v>
      </c>
      <c r="C117" s="22" t="str">
        <f>IFERROR(__xludf.DUMMYFUNCTION("""COMPUTED_VALUE"""),"ScaleUp Company")</f>
        <v>ScaleUp Company</v>
      </c>
      <c r="D117" s="22" t="str">
        <f>IFERROR(__xludf.DUMMYFUNCTION("""COMPUTED_VALUE"""),"CEO")</f>
        <v>CEO</v>
      </c>
      <c r="E117" s="22" t="str">
        <f>IFERROR(__xludf.DUMMYFUNCTION("""COMPUTED_VALUE"""),"Support the ecosystem")</f>
        <v>Support the ecosystem</v>
      </c>
      <c r="F117" s="22" t="str">
        <f>IFERROR(__xludf.DUMMYFUNCTION("""COMPUTED_VALUE"""),"Energy")</f>
        <v>Energy</v>
      </c>
      <c r="H117" s="22" t="str">
        <f>VLOOKUP(B117,'new total list'!E:E,1,false)</f>
        <v>mirik@scaleupcompany.com</v>
      </c>
      <c r="I117" s="22" t="str">
        <f>vlookup(A117,'new total list'!B:B,1,false)</f>
        <v>#N/A</v>
      </c>
      <c r="J117" s="14"/>
      <c r="K117" s="14" t="str">
        <f t="shared" si="1"/>
        <v/>
      </c>
    </row>
    <row r="118">
      <c r="A118" s="22" t="str">
        <f>IFERROR(__xludf.DUMMYFUNCTION("""COMPUTED_VALUE"""),"Jonathan Fajardo Cortes")</f>
        <v>Jonathan Fajardo Cortes</v>
      </c>
      <c r="B118" s="22" t="str">
        <f>IFERROR(__xludf.DUMMYFUNCTION("""COMPUTED_VALUE"""),"jonathan@imecxpand.com")</f>
        <v>jonathan@imecxpand.com</v>
      </c>
      <c r="C118" s="22" t="str">
        <f>IFERROR(__xludf.DUMMYFUNCTION("""COMPUTED_VALUE"""),"imec.xpand")</f>
        <v>imec.xpand</v>
      </c>
      <c r="D118" s="22" t="str">
        <f>IFERROR(__xludf.DUMMYFUNCTION("""COMPUTED_VALUE"""),"Principal")</f>
        <v>Principal</v>
      </c>
      <c r="E118" s="22" t="str">
        <f>IFERROR(__xludf.DUMMYFUNCTION("""COMPUTED_VALUE"""),"Connections")</f>
        <v>Connections</v>
      </c>
      <c r="F118" s="22" t="str">
        <f>IFERROR(__xludf.DUMMYFUNCTION("""COMPUTED_VALUE"""),"​Future of Compute")</f>
        <v>​Future of Compute</v>
      </c>
      <c r="H118" s="22" t="str">
        <f>VLOOKUP(B118,'new total list'!E:E,1,false)</f>
        <v>jonathan@imecxpand.com</v>
      </c>
      <c r="I118" s="22" t="str">
        <f>vlookup(A118,'new total list'!B:B,1,false)</f>
        <v>#N/A</v>
      </c>
      <c r="J118" s="14"/>
      <c r="K118" s="14" t="str">
        <f t="shared" si="1"/>
        <v/>
      </c>
    </row>
    <row r="119">
      <c r="A119" s="22" t="str">
        <f>IFERROR(__xludf.DUMMYFUNCTION("""COMPUTED_VALUE"""),"Marcel van der Heijden")</f>
        <v>Marcel van der Heijden</v>
      </c>
      <c r="B119" s="22" t="str">
        <f>IFERROR(__xludf.DUMMYFUNCTION("""COMPUTED_VALUE"""),"marcelvanderheijden@live.com")</f>
        <v>marcelvanderheijden@live.com</v>
      </c>
      <c r="C119" s="22" t="str">
        <f>IFERROR(__xludf.DUMMYFUNCTION("""COMPUTED_VALUE"""),"DSR Management")</f>
        <v>DSR Management</v>
      </c>
      <c r="D119" s="22" t="str">
        <f>IFERROR(__xludf.DUMMYFUNCTION("""COMPUTED_VALUE"""),"CEO")</f>
        <v>CEO</v>
      </c>
      <c r="E119" s="22" t="str">
        <f>IFERROR(__xludf.DUMMYFUNCTION("""COMPUTED_VALUE"""),"Uncover investment opportunities")</f>
        <v>Uncover investment opportunities</v>
      </c>
      <c r="F119" s="22" t="str">
        <f>IFERROR(__xludf.DUMMYFUNCTION("""COMPUTED_VALUE"""),"support startups/founders")</f>
        <v>support startups/founders</v>
      </c>
      <c r="H119" s="22" t="str">
        <f>VLOOKUP(B119,'new total list'!E:E,1,false)</f>
        <v>marcelvanderheijden@live.com</v>
      </c>
      <c r="I119" s="22" t="str">
        <f>vlookup(A119,'new total list'!B:B,1,false)</f>
        <v>Marcel Van Der Heijden</v>
      </c>
      <c r="J119" s="14"/>
      <c r="K119" s="14" t="str">
        <f t="shared" si="1"/>
        <v/>
      </c>
    </row>
    <row r="120">
      <c r="A120" s="22" t="str">
        <f>IFERROR(__xludf.DUMMYFUNCTION("""COMPUTED_VALUE"""),"Pjotr Van Schothorst")</f>
        <v>Pjotr Van Schothorst</v>
      </c>
      <c r="B120" s="22" t="str">
        <f>IFERROR(__xludf.DUMMYFUNCTION("""COMPUTED_VALUE"""),"pjotr@pvs-investments.com")</f>
        <v>pjotr@pvs-investments.com</v>
      </c>
      <c r="C120" s="22" t="str">
        <f>IFERROR(__xludf.DUMMYFUNCTION("""COMPUTED_VALUE"""),"PVS Investments")</f>
        <v>PVS Investments</v>
      </c>
      <c r="D120" s="22" t="str">
        <f>IFERROR(__xludf.DUMMYFUNCTION("""COMPUTED_VALUE"""),"Investor in climate tech startups")</f>
        <v>Investor in climate tech startups</v>
      </c>
      <c r="E120" s="22" t="str">
        <f>IFERROR(__xludf.DUMMYFUNCTION("""COMPUTED_VALUE"""),"Contact with promising startups")</f>
        <v>Contact with promising startups</v>
      </c>
      <c r="F120" s="22" t="str">
        <f>IFERROR(__xludf.DUMMYFUNCTION("""COMPUTED_VALUE"""),"Energy")</f>
        <v>Energy</v>
      </c>
      <c r="H120" s="22" t="str">
        <f>VLOOKUP(B120,'new total list'!E:E,1,false)</f>
        <v>pjotr@pvs-investments.com</v>
      </c>
      <c r="I120" s="22" t="str">
        <f>vlookup(A120,'new total list'!B:B,1,false)</f>
        <v>Pjotr van Schothorst</v>
      </c>
      <c r="J120" s="14"/>
      <c r="K120" s="14" t="str">
        <f t="shared" si="1"/>
        <v/>
      </c>
    </row>
    <row r="121">
      <c r="A121" s="22" t="str">
        <f>IFERROR(__xludf.DUMMYFUNCTION("""COMPUTED_VALUE"""),"Dan Howell")</f>
        <v>Dan Howell</v>
      </c>
      <c r="B121" s="22" t="str">
        <f>IFERROR(__xludf.DUMMYFUNCTION("""COMPUTED_VALUE"""),"dan@quantumdelft.nl")</f>
        <v>dan@quantumdelft.nl</v>
      </c>
      <c r="C121" s="22" t="str">
        <f>IFERROR(__xludf.DUMMYFUNCTION("""COMPUTED_VALUE"""),"QDNL Delft")</f>
        <v>QDNL Delft</v>
      </c>
      <c r="D121" s="22" t="str">
        <f>IFERROR(__xludf.DUMMYFUNCTION("""COMPUTED_VALUE"""),"Director")</f>
        <v>Director</v>
      </c>
      <c r="E121" s="22" t="str">
        <f>IFERROR(__xludf.DUMMYFUNCTION("""COMPUTED_VALUE"""),"meet new companies")</f>
        <v>meet new companies</v>
      </c>
      <c r="F121" s="22" t="str">
        <f>IFERROR(__xludf.DUMMYFUNCTION("""COMPUTED_VALUE"""),"​Future of Compute")</f>
        <v>​Future of Compute</v>
      </c>
      <c r="H121" s="22" t="str">
        <f>VLOOKUP(B121,'new total list'!E:E,1,false)</f>
        <v>dan@quantumdelft.nl</v>
      </c>
      <c r="I121" s="22" t="str">
        <f>vlookup(A121,'new total list'!B:B,1,false)</f>
        <v>Dan Howell</v>
      </c>
      <c r="J121" s="14"/>
      <c r="K121" s="14" t="str">
        <f t="shared" si="1"/>
        <v/>
      </c>
    </row>
    <row r="122">
      <c r="A122" s="22" t="str">
        <f>IFERROR(__xludf.DUMMYFUNCTION("""COMPUTED_VALUE"""),"Jos Maccabiani")</f>
        <v>Jos Maccabiani</v>
      </c>
      <c r="B122" s="22" t="str">
        <f>IFERROR(__xludf.DUMMYFUNCTION("""COMPUTED_VALUE"""),"jos.maccabiani@innovationquarter.nl")</f>
        <v>jos.maccabiani@innovationquarter.nl</v>
      </c>
      <c r="C122" s="22" t="str">
        <f>IFERROR(__xludf.DUMMYFUNCTION("""COMPUTED_VALUE"""),"InnovationQuarter")</f>
        <v>InnovationQuarter</v>
      </c>
      <c r="D122" s="22" t="str">
        <f>IFERROR(__xludf.DUMMYFUNCTION("""COMPUTED_VALUE"""),"Coordinator Defensie")</f>
        <v>Coordinator Defensie</v>
      </c>
      <c r="E122" s="22" t="str">
        <f>IFERROR(__xludf.DUMMYFUNCTION("""COMPUTED_VALUE"""),"Connections")</f>
        <v>Connections</v>
      </c>
      <c r="F122" s="22" t="str">
        <f>IFERROR(__xludf.DUMMYFUNCTION("""COMPUTED_VALUE"""),"Dual Use")</f>
        <v>Dual Use</v>
      </c>
      <c r="H122" s="22" t="str">
        <f>VLOOKUP(B122,'new total list'!E:E,1,false)</f>
        <v>jos.maccabiani@innovationquarter.nl</v>
      </c>
      <c r="I122" s="22" t="str">
        <f>vlookup(A122,'new total list'!B:B,1,false)</f>
        <v>Jos Maccabiani</v>
      </c>
      <c r="J122" s="14"/>
      <c r="K122" s="14" t="str">
        <f t="shared" si="1"/>
        <v/>
      </c>
    </row>
    <row r="123">
      <c r="A123" s="22" t="str">
        <f>IFERROR(__xludf.DUMMYFUNCTION("""COMPUTED_VALUE"""),"Hester Bijl")</f>
        <v>Hester Bijl</v>
      </c>
      <c r="B123" s="22" t="str">
        <f>IFERROR(__xludf.DUMMYFUNCTION("""COMPUTED_VALUE"""),"h.bijl@tudelft.nl")</f>
        <v>h.bijl@tudelft.nl</v>
      </c>
      <c r="C123" s="22" t="str">
        <f>IFERROR(__xludf.DUMMYFUNCTION("""COMPUTED_VALUE"""),"TU Delft")</f>
        <v>TU Delft</v>
      </c>
      <c r="D123" s="22" t="str">
        <f>IFERROR(__xludf.DUMMYFUNCTION("""COMPUTED_VALUE"""),"Rector Magnificus")</f>
        <v>Rector Magnificus</v>
      </c>
      <c r="E123" s="22" t="str">
        <f>IFERROR(__xludf.DUMMYFUNCTION("""COMPUTED_VALUE"""),"Join")</f>
        <v>Join</v>
      </c>
      <c r="F123" s="22" t="str">
        <f>IFERROR(__xludf.DUMMYFUNCTION("""COMPUTED_VALUE"""),"Energy")</f>
        <v>Energy</v>
      </c>
      <c r="H123" s="22" t="str">
        <f>VLOOKUP(B123,'new total list'!E:E,1,false)</f>
        <v>h.bijl@tudelft.nl</v>
      </c>
      <c r="I123" s="22" t="str">
        <f>vlookup(A123,'new total list'!B:B,1,false)</f>
        <v>Hester Bijl</v>
      </c>
      <c r="J123" s="14"/>
      <c r="K123" s="14" t="str">
        <f t="shared" si="1"/>
        <v/>
      </c>
      <c r="L123" s="7" t="s">
        <v>925</v>
      </c>
      <c r="M123" s="7" t="s">
        <v>926</v>
      </c>
    </row>
    <row r="124">
      <c r="A124" s="22" t="str">
        <f>IFERROR(__xludf.DUMMYFUNCTION("""COMPUTED_VALUE"""),"Gerwin Hoogendoorn")</f>
        <v>Gerwin Hoogendoorn</v>
      </c>
      <c r="B124" s="22" t="str">
        <f>IFERROR(__xludf.DUMMYFUNCTION("""COMPUTED_VALUE"""),"gerwin@inventrepreneur.nl")</f>
        <v>gerwin@inventrepreneur.nl</v>
      </c>
      <c r="C124" s="22" t="str">
        <f>IFERROR(__xludf.DUMMYFUNCTION("""COMPUTED_VALUE"""),"Inventrepreneur")</f>
        <v>Inventrepreneur</v>
      </c>
      <c r="D124" s="22" t="str">
        <f>IFERROR(__xludf.DUMMYFUNCTION("""COMPUTED_VALUE"""),"Inventrepreneur")</f>
        <v>Inventrepreneur</v>
      </c>
      <c r="E124" s="22" t="str">
        <f>IFERROR(__xludf.DUMMYFUNCTION("""COMPUTED_VALUE"""),"New connections and inspiration")</f>
        <v>New connections and inspiration</v>
      </c>
      <c r="F124" s="22" t="str">
        <f>IFERROR(__xludf.DUMMYFUNCTION("""COMPUTED_VALUE"""),"MedTech")</f>
        <v>MedTech</v>
      </c>
      <c r="H124" s="22" t="str">
        <f>VLOOKUP(B124,'new total list'!E:E,1,false)</f>
        <v>#N/A</v>
      </c>
      <c r="I124" s="22" t="str">
        <f>vlookup(A124,'new total list'!B:B,1,false)</f>
        <v>Gerwin Hoogendoorn</v>
      </c>
      <c r="J124" s="14"/>
      <c r="K124" s="14" t="str">
        <f t="shared" si="1"/>
        <v/>
      </c>
    </row>
    <row r="125">
      <c r="A125" s="22" t="str">
        <f>IFERROR(__xludf.DUMMYFUNCTION("""COMPUTED_VALUE"""),"JACQUELINE SCHARDIJN")</f>
        <v>JACQUELINE SCHARDIJN</v>
      </c>
      <c r="B125" s="22" t="str">
        <f>IFERROR(__xludf.DUMMYFUNCTION("""COMPUTED_VALUE"""),"jacqueline.schardijn@innovationquarter.nl")</f>
        <v>jacqueline.schardijn@innovationquarter.nl</v>
      </c>
      <c r="C125" s="22" t="str">
        <f>IFERROR(__xludf.DUMMYFUNCTION("""COMPUTED_VALUE"""),"IQ")</f>
        <v>IQ</v>
      </c>
      <c r="D125" s="22" t="str">
        <f>IFERROR(__xludf.DUMMYFUNCTION("""COMPUTED_VALUE"""),"business developer")</f>
        <v>business developer</v>
      </c>
      <c r="E125" s="22" t="str">
        <f>IFERROR(__xludf.DUMMYFUNCTION("""COMPUTED_VALUE"""),"networking")</f>
        <v>networking</v>
      </c>
      <c r="F125" s="22" t="str">
        <f>IFERROR(__xludf.DUMMYFUNCTION("""COMPUTED_VALUE"""),"​Future of Compute")</f>
        <v>​Future of Compute</v>
      </c>
      <c r="H125" s="22" t="str">
        <f>VLOOKUP(B125,'new total list'!E:E,1,false)</f>
        <v>jacqueline.schardijn@innovationquarter.nl</v>
      </c>
      <c r="I125" s="22" t="str">
        <f>vlookup(A125,'new total list'!B:B,1,false)</f>
        <v>Jacqueline Schardijn</v>
      </c>
      <c r="J125" s="14"/>
      <c r="K125" s="14" t="str">
        <f t="shared" si="1"/>
        <v/>
      </c>
    </row>
    <row r="126">
      <c r="A126" s="22" t="str">
        <f>IFERROR(__xludf.DUMMYFUNCTION("""COMPUTED_VALUE"""),"Margarita Kovalchuk")</f>
        <v>Margarita Kovalchuk</v>
      </c>
      <c r="B126" s="22" t="str">
        <f>IFERROR(__xludf.DUMMYFUNCTION("""COMPUTED_VALUE"""),"m.kovalchuk@tudelft.nl")</f>
        <v>m.kovalchuk@tudelft.nl</v>
      </c>
      <c r="C126" s="22" t="str">
        <f>IFERROR(__xludf.DUMMYFUNCTION("""COMPUTED_VALUE"""),"Teggwings/ TU Delft Impact Studio")</f>
        <v>Teggwings/ TU Delft Impact Studio</v>
      </c>
      <c r="D126" s="22" t="str">
        <f>IFERROR(__xludf.DUMMYFUNCTION("""COMPUTED_VALUE"""),"Senior Team Builder")</f>
        <v>Senior Team Builder</v>
      </c>
      <c r="E126" s="22" t="str">
        <f>IFERROR(__xludf.DUMMYFUNCTION("""COMPUTED_VALUE"""),"Meet potential co-founders to join our open cases")</f>
        <v>Meet potential co-founders to join our open cases</v>
      </c>
      <c r="F126" s="22" t="str">
        <f>IFERROR(__xludf.DUMMYFUNCTION("""COMPUTED_VALUE"""),"Energy")</f>
        <v>Energy</v>
      </c>
      <c r="H126" s="22" t="str">
        <f>VLOOKUP(B126,'new total list'!E:E,1,false)</f>
        <v>#N/A</v>
      </c>
      <c r="I126" s="22" t="str">
        <f>vlookup(A126,'new total list'!B:B,1,false)</f>
        <v>#N/A</v>
      </c>
      <c r="J126" s="14"/>
      <c r="K126" s="14" t="str">
        <f t="shared" si="1"/>
        <v>Marked</v>
      </c>
    </row>
    <row r="127">
      <c r="A127" s="22" t="str">
        <f>IFERROR(__xludf.DUMMYFUNCTION("""COMPUTED_VALUE"""),"Maria")</f>
        <v>Maria</v>
      </c>
      <c r="B127" s="22" t="str">
        <f>IFERROR(__xludf.DUMMYFUNCTION("""COMPUTED_VALUE"""),"mariatapia@earthstarinvestments.com")</f>
        <v>mariatapia@earthstarinvestments.com</v>
      </c>
      <c r="C127" s="22" t="str">
        <f>IFERROR(__xludf.DUMMYFUNCTION("""COMPUTED_VALUE"""),"Earthstar")</f>
        <v>Earthstar</v>
      </c>
      <c r="D127" s="22" t="str">
        <f>IFERROR(__xludf.DUMMYFUNCTION("""COMPUTED_VALUE"""),"Partner")</f>
        <v>Partner</v>
      </c>
      <c r="E127" s="22" t="str">
        <f>IFERROR(__xludf.DUMMYFUNCTION("""COMPUTED_VALUE"""),"Meet new startups")</f>
        <v>Meet new startups</v>
      </c>
      <c r="F127" s="22" t="str">
        <f>IFERROR(__xludf.DUMMYFUNCTION("""COMPUTED_VALUE"""),"MedTech")</f>
        <v>MedTech</v>
      </c>
      <c r="H127" s="22" t="str">
        <f>VLOOKUP(B127,'new total list'!E:E,1,false)</f>
        <v>mariatapia@earthstarinvestments.com</v>
      </c>
      <c r="I127" s="22" t="str">
        <f>vlookup(A127,'new total list'!B:B,1,false)</f>
        <v>#N/A</v>
      </c>
      <c r="J127" s="14"/>
      <c r="K127" s="14" t="str">
        <f t="shared" si="1"/>
        <v/>
      </c>
    </row>
    <row r="128">
      <c r="A128" s="22" t="str">
        <f>IFERROR(__xludf.DUMMYFUNCTION("""COMPUTED_VALUE"""),"Mireille van Reenen")</f>
        <v>Mireille van Reenen</v>
      </c>
      <c r="B128" s="22" t="str">
        <f>IFERROR(__xludf.DUMMYFUNCTION("""COMPUTED_VALUE"""),"m.j.vanreenen@tudelft.nl")</f>
        <v>m.j.vanreenen@tudelft.nl</v>
      </c>
      <c r="C128" s="22" t="str">
        <f>IFERROR(__xludf.DUMMYFUNCTION("""COMPUTED_VALUE"""),"TU Delft Services BV")</f>
        <v>TU Delft Services BV</v>
      </c>
      <c r="D128" s="22" t="str">
        <f>IFERROR(__xludf.DUMMYFUNCTION("""COMPUTED_VALUE"""),"Director")</f>
        <v>Director</v>
      </c>
      <c r="E128" s="22" t="str">
        <f>IFERROR(__xludf.DUMMYFUNCTION("""COMPUTED_VALUE"""),"Getting to know the start-ups better")</f>
        <v>Getting to know the start-ups better</v>
      </c>
      <c r="F128" s="22" t="str">
        <f>IFERROR(__xludf.DUMMYFUNCTION("""COMPUTED_VALUE"""),"MedTech")</f>
        <v>MedTech</v>
      </c>
      <c r="H128" s="22" t="str">
        <f>VLOOKUP(B128,'new total list'!E:E,1,false)</f>
        <v>m.j.vanreenen@tudelft.nl</v>
      </c>
      <c r="I128" s="22" t="str">
        <f>vlookup(A128,'new total list'!B:B,1,false)</f>
        <v>Mireille van Reenen</v>
      </c>
      <c r="J128" s="14"/>
      <c r="K128" s="14" t="str">
        <f t="shared" si="1"/>
        <v/>
      </c>
      <c r="L128" s="7" t="s">
        <v>925</v>
      </c>
    </row>
    <row r="129">
      <c r="A129" s="22" t="str">
        <f>IFERROR(__xludf.DUMMYFUNCTION("""COMPUTED_VALUE"""),"Jorg Kop")</f>
        <v>Jorg Kop</v>
      </c>
      <c r="B129" s="22" t="str">
        <f>IFERROR(__xludf.DUMMYFUNCTION("""COMPUTED_VALUE"""),"jorg@uprotterdam.com")</f>
        <v>jorg@uprotterdam.com</v>
      </c>
      <c r="C129" s="22" t="str">
        <f>IFERROR(__xludf.DUMMYFUNCTION("""COMPUTED_VALUE"""),"Up!Rotterdam")</f>
        <v>Up!Rotterdam</v>
      </c>
      <c r="D129" s="22" t="str">
        <f>IFERROR(__xludf.DUMMYFUNCTION("""COMPUTED_VALUE"""),"Director")</f>
        <v>Director</v>
      </c>
      <c r="E129" s="22" t="str">
        <f>IFERROR(__xludf.DUMMYFUNCTION("""COMPUTED_VALUE"""),"CEO contacts")</f>
        <v>CEO contacts</v>
      </c>
      <c r="F129" s="22" t="str">
        <f>IFERROR(__xludf.DUMMYFUNCTION("""COMPUTED_VALUE"""),"MedTech")</f>
        <v>MedTech</v>
      </c>
      <c r="H129" s="22" t="str">
        <f>VLOOKUP(B129,'new total list'!E:E,1,false)</f>
        <v>jorg@uprotterdam.com</v>
      </c>
      <c r="I129" s="22" t="str">
        <f>vlookup(A129,'new total list'!B:B,1,false)</f>
        <v>Jorg Kop</v>
      </c>
      <c r="J129" s="14"/>
      <c r="K129" s="14" t="str">
        <f t="shared" si="1"/>
        <v/>
      </c>
    </row>
    <row r="130">
      <c r="A130" s="22" t="str">
        <f>IFERROR(__xludf.DUMMYFUNCTION("""COMPUTED_VALUE"""),"Daan Kuitenbrouwer")</f>
        <v>Daan Kuitenbrouwer</v>
      </c>
      <c r="B130" s="22" t="str">
        <f>IFERROR(__xludf.DUMMYFUNCTION("""COMPUTED_VALUE"""),"daan@delft-circuits.com")</f>
        <v>daan@delft-circuits.com</v>
      </c>
      <c r="C130" s="22" t="str">
        <f>IFERROR(__xludf.DUMMYFUNCTION("""COMPUTED_VALUE"""),"Delft Circuits")</f>
        <v>Delft Circuits</v>
      </c>
      <c r="D130" s="22" t="str">
        <f>IFERROR(__xludf.DUMMYFUNCTION("""COMPUTED_VALUE"""),"Co-Founder")</f>
        <v>Co-Founder</v>
      </c>
      <c r="E130" s="22" t="str">
        <f>IFERROR(__xludf.DUMMYFUNCTION("""COMPUTED_VALUE"""),"Learn about the newest things going on!")</f>
        <v>Learn about the newest things going on!</v>
      </c>
      <c r="F130" s="22" t="str">
        <f>IFERROR(__xludf.DUMMYFUNCTION("""COMPUTED_VALUE"""),"​Future of Compute")</f>
        <v>​Future of Compute</v>
      </c>
      <c r="H130" s="22" t="str">
        <f>VLOOKUP(B130,'new total list'!E:E,1,false)</f>
        <v>daan@delft-circuits.com</v>
      </c>
      <c r="I130" s="22" t="str">
        <f>vlookup(A130,'new total list'!B:B,1,false)</f>
        <v>Daan Kuitenbrouwer</v>
      </c>
      <c r="J130" s="14"/>
      <c r="K130" s="14" t="str">
        <f t="shared" si="1"/>
        <v/>
      </c>
    </row>
    <row r="131">
      <c r="A131" s="22" t="str">
        <f>IFERROR(__xludf.DUMMYFUNCTION("""COMPUTED_VALUE"""),"Emma")</f>
        <v>Emma</v>
      </c>
      <c r="B131" s="22" t="str">
        <f>IFERROR(__xludf.DUMMYFUNCTION("""COMPUTED_VALUE"""),"emma.kluwen@tudelft.nl")</f>
        <v>emma.kluwen@tudelft.nl</v>
      </c>
      <c r="C131" s="22" t="str">
        <f>IFERROR(__xludf.DUMMYFUNCTION("""COMPUTED_VALUE"""),"The Green Village")</f>
        <v>The Green Village</v>
      </c>
      <c r="D131" s="22" t="str">
        <f>IFERROR(__xludf.DUMMYFUNCTION("""COMPUTED_VALUE"""),"Projectmanager")</f>
        <v>Projectmanager</v>
      </c>
      <c r="E131" s="22" t="str">
        <f>IFERROR(__xludf.DUMMYFUNCTION("""COMPUTED_VALUE"""),"Contact with innovators")</f>
        <v>Contact with innovators</v>
      </c>
      <c r="F131" s="22" t="str">
        <f>IFERROR(__xludf.DUMMYFUNCTION("""COMPUTED_VALUE"""),"Energy")</f>
        <v>Energy</v>
      </c>
      <c r="H131" s="22" t="str">
        <f>VLOOKUP(B131,'new total list'!E:E,1,false)</f>
        <v>#N/A</v>
      </c>
      <c r="I131" s="22" t="str">
        <f>vlookup(A131,'new total list'!B:B,1,false)</f>
        <v>#N/A</v>
      </c>
      <c r="J131" s="14"/>
      <c r="K131" s="14" t="str">
        <f t="shared" si="1"/>
        <v>Marked</v>
      </c>
    </row>
    <row r="132">
      <c r="A132" s="22" t="str">
        <f>IFERROR(__xludf.DUMMYFUNCTION("""COMPUTED_VALUE"""),"Willem van Winkoop")</f>
        <v>Willem van Winkoop</v>
      </c>
      <c r="B132" s="22" t="str">
        <f>IFERROR(__xludf.DUMMYFUNCTION("""COMPUTED_VALUE"""),"willem@watermanventures.nl")</f>
        <v>willem@watermanventures.nl</v>
      </c>
      <c r="C132" s="22" t="str">
        <f>IFERROR(__xludf.DUMMYFUNCTION("""COMPUTED_VALUE"""),"Waterman Ventures")</f>
        <v>Waterman Ventures</v>
      </c>
      <c r="D132" s="22" t="str">
        <f>IFERROR(__xludf.DUMMYFUNCTION("""COMPUTED_VALUE"""),"Senior Associate")</f>
        <v>Senior Associate</v>
      </c>
      <c r="E132" s="22" t="str">
        <f>IFERROR(__xludf.DUMMYFUNCTION("""COMPUTED_VALUE"""),"Make new connections and exchange ideas")</f>
        <v>Make new connections and exchange ideas</v>
      </c>
      <c r="F132" s="22" t="str">
        <f>IFERROR(__xludf.DUMMYFUNCTION("""COMPUTED_VALUE"""),"​Future of Compute")</f>
        <v>​Future of Compute</v>
      </c>
      <c r="H132" s="22" t="str">
        <f>VLOOKUP(B132,'new total list'!E:E,1,false)</f>
        <v>willem@watermanventures.nl</v>
      </c>
      <c r="I132" s="22" t="str">
        <f>vlookup(A132,'new total list'!B:B,1,false)</f>
        <v>Willem van Winkoop</v>
      </c>
      <c r="J132" s="14"/>
      <c r="K132" s="14" t="str">
        <f t="shared" si="1"/>
        <v/>
      </c>
      <c r="L132" s="7" t="s">
        <v>925</v>
      </c>
    </row>
    <row r="133">
      <c r="A133" s="22" t="str">
        <f>IFERROR(__xludf.DUMMYFUNCTION("""COMPUTED_VALUE"""),"Mohammed iaallala")</f>
        <v>Mohammed iaallala</v>
      </c>
      <c r="B133" s="22" t="str">
        <f>IFERROR(__xludf.DUMMYFUNCTION("""COMPUTED_VALUE"""),"mohammedlarbi@gmail.com")</f>
        <v>mohammedlarbi@gmail.com</v>
      </c>
      <c r="C133" s="22" t="str">
        <f>IFERROR(__xludf.DUMMYFUNCTION("""COMPUTED_VALUE"""),"Planet Bio")</f>
        <v>Planet Bio</v>
      </c>
      <c r="D133" s="22" t="str">
        <f>IFERROR(__xludf.DUMMYFUNCTION("""COMPUTED_VALUE"""),"Chief Commercial Manager")</f>
        <v>Chief Commercial Manager</v>
      </c>
      <c r="E133" s="22" t="str">
        <f>IFERROR(__xludf.DUMMYFUNCTION("""COMPUTED_VALUE"""),"Meet startups and Ecosystem partners")</f>
        <v>Meet startups and Ecosystem partners</v>
      </c>
      <c r="F133" s="22" t="str">
        <f>IFERROR(__xludf.DUMMYFUNCTION("""COMPUTED_VALUE"""),"Dual Use")</f>
        <v>Dual Use</v>
      </c>
      <c r="H133" s="22" t="str">
        <f>VLOOKUP(B133,'new total list'!E:E,1,false)</f>
        <v>#N/A</v>
      </c>
      <c r="I133" s="22" t="str">
        <f>vlookup(A133,'new total list'!B:B,1,false)</f>
        <v>Mohammed iaallala</v>
      </c>
      <c r="J133" s="14"/>
      <c r="K133" s="14" t="str">
        <f t="shared" si="1"/>
        <v/>
      </c>
    </row>
    <row r="134">
      <c r="A134" s="22" t="str">
        <f>IFERROR(__xludf.DUMMYFUNCTION("""COMPUTED_VALUE"""),"Rutger De Graaf")</f>
        <v>Rutger De Graaf</v>
      </c>
      <c r="B134" s="22" t="str">
        <f>IFERROR(__xludf.DUMMYFUNCTION("""COMPUTED_VALUE"""),"rutger@blue21.nl")</f>
        <v>rutger@blue21.nl</v>
      </c>
      <c r="C134" s="22" t="str">
        <f>IFERROR(__xludf.DUMMYFUNCTION("""COMPUTED_VALUE"""),"Blue21")</f>
        <v>Blue21</v>
      </c>
      <c r="D134" s="22" t="str">
        <f>IFERROR(__xludf.DUMMYFUNCTION("""COMPUTED_VALUE"""),"CEO and co-founder")</f>
        <v>CEO and co-founder</v>
      </c>
      <c r="E134" s="22" t="str">
        <f>IFERROR(__xludf.DUMMYFUNCTION("""COMPUTED_VALUE"""),"Strategic connections with other startups and investors")</f>
        <v>Strategic connections with other startups and investors</v>
      </c>
      <c r="F134" s="22" t="str">
        <f>IFERROR(__xludf.DUMMYFUNCTION("""COMPUTED_VALUE"""),"Maritime")</f>
        <v>Maritime</v>
      </c>
      <c r="H134" s="45" t="str">
        <f>VLOOKUP(B134,'new total list'!E:E,1,false)</f>
        <v>rutger@blue21.nl</v>
      </c>
      <c r="I134" s="22" t="str">
        <f>vlookup(A134,'new total list'!B:B,1,false)</f>
        <v>Rutger de Graaf</v>
      </c>
      <c r="J134" s="14"/>
      <c r="K134" s="14" t="str">
        <f t="shared" si="1"/>
        <v/>
      </c>
    </row>
    <row r="135">
      <c r="A135" s="22" t="str">
        <f>IFERROR(__xludf.DUMMYFUNCTION("""COMPUTED_VALUE"""),"David Cerda Salzmann")</f>
        <v>David Cerda Salzmann</v>
      </c>
      <c r="B135" s="22" t="str">
        <f>IFERROR(__xludf.DUMMYFUNCTION("""COMPUTED_VALUE"""),"bizarrobv@gmail.com")</f>
        <v>bizarrobv@gmail.com</v>
      </c>
      <c r="C135" s="22" t="str">
        <f>IFERROR(__xludf.DUMMYFUNCTION("""COMPUTED_VALUE"""),"Bizarro BV")</f>
        <v>Bizarro BV</v>
      </c>
      <c r="D135" s="22" t="str">
        <f>IFERROR(__xludf.DUMMYFUNCTION("""COMPUTED_VALUE"""),"Angel Investor")</f>
        <v>Angel Investor</v>
      </c>
      <c r="E135" s="22" t="str">
        <f>IFERROR(__xludf.DUMMYFUNCTION("""COMPUTED_VALUE"""),"I want to refresh old and make new contacts with Startups and investors")</f>
        <v>I want to refresh old and make new contacts with Startups and investors</v>
      </c>
      <c r="F135" s="22" t="str">
        <f>IFERROR(__xludf.DUMMYFUNCTION("""COMPUTED_VALUE"""),"Maritime")</f>
        <v>Maritime</v>
      </c>
      <c r="H135" s="22" t="str">
        <f>VLOOKUP(B135,'new total list'!E:E,1,false)</f>
        <v>bizarrobv@gmail.com</v>
      </c>
      <c r="I135" s="22" t="str">
        <f>vlookup(A135,'new total list'!B:B,1,false)</f>
        <v>David Cerda Salzmann</v>
      </c>
      <c r="J135" s="14"/>
      <c r="K135" s="14" t="str">
        <f t="shared" si="1"/>
        <v/>
      </c>
      <c r="L135" s="7" t="s">
        <v>925</v>
      </c>
      <c r="M135" s="7" t="s">
        <v>970</v>
      </c>
    </row>
    <row r="136">
      <c r="A136" s="22" t="str">
        <f>IFERROR(__xludf.DUMMYFUNCTION("""COMPUTED_VALUE"""),"Quentin van Driel")</f>
        <v>Quentin van Driel</v>
      </c>
      <c r="B136" s="22" t="str">
        <f>IFERROR(__xludf.DUMMYFUNCTION("""COMPUTED_VALUE"""),"quentin.vandriel@innoenergy.com")</f>
        <v>quentin.vandriel@innoenergy.com</v>
      </c>
      <c r="C136" s="22" t="str">
        <f>IFERROR(__xludf.DUMMYFUNCTION("""COMPUTED_VALUE"""),"InnoEnergy")</f>
        <v>InnoEnergy</v>
      </c>
      <c r="D136" s="22" t="str">
        <f>IFERROR(__xludf.DUMMYFUNCTION("""COMPUTED_VALUE"""),"Asset &amp; Investment Manager")</f>
        <v>Asset &amp; Investment Manager</v>
      </c>
      <c r="E136" s="22" t="str">
        <f>IFERROR(__xludf.DUMMYFUNCTION("""COMPUTED_VALUE"""),"Leads")</f>
        <v>Leads</v>
      </c>
      <c r="F136" s="22" t="str">
        <f>IFERROR(__xludf.DUMMYFUNCTION("""COMPUTED_VALUE"""),"Energy")</f>
        <v>Energy</v>
      </c>
      <c r="H136" s="45" t="str">
        <f>VLOOKUP(B136,'new total list'!E:E,1,false)</f>
        <v>quentin.vandriel@innoenergy.com</v>
      </c>
      <c r="I136" s="22" t="str">
        <f>vlookup(A136,'new total list'!B:B,1,false)</f>
        <v>#N/A</v>
      </c>
      <c r="J136" s="14"/>
      <c r="K136" s="14" t="str">
        <f t="shared" si="1"/>
        <v/>
      </c>
    </row>
    <row r="137">
      <c r="A137" s="22" t="str">
        <f>IFERROR(__xludf.DUMMYFUNCTION("""COMPUTED_VALUE"""),"Sven Hamelink")</f>
        <v>Sven Hamelink</v>
      </c>
      <c r="B137" s="22" t="str">
        <f>IFERROR(__xludf.DUMMYFUNCTION("""COMPUTED_VALUE"""),"sven.hamelink@politie.nl")</f>
        <v>sven.hamelink@politie.nl</v>
      </c>
      <c r="C137" s="22" t="str">
        <f>IFERROR(__xludf.DUMMYFUNCTION("""COMPUTED_VALUE"""),"Politie")</f>
        <v>Politie</v>
      </c>
      <c r="D137" s="22" t="str">
        <f>IFERROR(__xludf.DUMMYFUNCTION("""COMPUTED_VALUE"""),"Hoofd Science &amp; Technology")</f>
        <v>Hoofd Science &amp; Technology</v>
      </c>
      <c r="E137" s="22" t="str">
        <f>IFERROR(__xludf.DUMMYFUNCTION("""COMPUTED_VALUE"""),"interest")</f>
        <v>interest</v>
      </c>
      <c r="F137" s="22" t="str">
        <f>IFERROR(__xludf.DUMMYFUNCTION("""COMPUTED_VALUE"""),"​Future of Compute")</f>
        <v>​Future of Compute</v>
      </c>
      <c r="H137" s="22" t="str">
        <f>VLOOKUP(B137,'new total list'!E:E,1,false)</f>
        <v>sven.hamelink@politie.nl</v>
      </c>
      <c r="I137" s="22" t="str">
        <f>vlookup(A137,'new total list'!B:B,1,false)</f>
        <v>Sven Hamelink</v>
      </c>
      <c r="J137" s="14"/>
      <c r="K137" s="14" t="str">
        <f t="shared" si="1"/>
        <v/>
      </c>
    </row>
    <row r="138">
      <c r="A138" s="22" t="str">
        <f>IFERROR(__xludf.DUMMYFUNCTION("""COMPUTED_VALUE"""),"Amber Marijs")</f>
        <v>Amber Marijs</v>
      </c>
      <c r="B138" s="22" t="str">
        <f>IFERROR(__xludf.DUMMYFUNCTION("""COMPUTED_VALUE"""),"amber@yesdelft.nl")</f>
        <v>amber@yesdelft.nl</v>
      </c>
      <c r="C138" s="22" t="str">
        <f>IFERROR(__xludf.DUMMYFUNCTION("""COMPUTED_VALUE"""),"YES!Delft")</f>
        <v>YES!Delft</v>
      </c>
      <c r="D138" s="22" t="str">
        <f>IFERROR(__xludf.DUMMYFUNCTION("""COMPUTED_VALUE"""),"Project Manager")</f>
        <v>Project Manager</v>
      </c>
      <c r="E138" s="22" t="str">
        <f>IFERROR(__xludf.DUMMYFUNCTION("""COMPUTED_VALUE"""),"....")</f>
        <v>....</v>
      </c>
      <c r="F138" s="22" t="str">
        <f>IFERROR(__xludf.DUMMYFUNCTION("""COMPUTED_VALUE"""),"Energy")</f>
        <v>Energy</v>
      </c>
      <c r="H138" s="22" t="str">
        <f>VLOOKUP(B138,'new total list'!E:E,1,false)</f>
        <v>Amber@yesdelft.nl</v>
      </c>
      <c r="I138" s="22" t="str">
        <f>vlookup(A138,'new total list'!B:B,1,false)</f>
        <v>#N/A</v>
      </c>
      <c r="J138" s="14"/>
      <c r="K138" s="14" t="str">
        <f t="shared" si="1"/>
        <v/>
      </c>
    </row>
    <row r="139">
      <c r="A139" s="22" t="str">
        <f>IFERROR(__xludf.DUMMYFUNCTION("""COMPUTED_VALUE"""),"Ivo van der Horst")</f>
        <v>Ivo van der Horst</v>
      </c>
      <c r="B139" s="22" t="str">
        <f>IFERROR(__xludf.DUMMYFUNCTION("""COMPUTED_VALUE"""),"ivo.vanderhorst@investinternational.nl")</f>
        <v>ivo.vanderhorst@investinternational.nl</v>
      </c>
      <c r="C139" s="22" t="str">
        <f>IFERROR(__xludf.DUMMYFUNCTION("""COMPUTED_VALUE"""),"Invest International")</f>
        <v>Invest International</v>
      </c>
      <c r="D139" s="22" t="str">
        <f>IFERROR(__xludf.DUMMYFUNCTION("""COMPUTED_VALUE"""),"Investment Manager")</f>
        <v>Investment Manager</v>
      </c>
      <c r="E139" s="22" t="str">
        <f>IFERROR(__xludf.DUMMYFUNCTION("""COMPUTED_VALUE"""),"hope to find potential new clients: Dutch startups seeking to invest abroad")</f>
        <v>hope to find potential new clients: Dutch startups seeking to invest abroad</v>
      </c>
      <c r="F139" s="22" t="str">
        <f>IFERROR(__xludf.DUMMYFUNCTION("""COMPUTED_VALUE"""),"Energy")</f>
        <v>Energy</v>
      </c>
      <c r="H139" s="22" t="str">
        <f>VLOOKUP(B139,'new total list'!E:E,1,false)</f>
        <v>ivo.vanderhorst@investinternational.nl</v>
      </c>
      <c r="I139" s="22" t="str">
        <f>vlookup(A139,'new total list'!B:B,1,false)</f>
        <v>Ivo van der Horst</v>
      </c>
      <c r="J139" s="14"/>
      <c r="K139" s="14" t="str">
        <f t="shared" si="1"/>
        <v/>
      </c>
    </row>
    <row r="140">
      <c r="A140" s="22" t="str">
        <f>IFERROR(__xludf.DUMMYFUNCTION("""COMPUTED_VALUE"""),"Elise Lie")</f>
        <v>Elise Lie</v>
      </c>
      <c r="B140" s="22" t="str">
        <f>IFERROR(__xludf.DUMMYFUNCTION("""COMPUTED_VALUE"""),"elise.lie@invest-nl.nl")</f>
        <v>elise.lie@invest-nl.nl</v>
      </c>
      <c r="C140" s="22" t="str">
        <f>IFERROR(__xludf.DUMMYFUNCTION("""COMPUTED_VALUE"""),"Invest-NL")</f>
        <v>Invest-NL</v>
      </c>
      <c r="D140" s="22" t="str">
        <f>IFERROR(__xludf.DUMMYFUNCTION("""COMPUTED_VALUE"""),"Investment Analyst")</f>
        <v>Investment Analyst</v>
      </c>
      <c r="E140" s="22" t="str">
        <f>IFERROR(__xludf.DUMMYFUNCTION("""COMPUTED_VALUE"""),"See what's happening in the Delft startup ecosystem.")</f>
        <v>See what's happening in the Delft startup ecosystem.</v>
      </c>
      <c r="F140" s="22" t="str">
        <f>IFERROR(__xludf.DUMMYFUNCTION("""COMPUTED_VALUE"""),"​Future of Compute")</f>
        <v>​Future of Compute</v>
      </c>
      <c r="H140" s="22" t="str">
        <f>VLOOKUP(B140,'new total list'!E:E,1,false)</f>
        <v>#N/A</v>
      </c>
      <c r="I140" s="22" t="str">
        <f>vlookup(A140,'new total list'!B:B,1,false)</f>
        <v>#N/A</v>
      </c>
      <c r="J140" s="14"/>
      <c r="K140" s="14" t="str">
        <f t="shared" si="1"/>
        <v>Marked</v>
      </c>
    </row>
    <row r="141">
      <c r="A141" s="22" t="str">
        <f>IFERROR(__xludf.DUMMYFUNCTION("""COMPUTED_VALUE"""),"Martine Klijn")</f>
        <v>Martine Klijn</v>
      </c>
      <c r="B141" s="22" t="str">
        <f>IFERROR(__xludf.DUMMYFUNCTION("""COMPUTED_VALUE"""),"m.klijn@tudelft.nl")</f>
        <v>m.klijn@tudelft.nl</v>
      </c>
      <c r="C141" s="22" t="str">
        <f>IFERROR(__xludf.DUMMYFUNCTION("""COMPUTED_VALUE"""),"TU Delft")</f>
        <v>TU Delft</v>
      </c>
      <c r="D141" s="22" t="str">
        <f>IFERROR(__xludf.DUMMYFUNCTION("""COMPUTED_VALUE"""),"Marketing Manager")</f>
        <v>Marketing Manager</v>
      </c>
      <c r="E141" s="22" t="str">
        <f>IFERROR(__xludf.DUMMYFUNCTION("""COMPUTED_VALUE"""),"Scout innovations for The Green Village (Energy) and I&amp;IC (more sectors)")</f>
        <v>Scout innovations for The Green Village (Energy) and I&amp;IC (more sectors)</v>
      </c>
      <c r="F141" s="22" t="str">
        <f>IFERROR(__xludf.DUMMYFUNCTION("""COMPUTED_VALUE"""),"Energy")</f>
        <v>Energy</v>
      </c>
      <c r="H141" s="22" t="str">
        <f>VLOOKUP(B141,'new total list'!E:E,1,false)</f>
        <v>m.klijn@tudelft.nl</v>
      </c>
      <c r="I141" s="22" t="str">
        <f>vlookup(A141,'new total list'!B:B,1,false)</f>
        <v>Martine Klijn</v>
      </c>
      <c r="J141" s="14"/>
      <c r="K141" s="14" t="str">
        <f t="shared" si="1"/>
        <v/>
      </c>
    </row>
    <row r="142">
      <c r="A142" s="22" t="str">
        <f>IFERROR(__xludf.DUMMYFUNCTION("""COMPUTED_VALUE"""),"Geert van Kuyck")</f>
        <v>Geert van Kuyck</v>
      </c>
      <c r="B142" s="22" t="str">
        <f>IFERROR(__xludf.DUMMYFUNCTION("""COMPUTED_VALUE"""),"geert@dgadvisors.nl")</f>
        <v>geert@dgadvisors.nl</v>
      </c>
      <c r="C142" s="22" t="str">
        <f>IFERROR(__xludf.DUMMYFUNCTION("""COMPUTED_VALUE"""),"DGAdvisors")</f>
        <v>DGAdvisors</v>
      </c>
      <c r="D142" s="22" t="str">
        <f>IFERROR(__xludf.DUMMYFUNCTION("""COMPUTED_VALUE"""),"Owner")</f>
        <v>Owner</v>
      </c>
      <c r="E142" s="22" t="str">
        <f>IFERROR(__xludf.DUMMYFUNCTION("""COMPUTED_VALUE"""),"Connect with startups and scaleups")</f>
        <v>Connect with startups and scaleups</v>
      </c>
      <c r="F142" s="22" t="str">
        <f>IFERROR(__xludf.DUMMYFUNCTION("""COMPUTED_VALUE"""),"Cyber")</f>
        <v>Cyber</v>
      </c>
      <c r="H142" s="22" t="str">
        <f>VLOOKUP(B142,'new total list'!E:E,1,false)</f>
        <v>geert@dgadvisors.nl</v>
      </c>
      <c r="I142" s="22" t="str">
        <f>vlookup(A142,'new total list'!B:B,1,false)</f>
        <v>Geert van Kuyck</v>
      </c>
      <c r="J142" s="14"/>
      <c r="K142" s="14" t="str">
        <f t="shared" si="1"/>
        <v/>
      </c>
    </row>
    <row r="143">
      <c r="A143" s="22" t="str">
        <f>IFERROR(__xludf.DUMMYFUNCTION("""COMPUTED_VALUE"""),"Lex")</f>
        <v>Lex</v>
      </c>
      <c r="B143" s="22" t="str">
        <f>IFERROR(__xludf.DUMMYFUNCTION("""COMPUTED_VALUE"""),"lw@bvp.capital")</f>
        <v>lw@bvp.capital</v>
      </c>
      <c r="C143" s="22" t="str">
        <f>IFERROR(__xludf.DUMMYFUNCTION("""COMPUTED_VALUE"""),"Brightlands Venture Partners")</f>
        <v>Brightlands Venture Partners</v>
      </c>
      <c r="D143" s="22" t="str">
        <f>IFERROR(__xludf.DUMMYFUNCTION("""COMPUTED_VALUE"""),"Investment Manager")</f>
        <v>Investment Manager</v>
      </c>
      <c r="E143" s="22" t="str">
        <f>IFERROR(__xludf.DUMMYFUNCTION("""COMPUTED_VALUE"""),"Dealflow")</f>
        <v>Dealflow</v>
      </c>
      <c r="F143" s="22" t="str">
        <f>IFERROR(__xludf.DUMMYFUNCTION("""COMPUTED_VALUE"""),"networking")</f>
        <v>networking</v>
      </c>
      <c r="H143" s="22" t="str">
        <f>VLOOKUP(B143,'new total list'!E:E,1,false)</f>
        <v>#N/A</v>
      </c>
      <c r="I143" s="22" t="str">
        <f>vlookup(A143,'new total list'!B:B,1,false)</f>
        <v>#N/A</v>
      </c>
      <c r="J143" s="14"/>
      <c r="K143" s="14" t="str">
        <f t="shared" si="1"/>
        <v>Marked</v>
      </c>
    </row>
    <row r="144">
      <c r="A144" s="22" t="str">
        <f>IFERROR(__xludf.DUMMYFUNCTION("""COMPUTED_VALUE"""),"Michael Wulfsen")</f>
        <v>Michael Wulfsen</v>
      </c>
      <c r="B144" s="22" t="str">
        <f>IFERROR(__xludf.DUMMYFUNCTION("""COMPUTED_VALUE"""),"m.wulfsen@tudelft.nl")</f>
        <v>m.wulfsen@tudelft.nl</v>
      </c>
      <c r="C144" s="22" t="str">
        <f>IFERROR(__xludf.DUMMYFUNCTION("""COMPUTED_VALUE"""),"TU Delft Campus")</f>
        <v>TU Delft Campus</v>
      </c>
      <c r="D144" s="22" t="str">
        <f>IFERROR(__xludf.DUMMYFUNCTION("""COMPUTED_VALUE"""),"Manager Campusontwikkeling")</f>
        <v>Manager Campusontwikkeling</v>
      </c>
      <c r="E144" s="22" t="str">
        <f>IFERROR(__xludf.DUMMYFUNCTION("""COMPUTED_VALUE"""),"Networking")</f>
        <v>Networking</v>
      </c>
      <c r="F144" s="22" t="str">
        <f>IFERROR(__xludf.DUMMYFUNCTION("""COMPUTED_VALUE"""),"Dual Use")</f>
        <v>Dual Use</v>
      </c>
      <c r="H144" s="22" t="str">
        <f>VLOOKUP(B144,'new total list'!E:E,1,false)</f>
        <v>m.wulfsen@tudelft.nl</v>
      </c>
      <c r="I144" s="22" t="str">
        <f>vlookup(A144,'new total list'!B:B,1,false)</f>
        <v>Michael Wulfsen</v>
      </c>
      <c r="J144" s="14"/>
      <c r="K144" s="14" t="str">
        <f t="shared" si="1"/>
        <v/>
      </c>
    </row>
    <row r="145">
      <c r="A145" s="22" t="str">
        <f>IFERROR(__xludf.DUMMYFUNCTION("""COMPUTED_VALUE"""),"Boris Gorkovoi")</f>
        <v>Boris Gorkovoi</v>
      </c>
      <c r="B145" s="22" t="str">
        <f>IFERROR(__xludf.DUMMYFUNCTION("""COMPUTED_VALUE"""),"boris.gorkovoi@hidelta.nl")</f>
        <v>boris.gorkovoi@hidelta.nl</v>
      </c>
      <c r="C145" s="22" t="str">
        <f>IFERROR(__xludf.DUMMYFUNCTION("""COMPUTED_VALUE"""),"Hi Delta")</f>
        <v>Hi Delta</v>
      </c>
      <c r="D145" s="22" t="str">
        <f>IFERROR(__xludf.DUMMYFUNCTION("""COMPUTED_VALUE"""),"Partner manager")</f>
        <v>Partner manager</v>
      </c>
      <c r="E145" s="22" t="str">
        <f>IFERROR(__xludf.DUMMYFUNCTION("""COMPUTED_VALUE"""),"nieuwe contacten en verbinden")</f>
        <v>nieuwe contacten en verbinden</v>
      </c>
      <c r="F145" s="22" t="str">
        <f>IFERROR(__xludf.DUMMYFUNCTION("""COMPUTED_VALUE"""),"Dual Use")</f>
        <v>Dual Use</v>
      </c>
      <c r="H145" s="22" t="str">
        <f>VLOOKUP(B145,'new total list'!E:E,1,false)</f>
        <v>boris.gorkovoi@hidelta.nl</v>
      </c>
      <c r="I145" s="22" t="str">
        <f>vlookup(A145,'new total list'!B:B,1,false)</f>
        <v>Boris Gorkovoi</v>
      </c>
      <c r="J145" s="14"/>
      <c r="K145" s="14" t="str">
        <f t="shared" si="1"/>
        <v/>
      </c>
      <c r="L145" s="7" t="s">
        <v>925</v>
      </c>
    </row>
    <row r="146">
      <c r="A146" s="22" t="str">
        <f>IFERROR(__xludf.DUMMYFUNCTION("""COMPUTED_VALUE"""),"Jurjen Slump")</f>
        <v>Jurjen Slump</v>
      </c>
      <c r="B146" s="22" t="str">
        <f>IFERROR(__xludf.DUMMYFUNCTION("""COMPUTED_VALUE"""),"j.r.slump@tudelft.nl")</f>
        <v>j.r.slump@tudelft.nl</v>
      </c>
      <c r="C146" s="22" t="str">
        <f>IFERROR(__xludf.DUMMYFUNCTION("""COMPUTED_VALUE"""),"TU Delft")</f>
        <v>TU Delft</v>
      </c>
      <c r="D146" s="22" t="str">
        <f>IFERROR(__xludf.DUMMYFUNCTION("""COMPUTED_VALUE"""),"Content &amp; PR Lead")</f>
        <v>Content &amp; PR Lead</v>
      </c>
      <c r="E146" s="22" t="str">
        <f>IFERROR(__xludf.DUMMYFUNCTION("""COMPUTED_VALUE"""),"Inspiration and contacts for PR and content productions")</f>
        <v>Inspiration and contacts for PR and content productions</v>
      </c>
      <c r="F146" s="22" t="str">
        <f>IFERROR(__xludf.DUMMYFUNCTION("""COMPUTED_VALUE"""),"Maritime")</f>
        <v>Maritime</v>
      </c>
      <c r="H146" s="22" t="str">
        <f>VLOOKUP(B146,'new total list'!E:E,1,false)</f>
        <v>j.r.slump@tudelft.nl</v>
      </c>
      <c r="I146" s="22" t="str">
        <f>vlookup(A146,'new total list'!B:B,1,false)</f>
        <v>Jurjen Slump</v>
      </c>
      <c r="J146" s="14"/>
      <c r="K146" s="14" t="str">
        <f t="shared" si="1"/>
        <v/>
      </c>
    </row>
    <row r="147">
      <c r="A147" s="22" t="str">
        <f>IFERROR(__xludf.DUMMYFUNCTION("""COMPUTED_VALUE"""),"Aylin Girgin Ozbilis")</f>
        <v>Aylin Girgin Ozbilis</v>
      </c>
      <c r="B147" s="22" t="str">
        <f>IFERROR(__xludf.DUMMYFUNCTION("""COMPUTED_VALUE"""),"aylin@vincivc.com")</f>
        <v>aylin@vincivc.com</v>
      </c>
      <c r="C147" s="22" t="str">
        <f>IFERROR(__xludf.DUMMYFUNCTION("""COMPUTED_VALUE"""),"Vinci VC")</f>
        <v>Vinci VC</v>
      </c>
      <c r="D147" s="22" t="str">
        <f>IFERROR(__xludf.DUMMYFUNCTION("""COMPUTED_VALUE"""),"Investment Director")</f>
        <v>Investment Director</v>
      </c>
      <c r="E147" s="22" t="str">
        <f>IFERROR(__xludf.DUMMYFUNCTION("""COMPUTED_VALUE"""),"Meeting with Startups")</f>
        <v>Meeting with Startups</v>
      </c>
      <c r="F147" s="22" t="str">
        <f>IFERROR(__xludf.DUMMYFUNCTION("""COMPUTED_VALUE"""),"Energy")</f>
        <v>Energy</v>
      </c>
      <c r="H147" s="22" t="str">
        <f>VLOOKUP(B147,'new total list'!E:E,1,false)</f>
        <v>aylin@vincivc.com</v>
      </c>
      <c r="I147" s="22" t="str">
        <f>vlookup(A147,'new total list'!B:B,1,false)</f>
        <v>#N/A</v>
      </c>
      <c r="J147" s="14"/>
      <c r="K147" s="14" t="str">
        <f t="shared" si="1"/>
        <v/>
      </c>
    </row>
    <row r="148">
      <c r="A148" s="22" t="str">
        <f>IFERROR(__xludf.DUMMYFUNCTION("""COMPUTED_VALUE"""),"Anouk Dijkstal")</f>
        <v>Anouk Dijkstal</v>
      </c>
      <c r="B148" s="22" t="str">
        <f>IFERROR(__xludf.DUMMYFUNCTION("""COMPUTED_VALUE"""),"a.s.dijkstal@tudelft.nl")</f>
        <v>a.s.dijkstal@tudelft.nl</v>
      </c>
      <c r="C148" s="22" t="str">
        <f>IFERROR(__xludf.DUMMYFUNCTION("""COMPUTED_VALUE"""),"TU Delft")</f>
        <v>TU Delft</v>
      </c>
      <c r="D148" s="22" t="str">
        <f>IFERROR(__xludf.DUMMYFUNCTION("""COMPUTED_VALUE"""),"Alumni community manager")</f>
        <v>Alumni community manager</v>
      </c>
      <c r="E148" s="22" t="str">
        <f>IFERROR(__xludf.DUMMYFUNCTION("""COMPUTED_VALUE"""),"expanding my network")</f>
        <v>expanding my network</v>
      </c>
      <c r="F148" s="22" t="str">
        <f>IFERROR(__xludf.DUMMYFUNCTION("""COMPUTED_VALUE"""),"Energy")</f>
        <v>Energy</v>
      </c>
      <c r="H148" s="22" t="str">
        <f>VLOOKUP(B148,'new total list'!E:E,1,false)</f>
        <v>a.s.dijkstal@tudelft.nl</v>
      </c>
      <c r="I148" s="22" t="str">
        <f>vlookup(A148,'new total list'!B:B,1,false)</f>
        <v>Anouk Dijkstal</v>
      </c>
      <c r="J148" s="14"/>
      <c r="K148" s="14" t="str">
        <f t="shared" si="1"/>
        <v/>
      </c>
      <c r="L148" s="7" t="s">
        <v>720</v>
      </c>
    </row>
    <row r="149">
      <c r="A149" s="22" t="str">
        <f>IFERROR(__xludf.DUMMYFUNCTION("""COMPUTED_VALUE"""),"Naomi de Haas")</f>
        <v>Naomi de Haas</v>
      </c>
      <c r="B149" s="22" t="str">
        <f>IFERROR(__xludf.DUMMYFUNCTION("""COMPUTED_VALUE"""),"n.dehaas@nwo.nl")</f>
        <v>n.dehaas@nwo.nl</v>
      </c>
      <c r="C149" s="22" t="str">
        <f>IFERROR(__xludf.DUMMYFUNCTION("""COMPUTED_VALUE"""),"NWO")</f>
        <v>NWO</v>
      </c>
      <c r="D149" s="22" t="str">
        <f>IFERROR(__xludf.DUMMYFUNCTION("""COMPUTED_VALUE"""),"Programme Officer")</f>
        <v>Programme Officer</v>
      </c>
      <c r="E149" s="22" t="str">
        <f>IFERROR(__xludf.DUMMYFUNCTION("""COMPUTED_VALUE"""),"networking")</f>
        <v>networking</v>
      </c>
      <c r="F149" s="22" t="str">
        <f>IFERROR(__xludf.DUMMYFUNCTION("""COMPUTED_VALUE"""),"MedTech")</f>
        <v>MedTech</v>
      </c>
      <c r="H149" s="22" t="str">
        <f>VLOOKUP(B149,'new total list'!E:E,1,false)</f>
        <v>n.dehaas@nwo.nl</v>
      </c>
      <c r="I149" s="22" t="str">
        <f>vlookup(A149,'new total list'!B:B,1,false)</f>
        <v>Naomi de Haas</v>
      </c>
      <c r="J149" s="14"/>
      <c r="K149" s="14" t="str">
        <f t="shared" si="1"/>
        <v/>
      </c>
    </row>
    <row r="150">
      <c r="A150" s="22" t="str">
        <f>IFERROR(__xludf.DUMMYFUNCTION("""COMPUTED_VALUE"""),"Freek")</f>
        <v>Freek</v>
      </c>
      <c r="B150" s="22" t="str">
        <f>IFERROR(__xludf.DUMMYFUNCTION("""COMPUTED_VALUE"""),"freek@ds-capital.nl")</f>
        <v>freek@ds-capital.nl</v>
      </c>
      <c r="C150" s="22" t="str">
        <f>IFERROR(__xludf.DUMMYFUNCTION("""COMPUTED_VALUE"""),"Lumaux / TN Ventures")</f>
        <v>Lumaux / TN Ventures</v>
      </c>
      <c r="D150" s="22" t="str">
        <f>IFERROR(__xludf.DUMMYFUNCTION("""COMPUTED_VALUE"""),"Fonds manager")</f>
        <v>Fonds manager</v>
      </c>
      <c r="E150" s="22" t="str">
        <f>IFERROR(__xludf.DUMMYFUNCTION("""COMPUTED_VALUE"""),"Contacts")</f>
        <v>Contacts</v>
      </c>
      <c r="F150" s="22" t="str">
        <f>IFERROR(__xludf.DUMMYFUNCTION("""COMPUTED_VALUE"""),"Energy")</f>
        <v>Energy</v>
      </c>
      <c r="H150" s="22" t="str">
        <f>VLOOKUP(B150,'new total list'!E:E,1,false)</f>
        <v>freek@ds-capital.nl</v>
      </c>
      <c r="I150" s="22" t="str">
        <f>vlookup(A150,'new total list'!B:B,1,false)</f>
        <v>#N/A</v>
      </c>
      <c r="J150" s="14"/>
      <c r="K150" s="14" t="str">
        <f t="shared" si="1"/>
        <v/>
      </c>
    </row>
    <row r="151">
      <c r="A151" s="22" t="str">
        <f>IFERROR(__xludf.DUMMYFUNCTION("""COMPUTED_VALUE"""),"Jasper Schakel")</f>
        <v>Jasper Schakel</v>
      </c>
      <c r="B151" s="22" t="str">
        <f>IFERROR(__xludf.DUMMYFUNCTION("""COMPUTED_VALUE"""),"jasper.schakel@ciwi.earth")</f>
        <v>jasper.schakel@ciwi.earth</v>
      </c>
      <c r="C151" s="22" t="str">
        <f>IFERROR(__xludf.DUMMYFUNCTION("""COMPUTED_VALUE"""),"CIWI")</f>
        <v>CIWI</v>
      </c>
      <c r="D151" s="22" t="str">
        <f>IFERROR(__xludf.DUMMYFUNCTION("""COMPUTED_VALUE"""),"CEO &amp; Co-founder")</f>
        <v>CEO &amp; Co-founder</v>
      </c>
      <c r="E151" s="22" t="str">
        <f>IFERROR(__xludf.DUMMYFUNCTION("""COMPUTED_VALUE"""),"Networking")</f>
        <v>Networking</v>
      </c>
      <c r="F151" s="22" t="str">
        <f>IFERROR(__xludf.DUMMYFUNCTION("""COMPUTED_VALUE"""),"meet potential investors")</f>
        <v>meet potential investors</v>
      </c>
      <c r="H151" s="22" t="str">
        <f>VLOOKUP(B151,'new total list'!E:E,1,false)</f>
        <v>jasper.schakel@ciwi.earth</v>
      </c>
      <c r="I151" s="22" t="str">
        <f>vlookup(A151,'new total list'!B:B,1,false)</f>
        <v>Jasper Schakel</v>
      </c>
      <c r="J151" s="14"/>
      <c r="K151" s="14" t="str">
        <f t="shared" si="1"/>
        <v/>
      </c>
    </row>
    <row r="152">
      <c r="A152" s="22" t="str">
        <f>IFERROR(__xludf.DUMMYFUNCTION("""COMPUTED_VALUE"""),"Dick Sietses")</f>
        <v>Dick Sietses</v>
      </c>
      <c r="B152" s="22" t="str">
        <f>IFERROR(__xludf.DUMMYFUNCTION("""COMPUTED_VALUE"""),"dick.sietses@capricorn.be")</f>
        <v>dick.sietses@capricorn.be</v>
      </c>
      <c r="C152" s="22" t="str">
        <f>IFERROR(__xludf.DUMMYFUNCTION("""COMPUTED_VALUE"""),"Capricorn")</f>
        <v>Capricorn</v>
      </c>
      <c r="D152" s="22" t="str">
        <f>IFERROR(__xludf.DUMMYFUNCTION("""COMPUTED_VALUE"""),"Partner")</f>
        <v>Partner</v>
      </c>
      <c r="E152" s="22" t="str">
        <f>IFERROR(__xludf.DUMMYFUNCTION("""COMPUTED_VALUE"""),"New connections")</f>
        <v>New connections</v>
      </c>
      <c r="F152" s="22" t="str">
        <f>IFERROR(__xludf.DUMMYFUNCTION("""COMPUTED_VALUE"""),"MedTech")</f>
        <v>MedTech</v>
      </c>
      <c r="H152" s="22" t="str">
        <f>VLOOKUP(B152,'new total list'!E:E,1,false)</f>
        <v>dick.sietses@capricorn.be</v>
      </c>
      <c r="I152" s="22" t="str">
        <f>vlookup(A152,'new total list'!B:B,1,false)</f>
        <v>Dick Sietses</v>
      </c>
      <c r="J152" s="14"/>
      <c r="K152" s="14" t="str">
        <f t="shared" si="1"/>
        <v/>
      </c>
    </row>
    <row r="153">
      <c r="A153" s="22" t="str">
        <f>IFERROR(__xludf.DUMMYFUNCTION("""COMPUTED_VALUE"""),"Hans van Putten")</f>
        <v>Hans van Putten</v>
      </c>
      <c r="B153" s="22" t="str">
        <f>IFERROR(__xludf.DUMMYFUNCTION("""COMPUTED_VALUE"""),"hans.vanputten@deltares.nl")</f>
        <v>hans.vanputten@deltares.nl</v>
      </c>
      <c r="C153" s="22" t="str">
        <f>IFERROR(__xludf.DUMMYFUNCTION("""COMPUTED_VALUE"""),"Deltares")</f>
        <v>Deltares</v>
      </c>
      <c r="D153" s="22" t="str">
        <f>IFERROR(__xludf.DUMMYFUNCTION("""COMPUTED_VALUE"""),"Director Digital Strategy")</f>
        <v>Director Digital Strategy</v>
      </c>
      <c r="E153" s="22" t="str">
        <f>IFERROR(__xludf.DUMMYFUNCTION("""COMPUTED_VALUE"""),"We are exploring the added value of start ups from within Deltares. I want to learn from challenges other organizations and start ups are facing.")</f>
        <v>We are exploring the added value of start ups from within Deltares. I want to learn from challenges other organizations and start ups are facing.</v>
      </c>
      <c r="F153" s="22" t="str">
        <f>IFERROR(__xludf.DUMMYFUNCTION("""COMPUTED_VALUE"""),"Dual Use")</f>
        <v>Dual Use</v>
      </c>
      <c r="H153" s="22" t="str">
        <f>VLOOKUP(B153,'new total list'!E:E,1,false)</f>
        <v>#N/A</v>
      </c>
      <c r="I153" s="22" t="str">
        <f>vlookup(A153,'new total list'!B:B,1,false)</f>
        <v>#N/A</v>
      </c>
      <c r="J153" s="14"/>
      <c r="K153" s="14" t="str">
        <f t="shared" si="1"/>
        <v>Marked</v>
      </c>
      <c r="L153" s="7" t="s">
        <v>925</v>
      </c>
    </row>
    <row r="154">
      <c r="A154" s="22" t="str">
        <f>IFERROR(__xludf.DUMMYFUNCTION("""COMPUTED_VALUE"""),"William Janssen")</f>
        <v>William Janssen</v>
      </c>
      <c r="B154" s="22" t="str">
        <f>IFERROR(__xludf.DUMMYFUNCTION("""COMPUTED_VALUE"""),"w.janssen@maxairea.com")</f>
        <v>w.janssen@maxairea.com</v>
      </c>
      <c r="C154" s="22" t="str">
        <f>IFERROR(__xludf.DUMMYFUNCTION("""COMPUTED_VALUE"""),"Maxairea")</f>
        <v>Maxairea</v>
      </c>
      <c r="D154" s="22" t="str">
        <f>IFERROR(__xludf.DUMMYFUNCTION("""COMPUTED_VALUE"""),"CEO")</f>
        <v>CEO</v>
      </c>
      <c r="E154" s="22" t="str">
        <f>IFERROR(__xludf.DUMMYFUNCTION("""COMPUTED_VALUE"""),"Explore collaboration opportunities")</f>
        <v>Explore collaboration opportunities</v>
      </c>
      <c r="F154" s="22" t="str">
        <f>IFERROR(__xludf.DUMMYFUNCTION("""COMPUTED_VALUE"""),"Energy")</f>
        <v>Energy</v>
      </c>
      <c r="H154" s="22" t="str">
        <f>VLOOKUP(B154,'new total list'!E:E,1,false)</f>
        <v>w.janssen@maxairea.com</v>
      </c>
      <c r="I154" s="22" t="str">
        <f>vlookup(A154,'new total list'!B:B,1,false)</f>
        <v>William Janssen</v>
      </c>
      <c r="J154" s="14"/>
      <c r="K154" s="14" t="str">
        <f t="shared" si="1"/>
        <v/>
      </c>
    </row>
    <row r="155">
      <c r="A155" s="22" t="str">
        <f>IFERROR(__xludf.DUMMYFUNCTION("""COMPUTED_VALUE"""),"Rabih")</f>
        <v>Rabih</v>
      </c>
      <c r="B155" s="22" t="str">
        <f>IFERROR(__xludf.DUMMYFUNCTION("""COMPUTED_VALUE"""),"r.hamid@maxairea.com")</f>
        <v>r.hamid@maxairea.com</v>
      </c>
      <c r="C155" s="22" t="str">
        <f>IFERROR(__xludf.DUMMYFUNCTION("""COMPUTED_VALUE"""),"maxairea")</f>
        <v>maxairea</v>
      </c>
      <c r="D155" s="22" t="str">
        <f>IFERROR(__xludf.DUMMYFUNCTION("""COMPUTED_VALUE"""),"CTO")</f>
        <v>CTO</v>
      </c>
      <c r="E155" s="22" t="str">
        <f>IFERROR(__xludf.DUMMYFUNCTION("""COMPUTED_VALUE"""),"learn more about the YES delft ecosystem and meet the YES delft ecosystem")</f>
        <v>learn more about the YES delft ecosystem and meet the YES delft ecosystem</v>
      </c>
      <c r="F155" s="22" t="str">
        <f>IFERROR(__xludf.DUMMYFUNCTION("""COMPUTED_VALUE"""),"try to generate new leads")</f>
        <v>try to generate new leads</v>
      </c>
      <c r="H155" s="22" t="str">
        <f>VLOOKUP(B155,'new total list'!E:E,1,false)</f>
        <v>r.hamid@maxairea.com</v>
      </c>
      <c r="I155" s="22" t="str">
        <f>vlookup(A155,'new total list'!B:B,1,false)</f>
        <v>#N/A</v>
      </c>
      <c r="J155" s="14"/>
      <c r="K155" s="14" t="str">
        <f t="shared" si="1"/>
        <v/>
      </c>
      <c r="L155" s="7" t="s">
        <v>1061</v>
      </c>
    </row>
    <row r="156">
      <c r="A156" s="22" t="str">
        <f>IFERROR(__xludf.DUMMYFUNCTION("""COMPUTED_VALUE"""),"Alexander Galitsky")</f>
        <v>Alexander Galitsky</v>
      </c>
      <c r="B156" s="22" t="str">
        <f>IFERROR(__xludf.DUMMYFUNCTION("""COMPUTED_VALUE"""),"alex.galitsky@constructor.capital")</f>
        <v>alex.galitsky@constructor.capital</v>
      </c>
      <c r="C156" s="22" t="str">
        <f>IFERROR(__xludf.DUMMYFUNCTION("""COMPUTED_VALUE"""),"Constructor Capital")</f>
        <v>Constructor Capital</v>
      </c>
      <c r="D156" s="22" t="str">
        <f>IFERROR(__xludf.DUMMYFUNCTION("""COMPUTED_VALUE"""),"Investor")</f>
        <v>Investor</v>
      </c>
      <c r="E156" s="22" t="str">
        <f>IFERROR(__xludf.DUMMYFUNCTION("""COMPUTED_VALUE"""),"Meet interesting startups")</f>
        <v>Meet interesting startups</v>
      </c>
      <c r="F156" s="22" t="str">
        <f>IFERROR(__xludf.DUMMYFUNCTION("""COMPUTED_VALUE"""),"understand NL ecosystem more")</f>
        <v>understand NL ecosystem more</v>
      </c>
      <c r="H156" s="22" t="str">
        <f>VLOOKUP(B156,'new total list'!E:E,1,false)</f>
        <v>#N/A</v>
      </c>
      <c r="I156" s="22" t="str">
        <f>vlookup(A156,'new total list'!B:B,1,false)</f>
        <v>#N/A</v>
      </c>
      <c r="J156" s="14"/>
      <c r="K156" s="14" t="str">
        <f t="shared" si="1"/>
        <v>Marked</v>
      </c>
    </row>
    <row r="157">
      <c r="A157" s="22" t="str">
        <f>IFERROR(__xludf.DUMMYFUNCTION("""COMPUTED_VALUE"""),"Niels Kooiman")</f>
        <v>Niels Kooiman</v>
      </c>
      <c r="B157" s="22" t="str">
        <f>IFERROR(__xludf.DUMMYFUNCTION("""COMPUTED_VALUE"""),"niels.kooiman@damen.com")</f>
        <v>niels.kooiman@damen.com</v>
      </c>
      <c r="C157" s="22" t="str">
        <f>IFERROR(__xludf.DUMMYFUNCTION("""COMPUTED_VALUE"""),"Damen shipyards")</f>
        <v>Damen shipyards</v>
      </c>
      <c r="D157" s="22" t="str">
        <f>IFERROR(__xludf.DUMMYFUNCTION("""COMPUTED_VALUE"""),"Corporate Venturing Manager")</f>
        <v>Corporate Venturing Manager</v>
      </c>
      <c r="E157" s="22" t="str">
        <f>IFERROR(__xludf.DUMMYFUNCTION("""COMPUTED_VALUE"""),"Ideas")</f>
        <v>Ideas</v>
      </c>
      <c r="F157" s="22" t="str">
        <f>IFERROR(__xludf.DUMMYFUNCTION("""COMPUTED_VALUE"""),"investment opportunities")</f>
        <v>investment opportunities</v>
      </c>
      <c r="H157" s="22" t="str">
        <f>VLOOKUP(B157,'new total list'!E:E,1,false)</f>
        <v>niels.kooiman@damen.com</v>
      </c>
      <c r="I157" s="22" t="str">
        <f>vlookup(A157,'new total list'!B:B,1,false)</f>
        <v>Niels Kooiman</v>
      </c>
      <c r="J157" s="14"/>
      <c r="K157" s="14" t="str">
        <f t="shared" si="1"/>
        <v/>
      </c>
    </row>
    <row r="158">
      <c r="A158" s="22" t="str">
        <f>IFERROR(__xludf.DUMMYFUNCTION("""COMPUTED_VALUE"""),"Birthe")</f>
        <v>Birthe</v>
      </c>
      <c r="B158" s="22" t="str">
        <f>IFERROR(__xludf.DUMMYFUNCTION("""COMPUTED_VALUE"""),"birthe.konu@rabobank.nl")</f>
        <v>birthe.konu@rabobank.nl</v>
      </c>
      <c r="C158" s="22" t="str">
        <f>IFERROR(__xludf.DUMMYFUNCTION("""COMPUTED_VALUE"""),"Rabobank")</f>
        <v>Rabobank</v>
      </c>
      <c r="D158" s="22" t="str">
        <f>IFERROR(__xludf.DUMMYFUNCTION("""COMPUTED_VALUE"""),"Local Director Delft")</f>
        <v>Local Director Delft</v>
      </c>
      <c r="E158" s="22" t="str">
        <f>IFERROR(__xludf.DUMMYFUNCTION("""COMPUTED_VALUE"""),"network")</f>
        <v>network</v>
      </c>
      <c r="F158" s="22" t="str">
        <f>IFERROR(__xludf.DUMMYFUNCTION("""COMPUTED_VALUE"""),"Energy")</f>
        <v>Energy</v>
      </c>
      <c r="H158" s="22" t="str">
        <f>VLOOKUP(B158,'new total list'!E:E,1,false)</f>
        <v>birthe.konu@rabobank.nl</v>
      </c>
      <c r="I158" s="22" t="str">
        <f>vlookup(A158,'new total list'!B:B,1,false)</f>
        <v>#N/A</v>
      </c>
      <c r="J158" s="14"/>
      <c r="K158" s="14" t="str">
        <f t="shared" si="1"/>
        <v/>
      </c>
    </row>
    <row r="159">
      <c r="A159" s="22" t="str">
        <f>IFERROR(__xludf.DUMMYFUNCTION("""COMPUTED_VALUE"""),"Dick Mooijman")</f>
        <v>Dick Mooijman</v>
      </c>
      <c r="B159" s="22" t="str">
        <f>IFERROR(__xludf.DUMMYFUNCTION("""COMPUTED_VALUE"""),"d.mooijman@m-ma.nl")</f>
        <v>d.mooijman@m-ma.nl</v>
      </c>
      <c r="C159" s="22" t="str">
        <f>IFERROR(__xludf.DUMMYFUNCTION("""COMPUTED_VALUE"""),"MMA")</f>
        <v>MMA</v>
      </c>
      <c r="D159" s="22" t="str">
        <f>IFERROR(__xludf.DUMMYFUNCTION("""COMPUTED_VALUE"""),"CEO")</f>
        <v>CEO</v>
      </c>
      <c r="E159" s="22" t="str">
        <f>IFERROR(__xludf.DUMMYFUNCTION("""COMPUTED_VALUE"""),"Get to know the community")</f>
        <v>Get to know the community</v>
      </c>
      <c r="F159" s="22" t="str">
        <f>IFERROR(__xludf.DUMMYFUNCTION("""COMPUTED_VALUE"""),"​Future of Compute")</f>
        <v>​Future of Compute</v>
      </c>
      <c r="H159" s="22" t="str">
        <f>VLOOKUP(B159,'new total list'!E:E,1,false)</f>
        <v>d.mooijman@m-ma.nl</v>
      </c>
      <c r="I159" s="22" t="str">
        <f>vlookup(A159,'new total list'!B:B,1,false)</f>
        <v>Dick Mooijman</v>
      </c>
      <c r="J159" s="14"/>
      <c r="K159" s="14" t="str">
        <f t="shared" si="1"/>
        <v/>
      </c>
      <c r="L159" s="7" t="s">
        <v>1079</v>
      </c>
    </row>
    <row r="160">
      <c r="A160" s="22" t="str">
        <f>IFERROR(__xludf.DUMMYFUNCTION("""COMPUTED_VALUE"""),"Rogier Klimbie")</f>
        <v>Rogier Klimbie</v>
      </c>
      <c r="B160" s="22" t="str">
        <f>IFERROR(__xludf.DUMMYFUNCTION("""COMPUTED_VALUE"""),"klimbiepublicaffairs@gmail.com")</f>
        <v>klimbiepublicaffairs@gmail.com</v>
      </c>
      <c r="C160" s="22" t="str">
        <f>IFERROR(__xludf.DUMMYFUNCTION("""COMPUTED_VALUE"""),"KickstartAI")</f>
        <v>KickstartAI</v>
      </c>
      <c r="D160" s="22" t="str">
        <f>IFERROR(__xludf.DUMMYFUNCTION("""COMPUTED_VALUE"""),"Government Relations Lead")</f>
        <v>Government Relations Lead</v>
      </c>
      <c r="E160" s="22" t="str">
        <f>IFERROR(__xludf.DUMMYFUNCTION("""COMPUTED_VALUE"""),"more knowledge and network")</f>
        <v>more knowledge and network</v>
      </c>
      <c r="F160" s="22" t="str">
        <f>IFERROR(__xludf.DUMMYFUNCTION("""COMPUTED_VALUE"""),"Energy")</f>
        <v>Energy</v>
      </c>
      <c r="H160" s="22" t="str">
        <f>VLOOKUP(B160,'new total list'!E:E,1,false)</f>
        <v>#N/A</v>
      </c>
      <c r="I160" s="22" t="str">
        <f>vlookup(A160,'new total list'!B:B,1,false)</f>
        <v>Rogier Klimbie</v>
      </c>
      <c r="J160" s="14"/>
      <c r="K160" s="14" t="str">
        <f t="shared" si="1"/>
        <v/>
      </c>
    </row>
    <row r="161">
      <c r="A161" s="22" t="str">
        <f>IFERROR(__xludf.DUMMYFUNCTION("""COMPUTED_VALUE"""),"Victor Meertens")</f>
        <v>Victor Meertens</v>
      </c>
      <c r="B161" s="22" t="str">
        <f>IFERROR(__xludf.DUMMYFUNCTION("""COMPUTED_VALUE"""),"victor@hortiheroes.com")</f>
        <v>victor@hortiheroes.com</v>
      </c>
      <c r="C161" s="22" t="str">
        <f>IFERROR(__xludf.DUMMYFUNCTION("""COMPUTED_VALUE"""),"HortiHeroes")</f>
        <v>HortiHeroes</v>
      </c>
      <c r="D161" s="22" t="str">
        <f>IFERROR(__xludf.DUMMYFUNCTION("""COMPUTED_VALUE"""),"Business developer/Startup scout")</f>
        <v>Business developer/Startup scout</v>
      </c>
      <c r="E161" s="22" t="str">
        <f>IFERROR(__xludf.DUMMYFUNCTION("""COMPUTED_VALUE"""),"New innovations that might be relevant/as inspiration for CEA")</f>
        <v>New innovations that might be relevant/as inspiration for CEA</v>
      </c>
      <c r="F161" s="22" t="str">
        <f>IFERROR(__xludf.DUMMYFUNCTION("""COMPUTED_VALUE"""),"Energy")</f>
        <v>Energy</v>
      </c>
      <c r="H161" s="22" t="str">
        <f>VLOOKUP(B161,'new total list'!E:E,1,false)</f>
        <v>#N/A</v>
      </c>
      <c r="I161" s="22" t="str">
        <f>vlookup(A161,'new total list'!B:B,1,false)</f>
        <v>#N/A</v>
      </c>
      <c r="J161" s="14"/>
      <c r="K161" s="14" t="str">
        <f t="shared" si="1"/>
        <v>Marked</v>
      </c>
    </row>
    <row r="162">
      <c r="A162" s="22" t="str">
        <f>IFERROR(__xludf.DUMMYFUNCTION("""COMPUTED_VALUE"""),"Moshe Vered")</f>
        <v>Moshe Vered</v>
      </c>
      <c r="B162" s="22" t="str">
        <f>IFERROR(__xludf.DUMMYFUNCTION("""COMPUTED_VALUE"""),"moses@roses-services.com")</f>
        <v>moses@roses-services.com</v>
      </c>
      <c r="C162" s="22" t="str">
        <f>IFERROR(__xludf.DUMMYFUNCTION("""COMPUTED_VALUE"""),"Check Point")</f>
        <v>Check Point</v>
      </c>
      <c r="D162" s="22" t="str">
        <f>IFERROR(__xludf.DUMMYFUNCTION("""COMPUTED_VALUE"""),"Product and Sales")</f>
        <v>Product and Sales</v>
      </c>
      <c r="E162" s="22" t="str">
        <f>IFERROR(__xludf.DUMMYFUNCTION("""COMPUTED_VALUE"""),"networking")</f>
        <v>networking</v>
      </c>
      <c r="F162" s="22" t="str">
        <f>IFERROR(__xludf.DUMMYFUNCTION("""COMPUTED_VALUE"""),"business")</f>
        <v>business</v>
      </c>
      <c r="H162" s="22" t="str">
        <f>VLOOKUP(B162,'new total list'!E:E,1,false)</f>
        <v>moses@roses-services.com</v>
      </c>
      <c r="I162" s="22" t="str">
        <f>vlookup(A162,'new total list'!B:B,1,false)</f>
        <v>Moshe Vered</v>
      </c>
      <c r="J162" s="14"/>
      <c r="K162" s="14" t="str">
        <f t="shared" si="1"/>
        <v/>
      </c>
    </row>
    <row r="163">
      <c r="A163" s="22" t="str">
        <f>IFERROR(__xludf.DUMMYFUNCTION("""COMPUTED_VALUE"""),"Daan Uljee")</f>
        <v>Daan Uljee</v>
      </c>
      <c r="B163" s="22" t="str">
        <f>IFERROR(__xludf.DUMMYFUNCTION("""COMPUTED_VALUE"""),"daan@goeie-grutten.nl")</f>
        <v>daan@goeie-grutten.nl</v>
      </c>
      <c r="C163" s="22" t="str">
        <f>IFERROR(__xludf.DUMMYFUNCTION("""COMPUTED_VALUE"""),"Goeie Grutten Impact Fonds")</f>
        <v>Goeie Grutten Impact Fonds</v>
      </c>
      <c r="D163" s="22" t="str">
        <f>IFERROR(__xludf.DUMMYFUNCTION("""COMPUTED_VALUE"""),"Investment Manager")</f>
        <v>Investment Manager</v>
      </c>
      <c r="E163" s="22" t="str">
        <f>IFERROR(__xludf.DUMMYFUNCTION("""COMPUTED_VALUE"""),"Meet new start-ups")</f>
        <v>Meet new start-ups</v>
      </c>
      <c r="F163" s="22" t="str">
        <f>IFERROR(__xludf.DUMMYFUNCTION("""COMPUTED_VALUE"""),"Energy")</f>
        <v>Energy</v>
      </c>
      <c r="H163" s="22" t="str">
        <f>VLOOKUP(B163,'new total list'!E:E,1,false)</f>
        <v>#N/A</v>
      </c>
      <c r="I163" s="22" t="str">
        <f>vlookup(A163,'new total list'!B:B,1,false)</f>
        <v>#N/A</v>
      </c>
      <c r="J163" s="14"/>
      <c r="K163" s="14" t="str">
        <f t="shared" si="1"/>
        <v>Marked</v>
      </c>
    </row>
    <row r="164">
      <c r="A164" s="22" t="str">
        <f>IFERROR(__xludf.DUMMYFUNCTION("""COMPUTED_VALUE"""),"Ernst Hoestra")</f>
        <v>Ernst Hoestra</v>
      </c>
      <c r="B164" s="22" t="str">
        <f>IFERROR(__xludf.DUMMYFUNCTION("""COMPUTED_VALUE"""),"hoestra@eur.nl")</f>
        <v>hoestra@eur.nl</v>
      </c>
      <c r="C164" s="22" t="str">
        <f>IFERROR(__xludf.DUMMYFUNCTION("""COMPUTED_VALUE"""),"Erasmus Universiteit Rotterdam")</f>
        <v>Erasmus Universiteit Rotterdam</v>
      </c>
      <c r="D164" s="22" t="str">
        <f>IFERROR(__xludf.DUMMYFUNCTION("""COMPUTED_VALUE"""),"CEO")</f>
        <v>CEO</v>
      </c>
      <c r="E164" s="22" t="str">
        <f>IFERROR(__xludf.DUMMYFUNCTION("""COMPUTED_VALUE"""),"Connecting")</f>
        <v>Connecting</v>
      </c>
      <c r="F164" s="22" t="str">
        <f>IFERROR(__xludf.DUMMYFUNCTION("""COMPUTED_VALUE"""),"Energy")</f>
        <v>Energy</v>
      </c>
      <c r="H164" s="22" t="str">
        <f>VLOOKUP(B164,'new total list'!E:E,1,false)</f>
        <v>hoestra@eur.nl</v>
      </c>
      <c r="I164" s="22" t="str">
        <f>vlookup(A164,'new total list'!B:B,1,false)</f>
        <v>Ernst Hoestra</v>
      </c>
      <c r="J164" s="14"/>
      <c r="K164" s="14" t="str">
        <f t="shared" si="1"/>
        <v/>
      </c>
    </row>
    <row r="165">
      <c r="A165" s="22" t="str">
        <f>IFERROR(__xludf.DUMMYFUNCTION("""COMPUTED_VALUE"""),"Jordan Billiald")</f>
        <v>Jordan Billiald</v>
      </c>
      <c r="B165" s="22" t="str">
        <f>IFERROR(__xludf.DUMMYFUNCTION("""COMPUTED_VALUE"""),"jordan@iqcapital.vc")</f>
        <v>jordan@iqcapital.vc</v>
      </c>
      <c r="C165" s="22" t="str">
        <f>IFERROR(__xludf.DUMMYFUNCTION("""COMPUTED_VALUE"""),"IQ Capital")</f>
        <v>IQ Capital</v>
      </c>
      <c r="D165" s="22" t="str">
        <f>IFERROR(__xludf.DUMMYFUNCTION("""COMPUTED_VALUE"""),"Principal")</f>
        <v>Principal</v>
      </c>
      <c r="E165" s="22" t="str">
        <f>IFERROR(__xludf.DUMMYFUNCTION("""COMPUTED_VALUE"""),"Deal flow")</f>
        <v>Deal flow</v>
      </c>
      <c r="F165" s="22" t="str">
        <f>IFERROR(__xludf.DUMMYFUNCTION("""COMPUTED_VALUE"""),"Maritime")</f>
        <v>Maritime</v>
      </c>
      <c r="H165" s="22" t="str">
        <f>VLOOKUP(B165,'new total list'!E:E,1,false)</f>
        <v>jordan@iqcapital.vc</v>
      </c>
      <c r="I165" s="22" t="str">
        <f>vlookup(A165,'new total list'!B:B,1,false)</f>
        <v>Jordan Billiald</v>
      </c>
      <c r="J165" s="14"/>
      <c r="K165" s="14" t="str">
        <f t="shared" si="1"/>
        <v/>
      </c>
    </row>
    <row r="166">
      <c r="A166" s="22" t="str">
        <f>IFERROR(__xludf.DUMMYFUNCTION("""COMPUTED_VALUE"""),"Chokri Mousaoui")</f>
        <v>Chokri Mousaoui</v>
      </c>
      <c r="B166" s="22" t="str">
        <f>IFERROR(__xludf.DUMMYFUNCTION("""COMPUTED_VALUE"""),"chokri@yesdelft.nl")</f>
        <v>chokri@yesdelft.nl</v>
      </c>
      <c r="C166" s="22" t="str">
        <f>IFERROR(__xludf.DUMMYFUNCTION("""COMPUTED_VALUE"""),"Early stage deep tech Venture Capital")</f>
        <v>Early stage deep tech Venture Capital</v>
      </c>
      <c r="D166" s="22" t="str">
        <f>IFERROR(__xludf.DUMMYFUNCTION("""COMPUTED_VALUE"""),"Investor")</f>
        <v>Investor</v>
      </c>
      <c r="E166" s="22" t="str">
        <f>IFERROR(__xludf.DUMMYFUNCTION("""COMPUTED_VALUE"""),"Networking")</f>
        <v>Networking</v>
      </c>
      <c r="F166" s="22" t="str">
        <f>IFERROR(__xludf.DUMMYFUNCTION("""COMPUTED_VALUE"""),"Energy")</f>
        <v>Energy</v>
      </c>
      <c r="H166" s="22" t="str">
        <f>VLOOKUP(B166,'new total list'!E:E,1,false)</f>
        <v>#N/A</v>
      </c>
      <c r="I166" s="22" t="str">
        <f>vlookup(A166,'new total list'!B:B,1,false)</f>
        <v>Chokri Mousaoui</v>
      </c>
      <c r="J166" s="14"/>
      <c r="K166" s="14" t="str">
        <f t="shared" si="1"/>
        <v/>
      </c>
    </row>
    <row r="167">
      <c r="A167" s="22" t="str">
        <f>IFERROR(__xludf.DUMMYFUNCTION("""COMPUTED_VALUE"""),"Han van Veldhuizen")</f>
        <v>Han van Veldhuizen</v>
      </c>
      <c r="B167" s="22" t="str">
        <f>IFERROR(__xludf.DUMMYFUNCTION("""COMPUTED_VALUE"""),"han.vanveldhuizen@deltares.nl")</f>
        <v>han.vanveldhuizen@deltares.nl</v>
      </c>
      <c r="C167" s="22" t="str">
        <f>IFERROR(__xludf.DUMMYFUNCTION("""COMPUTED_VALUE"""),"Deltares")</f>
        <v>Deltares</v>
      </c>
      <c r="D167" s="22" t="str">
        <f>IFERROR(__xludf.DUMMYFUNCTION("""COMPUTED_VALUE"""),"DIrector Digital Technology")</f>
        <v>DIrector Digital Technology</v>
      </c>
      <c r="E167" s="22" t="str">
        <f>IFERROR(__xludf.DUMMYFUNCTION("""COMPUTED_VALUE"""),"Hear about the future of compute and meet people behind thos start-ups")</f>
        <v>Hear about the future of compute and meet people behind thos start-ups</v>
      </c>
      <c r="F167" s="22" t="str">
        <f>IFERROR(__xludf.DUMMYFUNCTION("""COMPUTED_VALUE"""),"​Future of Compute")</f>
        <v>​Future of Compute</v>
      </c>
      <c r="H167" s="22" t="str">
        <f>VLOOKUP(B167,'new total list'!E:E,1,false)</f>
        <v>#N/A</v>
      </c>
      <c r="I167" s="22" t="str">
        <f>vlookup(A167,'new total list'!B:B,1,false)</f>
        <v>#N/A</v>
      </c>
      <c r="J167" s="14"/>
      <c r="K167" s="14" t="str">
        <f t="shared" si="1"/>
        <v>Marked</v>
      </c>
    </row>
    <row r="168">
      <c r="A168" s="22" t="str">
        <f>IFERROR(__xludf.DUMMYFUNCTION("""COMPUTED_VALUE"""),"David Beijer")</f>
        <v>David Beijer</v>
      </c>
      <c r="B168" s="22" t="str">
        <f>IFERROR(__xludf.DUMMYFUNCTION("""COMPUTED_VALUE"""),"david@forgeon.nl")</f>
        <v>david@forgeon.nl</v>
      </c>
      <c r="C168" s="22" t="str">
        <f>IFERROR(__xludf.DUMMYFUNCTION("""COMPUTED_VALUE"""),"Forgeon")</f>
        <v>Forgeon</v>
      </c>
      <c r="D168" s="22" t="str">
        <f>IFERROR(__xludf.DUMMYFUNCTION("""COMPUTED_VALUE"""),"Owner")</f>
        <v>Owner</v>
      </c>
      <c r="E168" s="22" t="str">
        <f>IFERROR(__xludf.DUMMYFUNCTION("""COMPUTED_VALUE"""),"Make valuable connection")</f>
        <v>Make valuable connection</v>
      </c>
      <c r="F168" s="22" t="str">
        <f>IFERROR(__xludf.DUMMYFUNCTION("""COMPUTED_VALUE"""),"Energy")</f>
        <v>Energy</v>
      </c>
      <c r="H168" s="22" t="str">
        <f>VLOOKUP(B168,'new total list'!E:E,1,false)</f>
        <v>#N/A</v>
      </c>
      <c r="I168" s="22" t="str">
        <f>vlookup(A168,'new total list'!B:B,1,false)</f>
        <v>David Beijer</v>
      </c>
      <c r="J168" s="14"/>
      <c r="K168" s="14" t="str">
        <f t="shared" si="1"/>
        <v/>
      </c>
    </row>
    <row r="169">
      <c r="A169" s="22" t="str">
        <f>IFERROR(__xludf.DUMMYFUNCTION("""COMPUTED_VALUE"""),"Daan Hittema")</f>
        <v>Daan Hittema</v>
      </c>
      <c r="B169" s="22" t="str">
        <f>IFERROR(__xludf.DUMMYFUNCTION("""COMPUTED_VALUE"""),"daan.hittema@ide.group")</f>
        <v>daan.hittema@ide.group</v>
      </c>
      <c r="C169" s="22" t="str">
        <f>IFERROR(__xludf.DUMMYFUNCTION("""COMPUTED_VALUE"""),"IDE Group")</f>
        <v>IDE Group</v>
      </c>
      <c r="D169" s="22" t="str">
        <f>IFERROR(__xludf.DUMMYFUNCTION("""COMPUTED_VALUE"""),"Business Development Leader Europe")</f>
        <v>Business Development Leader Europe</v>
      </c>
      <c r="E169" s="22" t="str">
        <f>IFERROR(__xludf.DUMMYFUNCTION("""COMPUTED_VALUE"""),"meet new MedTech innovators/entrepreneurs")</f>
        <v>meet new MedTech innovators/entrepreneurs</v>
      </c>
      <c r="F169" s="22" t="str">
        <f>IFERROR(__xludf.DUMMYFUNCTION("""COMPUTED_VALUE"""),"MedTech")</f>
        <v>MedTech</v>
      </c>
      <c r="H169" s="22" t="str">
        <f>VLOOKUP(B169,'new total list'!E:E,1,false)</f>
        <v>daan.hittema@ide.group</v>
      </c>
      <c r="I169" s="22" t="str">
        <f>vlookup(A169,'new total list'!B:B,1,false)</f>
        <v>Daan Hittema</v>
      </c>
      <c r="J169" s="14"/>
      <c r="K169" s="14" t="str">
        <f t="shared" si="1"/>
        <v/>
      </c>
    </row>
    <row r="170">
      <c r="A170" s="22" t="str">
        <f>IFERROR(__xludf.DUMMYFUNCTION("""COMPUTED_VALUE"""),"Eveline Vreede")</f>
        <v>Eveline Vreede</v>
      </c>
      <c r="B170" s="22" t="str">
        <f>IFERROR(__xludf.DUMMYFUNCTION("""COMPUTED_VALUE"""),"e.m.vreede@tudelft.nl")</f>
        <v>e.m.vreede@tudelft.nl</v>
      </c>
      <c r="C170" s="22" t="str">
        <f>IFERROR(__xludf.DUMMYFUNCTION("""COMPUTED_VALUE"""),"TU Delft")</f>
        <v>TU Delft</v>
      </c>
      <c r="D170" s="22" t="str">
        <f>IFERROR(__xludf.DUMMYFUNCTION("""COMPUTED_VALUE"""),"Manager TU Delft Safety &amp; Security Institute")</f>
        <v>Manager TU Delft Safety &amp; Security Institute</v>
      </c>
      <c r="E170" s="22" t="str">
        <f>IFERROR(__xludf.DUMMYFUNCTION("""COMPUTED_VALUE"""),"learn about the new startups and connecting with people")</f>
        <v>learn about the new startups and connecting with people</v>
      </c>
      <c r="F170" s="22" t="str">
        <f>IFERROR(__xludf.DUMMYFUNCTION("""COMPUTED_VALUE"""),"Cyber")</f>
        <v>Cyber</v>
      </c>
      <c r="H170" s="22" t="str">
        <f>VLOOKUP(B170,'new total list'!E:E,1,false)</f>
        <v>e.m.vreede@tudelft.nl</v>
      </c>
      <c r="I170" s="22" t="str">
        <f>vlookup(A170,'new total list'!B:B,1,false)</f>
        <v>Eveline Vreede</v>
      </c>
      <c r="J170" s="14"/>
      <c r="K170" s="14" t="str">
        <f t="shared" si="1"/>
        <v/>
      </c>
    </row>
    <row r="171">
      <c r="A171" s="22" t="str">
        <f>IFERROR(__xludf.DUMMYFUNCTION("""COMPUTED_VALUE"""),"Elsa van der Zwan")</f>
        <v>Elsa van der Zwan</v>
      </c>
      <c r="B171" s="22" t="str">
        <f>IFERROR(__xludf.DUMMYFUNCTION("""COMPUTED_VALUE"""),"elsa.van.der.zwan@fme.nl")</f>
        <v>elsa.van.der.zwan@fme.nl</v>
      </c>
      <c r="C171" s="22" t="str">
        <f>IFERROR(__xludf.DUMMYFUNCTION("""COMPUTED_VALUE"""),"Fieldlab Industrial Electrification | FME")</f>
        <v>Fieldlab Industrial Electrification | FME</v>
      </c>
      <c r="D171" s="22" t="str">
        <f>IFERROR(__xludf.DUMMYFUNCTION("""COMPUTED_VALUE"""),"Business Development Manager Innovatie")</f>
        <v>Business Development Manager Innovatie</v>
      </c>
      <c r="E171" s="22" t="str">
        <f>IFERROR(__xludf.DUMMYFUNCTION("""COMPUTED_VALUE"""),"Broaden network - connecting industry constituency to start-ups")</f>
        <v>Broaden network - connecting industry constituency to start-ups</v>
      </c>
      <c r="F171" s="22" t="str">
        <f>IFERROR(__xludf.DUMMYFUNCTION("""COMPUTED_VALUE"""),"Energy")</f>
        <v>Energy</v>
      </c>
      <c r="H171" s="22" t="str">
        <f>VLOOKUP(B171,'new total list'!E:E,1,false)</f>
        <v>elsa.van.der.zwan@fme.nl</v>
      </c>
      <c r="I171" s="22" t="str">
        <f>vlookup(A171,'new total list'!B:B,1,false)</f>
        <v>Elsa van der Zwan</v>
      </c>
      <c r="J171" s="14"/>
      <c r="K171" s="14" t="str">
        <f t="shared" si="1"/>
        <v/>
      </c>
    </row>
    <row r="172">
      <c r="A172" s="22" t="str">
        <f>IFERROR(__xludf.DUMMYFUNCTION("""COMPUTED_VALUE"""),"Patricia Klopf")</f>
        <v>Patricia Klopf</v>
      </c>
      <c r="B172" s="22" t="str">
        <f>IFERROR(__xludf.DUMMYFUNCTION("""COMPUTED_VALUE"""),"klopf@rsm.nl")</f>
        <v>klopf@rsm.nl</v>
      </c>
      <c r="C172" s="22" t="str">
        <f>IFERROR(__xludf.DUMMYFUNCTION("""COMPUTED_VALUE"""),"Erasmus University")</f>
        <v>Erasmus University</v>
      </c>
      <c r="D172" s="22" t="str">
        <f>IFERROR(__xludf.DUMMYFUNCTION("""COMPUTED_VALUE"""),"Assistant Professor")</f>
        <v>Assistant Professor</v>
      </c>
      <c r="E172" s="22" t="str">
        <f>IFERROR(__xludf.DUMMYFUNCTION("""COMPUTED_VALUE"""),"networking")</f>
        <v>networking</v>
      </c>
      <c r="F172" s="22" t="str">
        <f>IFERROR(__xludf.DUMMYFUNCTION("""COMPUTED_VALUE"""),"Dual Use")</f>
        <v>Dual Use</v>
      </c>
      <c r="H172" s="22" t="str">
        <f>VLOOKUP(B172,'new total list'!E:E,1,false)</f>
        <v>klopf@rsm.nl</v>
      </c>
      <c r="I172" s="22" t="str">
        <f>vlookup(A172,'new total list'!B:B,1,false)</f>
        <v>Patricia Klopf</v>
      </c>
      <c r="J172" s="14"/>
      <c r="K172" s="14" t="str">
        <f t="shared" si="1"/>
        <v/>
      </c>
    </row>
    <row r="173">
      <c r="A173" s="22" t="str">
        <f>IFERROR(__xludf.DUMMYFUNCTION("""COMPUTED_VALUE"""),"David Janssen")</f>
        <v>David Janssen</v>
      </c>
      <c r="B173" s="22" t="str">
        <f>IFERROR(__xludf.DUMMYFUNCTION("""COMPUTED_VALUE"""),"dj@innovationindustries.com")</f>
        <v>dj@innovationindustries.com</v>
      </c>
      <c r="C173" s="22" t="str">
        <f>IFERROR(__xludf.DUMMYFUNCTION("""COMPUTED_VALUE"""),"Innovation Industries")</f>
        <v>Innovation Industries</v>
      </c>
      <c r="D173" s="22" t="str">
        <f>IFERROR(__xludf.DUMMYFUNCTION("""COMPUTED_VALUE"""),"Investment Analyst")</f>
        <v>Investment Analyst</v>
      </c>
      <c r="E173" s="22" t="str">
        <f>IFERROR(__xludf.DUMMYFUNCTION("""COMPUTED_VALUE"""),"Networking")</f>
        <v>Networking</v>
      </c>
      <c r="F173" s="22" t="str">
        <f>IFERROR(__xludf.DUMMYFUNCTION("""COMPUTED_VALUE"""),"Energy")</f>
        <v>Energy</v>
      </c>
      <c r="H173" s="45" t="str">
        <f>VLOOKUP(B173,'new total list'!E:E,1,false)</f>
        <v>dj@innovationindustries.com</v>
      </c>
      <c r="I173" s="22" t="str">
        <f>vlookup(A173,'new total list'!B:B,1,false)</f>
        <v>David Janssen</v>
      </c>
      <c r="K173" s="14" t="str">
        <f t="shared" si="1"/>
        <v/>
      </c>
    </row>
    <row r="174">
      <c r="A174" s="22" t="str">
        <f>IFERROR(__xludf.DUMMYFUNCTION("""COMPUTED_VALUE"""),"Ameya Rege")</f>
        <v>Ameya Rege</v>
      </c>
      <c r="B174" s="22" t="str">
        <f>IFERROR(__xludf.DUMMYFUNCTION("""COMPUTED_VALUE"""),"ameya.rege@utwente.nl")</f>
        <v>ameya.rege@utwente.nl</v>
      </c>
      <c r="C174" s="22" t="str">
        <f>IFERROR(__xludf.DUMMYFUNCTION("""COMPUTED_VALUE"""),"University of Twente")</f>
        <v>University of Twente</v>
      </c>
      <c r="D174" s="22" t="str">
        <f>IFERROR(__xludf.DUMMYFUNCTION("""COMPUTED_VALUE"""),"Assistant Professor")</f>
        <v>Assistant Professor</v>
      </c>
      <c r="E174" s="22" t="str">
        <f>IFERROR(__xludf.DUMMYFUNCTION("""COMPUTED_VALUE"""),"Network")</f>
        <v>Network</v>
      </c>
      <c r="F174" s="22" t="str">
        <f>IFERROR(__xludf.DUMMYFUNCTION("""COMPUTED_VALUE"""),"meet investors")</f>
        <v>meet investors</v>
      </c>
      <c r="H174" s="22" t="str">
        <f>VLOOKUP(B174,'new total list'!E:E,1,false)</f>
        <v>ameya.rege@utwente.nl</v>
      </c>
      <c r="I174" s="22" t="str">
        <f>vlookup(A174,'new total list'!B:B,1,false)</f>
        <v>#N/A</v>
      </c>
      <c r="K174" s="14" t="str">
        <f t="shared" si="1"/>
        <v/>
      </c>
    </row>
    <row r="175">
      <c r="A175" s="22" t="str">
        <f>IFERROR(__xludf.DUMMYFUNCTION("""COMPUTED_VALUE"""),"Luc Treebusch")</f>
        <v>Luc Treebusch</v>
      </c>
      <c r="B175" s="22" t="str">
        <f>IFERROR(__xludf.DUMMYFUNCTION("""COMPUTED_VALUE"""),"luc.treebusch@buccaneerdelft.com")</f>
        <v>luc.treebusch@buccaneerdelft.com</v>
      </c>
      <c r="C175" s="22" t="str">
        <f>IFERROR(__xludf.DUMMYFUNCTION("""COMPUTED_VALUE"""),"Buccaneer Delft")</f>
        <v>Buccaneer Delft</v>
      </c>
      <c r="D175" s="22" t="str">
        <f>IFERROR(__xludf.DUMMYFUNCTION("""COMPUTED_VALUE"""),"Communication &amp; Community Manager")</f>
        <v>Communication &amp; Community Manager</v>
      </c>
      <c r="E175" s="22" t="str">
        <f>IFERROR(__xludf.DUMMYFUNCTION("""COMPUTED_VALUE"""),"Meeting the ecosystem")</f>
        <v>Meeting the ecosystem</v>
      </c>
      <c r="F175" s="22" t="str">
        <f>IFERROR(__xludf.DUMMYFUNCTION("""COMPUTED_VALUE"""),"meeting new founders")</f>
        <v>meeting new founders</v>
      </c>
      <c r="H175" s="22" t="str">
        <f>VLOOKUP(B175,'new total list'!E:E,1,false)</f>
        <v>luc.treebusch@buccaneerdelft.com</v>
      </c>
      <c r="I175" s="22" t="str">
        <f>vlookup(A175,'new total list'!B:B,1,false)</f>
        <v>Luc Treebusch</v>
      </c>
      <c r="K175" s="14" t="str">
        <f t="shared" si="1"/>
        <v/>
      </c>
    </row>
    <row r="176">
      <c r="A176" s="22" t="str">
        <f>IFERROR(__xludf.DUMMYFUNCTION("""COMPUTED_VALUE"""),"Yves Prevoo")</f>
        <v>Yves Prevoo</v>
      </c>
      <c r="B176" s="22" t="str">
        <f>IFERROR(__xludf.DUMMYFUNCTION("""COMPUTED_VALUE"""),"y.prevoo@gmail.com")</f>
        <v>y.prevoo@gmail.com</v>
      </c>
      <c r="C176" s="22" t="str">
        <f>IFERROR(__xludf.DUMMYFUNCTION("""COMPUTED_VALUE"""),"Odai Health")</f>
        <v>Odai Health</v>
      </c>
      <c r="D176" s="22" t="str">
        <f>IFERROR(__xludf.DUMMYFUNCTION("""COMPUTED_VALUE"""),"Founder")</f>
        <v>Founder</v>
      </c>
      <c r="E176" s="22" t="str">
        <f>IFERROR(__xludf.DUMMYFUNCTION("""COMPUTED_VALUE"""),"Meet the startups")</f>
        <v>Meet the startups</v>
      </c>
      <c r="F176" s="22" t="str">
        <f>IFERROR(__xludf.DUMMYFUNCTION("""COMPUTED_VALUE"""),"MedTech")</f>
        <v>MedTech</v>
      </c>
      <c r="H176" s="22" t="str">
        <f>VLOOKUP(B176,'new total list'!E:E,1,false)</f>
        <v>#N/A</v>
      </c>
      <c r="I176" s="22" t="str">
        <f>vlookup(A176,'new total list'!B:B,1,false)</f>
        <v>Yves Prevoo</v>
      </c>
      <c r="K176" s="14" t="str">
        <f t="shared" si="1"/>
        <v/>
      </c>
    </row>
    <row r="177">
      <c r="A177" s="22" t="str">
        <f>IFERROR(__xludf.DUMMYFUNCTION("""COMPUTED_VALUE"""),"Robert-Jan Vreeburg")</f>
        <v>Robert-Jan Vreeburg</v>
      </c>
      <c r="B177" s="22" t="str">
        <f>IFERROR(__xludf.DUMMYFUNCTION("""COMPUTED_VALUE"""),"rjvreeburg@katalistcompany.nl")</f>
        <v>rjvreeburg@katalistcompany.nl</v>
      </c>
      <c r="C177" s="22" t="str">
        <f>IFERROR(__xludf.DUMMYFUNCTION("""COMPUTED_VALUE"""),"Katalist Company BV")</f>
        <v>Katalist Company BV</v>
      </c>
      <c r="D177" s="22" t="str">
        <f>IFERROR(__xludf.DUMMYFUNCTION("""COMPUTED_VALUE"""),"DGA")</f>
        <v>DGA</v>
      </c>
      <c r="E177" s="22" t="str">
        <f>IFERROR(__xludf.DUMMYFUNCTION("""COMPUTED_VALUE"""),"Mentorship")</f>
        <v>Mentorship</v>
      </c>
      <c r="F177" s="22" t="str">
        <f>IFERROR(__xludf.DUMMYFUNCTION("""COMPUTED_VALUE"""),"Energy")</f>
        <v>Energy</v>
      </c>
      <c r="H177" s="22" t="str">
        <f>VLOOKUP(B177,'new total list'!E:E,1,false)</f>
        <v>rjvreeburg@katalistcompany.nl</v>
      </c>
      <c r="I177" s="22" t="str">
        <f>vlookup(A177,'new total list'!B:B,1,false)</f>
        <v>#N/A</v>
      </c>
      <c r="K177" s="14" t="str">
        <f t="shared" si="1"/>
        <v/>
      </c>
    </row>
    <row r="178">
      <c r="A178" s="22" t="str">
        <f>IFERROR(__xludf.DUMMYFUNCTION("""COMPUTED_VALUE"""),"Hans Bloemen")</f>
        <v>Hans Bloemen</v>
      </c>
      <c r="B178" s="22" t="str">
        <f>IFERROR(__xludf.DUMMYFUNCTION("""COMPUTED_VALUE"""),"bloemen@ecfg.nl")</f>
        <v>bloemen@ecfg.nl</v>
      </c>
      <c r="C178" s="22" t="str">
        <f>IFERROR(__xludf.DUMMYFUNCTION("""COMPUTED_VALUE"""),"ECFG Venture Capital BV")</f>
        <v>ECFG Venture Capital BV</v>
      </c>
      <c r="D178" s="22" t="str">
        <f>IFERROR(__xludf.DUMMYFUNCTION("""COMPUTED_VALUE"""),"Managing Director")</f>
        <v>Managing Director</v>
      </c>
      <c r="E178" s="22" t="str">
        <f>IFERROR(__xludf.DUMMYFUNCTION("""COMPUTED_VALUE"""),"I am an investor and would like to meet enterpreneurs")</f>
        <v>I am an investor and would like to meet enterpreneurs</v>
      </c>
      <c r="F178" s="22" t="str">
        <f>IFERROR(__xludf.DUMMYFUNCTION("""COMPUTED_VALUE"""),"MedTech")</f>
        <v>MedTech</v>
      </c>
      <c r="H178" s="22" t="str">
        <f>VLOOKUP(B178,'new total list'!E:E,1,false)</f>
        <v>bloemen@ecfg.nl</v>
      </c>
      <c r="I178" s="22" t="str">
        <f>vlookup(A178,'new total list'!B:B,1,false)</f>
        <v>Hans Bloemen</v>
      </c>
      <c r="K178" s="14" t="str">
        <f t="shared" si="1"/>
        <v/>
      </c>
    </row>
    <row r="179">
      <c r="A179" s="22" t="str">
        <f>IFERROR(__xludf.DUMMYFUNCTION("""COMPUTED_VALUE"""),"Stan Jeanty")</f>
        <v>Stan Jeanty</v>
      </c>
      <c r="B179" s="22" t="str">
        <f>IFERROR(__xludf.DUMMYFUNCTION("""COMPUTED_VALUE"""),"stan@voltaventures.eu")</f>
        <v>stan@voltaventures.eu</v>
      </c>
      <c r="C179" s="22" t="str">
        <f>IFERROR(__xludf.DUMMYFUNCTION("""COMPUTED_VALUE"""),"Volta Ventures")</f>
        <v>Volta Ventures</v>
      </c>
      <c r="D179" s="22" t="str">
        <f>IFERROR(__xludf.DUMMYFUNCTION("""COMPUTED_VALUE"""),"Principal")</f>
        <v>Principal</v>
      </c>
      <c r="E179" s="22" t="str">
        <f>IFERROR(__xludf.DUMMYFUNCTION("""COMPUTED_VALUE"""),"Our next portfolio company")</f>
        <v>Our next portfolio company</v>
      </c>
      <c r="F179" s="22" t="str">
        <f>IFERROR(__xludf.DUMMYFUNCTION("""COMPUTED_VALUE"""),"Cyber")</f>
        <v>Cyber</v>
      </c>
      <c r="H179" s="22" t="str">
        <f>VLOOKUP(B179,'new total list'!E:E,1,false)</f>
        <v>stan@voltaventures.eu</v>
      </c>
      <c r="I179" s="22" t="str">
        <f>vlookup(A179,'new total list'!B:B,1,false)</f>
        <v>Stan Jeanty</v>
      </c>
      <c r="K179" s="14" t="str">
        <f t="shared" si="1"/>
        <v/>
      </c>
    </row>
    <row r="180">
      <c r="A180" s="22" t="str">
        <f>IFERROR(__xludf.DUMMYFUNCTION("""COMPUTED_VALUE"""),"Mercedes Tuin")</f>
        <v>Mercedes Tuin</v>
      </c>
      <c r="B180" s="22" t="str">
        <f>IFERROR(__xludf.DUMMYFUNCTION("""COMPUTED_VALUE"""),"mercedes.tuin@heranpartners.com")</f>
        <v>mercedes.tuin@heranpartners.com</v>
      </c>
      <c r="C180" s="22" t="str">
        <f>IFERROR(__xludf.DUMMYFUNCTION("""COMPUTED_VALUE"""),"HERAN Partners")</f>
        <v>HERAN Partners</v>
      </c>
      <c r="D180" s="22" t="str">
        <f>IFERROR(__xludf.DUMMYFUNCTION("""COMPUTED_VALUE"""),"Partner")</f>
        <v>Partner</v>
      </c>
      <c r="E180" s="22" t="str">
        <f>IFERROR(__xludf.DUMMYFUNCTION("""COMPUTED_VALUE"""),"Networking and Investment opportunities")</f>
        <v>Networking and Investment opportunities</v>
      </c>
      <c r="F180" s="22" t="str">
        <f>IFERROR(__xludf.DUMMYFUNCTION("""COMPUTED_VALUE"""),"MedTech")</f>
        <v>MedTech</v>
      </c>
      <c r="H180" s="22" t="str">
        <f>VLOOKUP(B180,'new total list'!E:E,1,false)</f>
        <v>mercedes.tuin@heranpartners.com</v>
      </c>
      <c r="I180" s="22" t="str">
        <f>vlookup(A180,'new total list'!B:B,1,false)</f>
        <v>Mercedes Tuin</v>
      </c>
      <c r="K180" s="14" t="str">
        <f t="shared" si="1"/>
        <v/>
      </c>
      <c r="L180" s="7" t="s">
        <v>1169</v>
      </c>
    </row>
    <row r="181">
      <c r="A181" s="22" t="str">
        <f>IFERROR(__xludf.DUMMYFUNCTION("""COMPUTED_VALUE"""),"Olivier Baas")</f>
        <v>Olivier Baas</v>
      </c>
      <c r="B181" s="22" t="str">
        <f>IFERROR(__xludf.DUMMYFUNCTION("""COMPUTED_VALUE"""),"obaas@villari-technology.com")</f>
        <v>obaas@villari-technology.com</v>
      </c>
      <c r="C181" s="22" t="str">
        <f>IFERROR(__xludf.DUMMYFUNCTION("""COMPUTED_VALUE"""),"Villari")</f>
        <v>Villari</v>
      </c>
      <c r="D181" s="22" t="str">
        <f>IFERROR(__xludf.DUMMYFUNCTION("""COMPUTED_VALUE"""),"CEO &amp; Founder")</f>
        <v>CEO &amp; Founder</v>
      </c>
      <c r="E181" s="22" t="str">
        <f>IFERROR(__xludf.DUMMYFUNCTION("""COMPUTED_VALUE"""),"Speak to new startups")</f>
        <v>Speak to new startups</v>
      </c>
      <c r="F181" s="22" t="str">
        <f>IFERROR(__xludf.DUMMYFUNCTION("""COMPUTED_VALUE"""),"Maritime")</f>
        <v>Maritime</v>
      </c>
      <c r="H181" s="22" t="str">
        <f>VLOOKUP(B181,'new total list'!E:E,1,false)</f>
        <v>#N/A</v>
      </c>
      <c r="I181" s="22" t="str">
        <f>vlookup(A181,'new total list'!B:B,1,false)</f>
        <v>Olivier Baas</v>
      </c>
      <c r="K181" s="14" t="str">
        <f t="shared" si="1"/>
        <v/>
      </c>
    </row>
    <row r="182">
      <c r="A182" s="22" t="str">
        <f>IFERROR(__xludf.DUMMYFUNCTION("""COMPUTED_VALUE"""),"Bart")</f>
        <v>Bart</v>
      </c>
      <c r="B182" s="22" t="str">
        <f>IFERROR(__xludf.DUMMYFUNCTION("""COMPUTED_VALUE"""),"bw.sander@mindef.nl")</f>
        <v>bw.sander@mindef.nl</v>
      </c>
      <c r="C182" s="22" t="str">
        <f>IFERROR(__xludf.DUMMYFUNCTION("""COMPUTED_VALUE"""),"MoD")</f>
        <v>MoD</v>
      </c>
      <c r="D182" s="22" t="str">
        <f>IFERROR(__xludf.DUMMYFUNCTION("""COMPUTED_VALUE"""),"Innovation Manager")</f>
        <v>Innovation Manager</v>
      </c>
      <c r="E182" s="22" t="str">
        <f>IFERROR(__xludf.DUMMYFUNCTION("""COMPUTED_VALUE"""),"New companies that support the MoD")</f>
        <v>New companies that support the MoD</v>
      </c>
      <c r="F182" s="22" t="str">
        <f>IFERROR(__xludf.DUMMYFUNCTION("""COMPUTED_VALUE"""),"Dual Use")</f>
        <v>Dual Use</v>
      </c>
      <c r="H182" s="22" t="str">
        <f>VLOOKUP(B182,'new total list'!E:E,1,false)</f>
        <v>BW.Sander@mindef.nl</v>
      </c>
      <c r="I182" s="22" t="str">
        <f>vlookup(A182,'new total list'!B:B,1,false)</f>
        <v>#N/A</v>
      </c>
      <c r="K182" s="14" t="str">
        <f t="shared" si="1"/>
        <v/>
      </c>
    </row>
    <row r="183">
      <c r="A183" s="22" t="str">
        <f>IFERROR(__xludf.DUMMYFUNCTION("""COMPUTED_VALUE"""),"Prakul Pandit")</f>
        <v>Prakul Pandit</v>
      </c>
      <c r="B183" s="22" t="str">
        <f>IFERROR(__xludf.DUMMYFUNCTION("""COMPUTED_VALUE"""),"prakul.pandit@dlr.de")</f>
        <v>prakul.pandit@dlr.de</v>
      </c>
      <c r="C183" s="22" t="str">
        <f>IFERROR(__xludf.DUMMYFUNCTION("""COMPUTED_VALUE"""),"Elarix Labs")</f>
        <v>Elarix Labs</v>
      </c>
      <c r="D183" s="22" t="str">
        <f>IFERROR(__xludf.DUMMYFUNCTION("""COMPUTED_VALUE"""),"Co-founder")</f>
        <v>Co-founder</v>
      </c>
      <c r="E183" s="22" t="str">
        <f>IFERROR(__xludf.DUMMYFUNCTION("""COMPUTED_VALUE"""),"Networking with investors and potential clients")</f>
        <v>Networking with investors and potential clients</v>
      </c>
      <c r="F183" s="22" t="str">
        <f>IFERROR(__xludf.DUMMYFUNCTION("""COMPUTED_VALUE"""),"Energy")</f>
        <v>Energy</v>
      </c>
      <c r="H183" s="22" t="str">
        <f>VLOOKUP(B183,'new total list'!E:E,1,false)</f>
        <v>prakul.pandit@dlr.de</v>
      </c>
      <c r="I183" s="22" t="str">
        <f>vlookup(A183,'new total list'!B:B,1,false)</f>
        <v>Prakul Pandit</v>
      </c>
      <c r="K183" s="14" t="str">
        <f t="shared" si="1"/>
        <v/>
      </c>
    </row>
    <row r="184">
      <c r="A184" s="22" t="str">
        <f>IFERROR(__xludf.DUMMYFUNCTION("""COMPUTED_VALUE"""),"Elisabeth Minnemann")</f>
        <v>Elisabeth Minnemann</v>
      </c>
      <c r="B184" s="22" t="str">
        <f>IFERROR(__xludf.DUMMYFUNCTION("""COMPUTED_VALUE"""),"e.minnnemann@hhs.nl")</f>
        <v>e.minnnemann@hhs.nl</v>
      </c>
      <c r="C184" s="22" t="str">
        <f>IFERROR(__xludf.DUMMYFUNCTION("""COMPUTED_VALUE"""),"De Haagse Hogeschool")</f>
        <v>De Haagse Hogeschool</v>
      </c>
      <c r="D184" s="22" t="str">
        <f>IFERROR(__xludf.DUMMYFUNCTION("""COMPUTED_VALUE"""),"Chair of the Executive Board")</f>
        <v>Chair of the Executive Board</v>
      </c>
      <c r="E184" s="22" t="str">
        <f>IFERROR(__xludf.DUMMYFUNCTION("""COMPUTED_VALUE"""),"Personally invited")</f>
        <v>Personally invited</v>
      </c>
      <c r="F184" s="22" t="str">
        <f>IFERROR(__xludf.DUMMYFUNCTION("""COMPUTED_VALUE"""),"Cyber")</f>
        <v>Cyber</v>
      </c>
      <c r="H184" s="22" t="str">
        <f>VLOOKUP(B184,'new total list'!E:E,1,false)</f>
        <v>#N/A</v>
      </c>
      <c r="I184" s="22" t="str">
        <f>vlookup(A184,'new total list'!B:B,1,false)</f>
        <v>Elisabeth Minnemann</v>
      </c>
      <c r="K184" s="14" t="str">
        <f t="shared" si="1"/>
        <v/>
      </c>
    </row>
    <row r="185">
      <c r="A185" s="22" t="str">
        <f>IFERROR(__xludf.DUMMYFUNCTION("""COMPUTED_VALUE"""),"Silvia Ten Houten")</f>
        <v>Silvia Ten Houten</v>
      </c>
      <c r="B185" s="22" t="str">
        <f>IFERROR(__xludf.DUMMYFUNCTION("""COMPUTED_VALUE"""),"stenhouten@hotmail.com")</f>
        <v>stenhouten@hotmail.com</v>
      </c>
      <c r="C185" s="22" t="str">
        <f>IFERROR(__xludf.DUMMYFUNCTION("""COMPUTED_VALUE"""),"GoodImpct")</f>
        <v>GoodImpct</v>
      </c>
      <c r="D185" s="22" t="str">
        <f>IFERROR(__xludf.DUMMYFUNCTION("""COMPUTED_VALUE"""),"Owner")</f>
        <v>Owner</v>
      </c>
      <c r="E185" s="22" t="str">
        <f>IFERROR(__xludf.DUMMYFUNCTION("""COMPUTED_VALUE"""),"Networking and offering support to founders")</f>
        <v>Networking and offering support to founders</v>
      </c>
      <c r="F185" s="22" t="str">
        <f>IFERROR(__xludf.DUMMYFUNCTION("""COMPUTED_VALUE"""),"Maritime")</f>
        <v>Maritime</v>
      </c>
      <c r="H185" s="22" t="str">
        <f>VLOOKUP(B185,'new total list'!E:E,1,false)</f>
        <v>stenhouten@hotmail.com</v>
      </c>
      <c r="I185" s="22" t="str">
        <f>vlookup(A185,'new total list'!B:B,1,false)</f>
        <v>Silvia ten Houten</v>
      </c>
      <c r="K185" s="14" t="str">
        <f t="shared" si="1"/>
        <v/>
      </c>
    </row>
    <row r="186">
      <c r="A186" s="22" t="str">
        <f>IFERROR(__xludf.DUMMYFUNCTION("""COMPUTED_VALUE"""),"Enrique Vervoort")</f>
        <v>Enrique Vervoort</v>
      </c>
      <c r="B186" s="22" t="str">
        <f>IFERROR(__xludf.DUMMYFUNCTION("""COMPUTED_VALUE"""),"enrique.vervoort@delfinvest.nl")</f>
        <v>enrique.vervoort@delfinvest.nl</v>
      </c>
      <c r="C186" s="22" t="str">
        <f>IFERROR(__xludf.DUMMYFUNCTION("""COMPUTED_VALUE"""),"Delfinvest")</f>
        <v>Delfinvest</v>
      </c>
      <c r="D186" s="22" t="str">
        <f>IFERROR(__xludf.DUMMYFUNCTION("""COMPUTED_VALUE"""),"Investment Manager")</f>
        <v>Investment Manager</v>
      </c>
      <c r="E186" s="22" t="str">
        <f>IFERROR(__xludf.DUMMYFUNCTION("""COMPUTED_VALUE"""),"Discover the ecosystem")</f>
        <v>Discover the ecosystem</v>
      </c>
      <c r="F186" s="22" t="str">
        <f>IFERROR(__xludf.DUMMYFUNCTION("""COMPUTED_VALUE"""),"​Future of Compute")</f>
        <v>​Future of Compute</v>
      </c>
      <c r="H186" s="45" t="str">
        <f>VLOOKUP(B186,'new total list'!E:E,1,false)</f>
        <v>enrique.vervoort@delfinvest.nl</v>
      </c>
      <c r="I186" s="22" t="str">
        <f>vlookup(A186,'new total list'!B:B,1,false)</f>
        <v>Enrique Vervoort</v>
      </c>
      <c r="K186" s="14" t="str">
        <f t="shared" si="1"/>
        <v/>
      </c>
      <c r="L186" s="7" t="s">
        <v>1194</v>
      </c>
    </row>
    <row r="187">
      <c r="A187" s="22" t="str">
        <f>IFERROR(__xludf.DUMMYFUNCTION("""COMPUTED_VALUE"""),"Berend van den Boomen")</f>
        <v>Berend van den Boomen</v>
      </c>
      <c r="B187" s="22" t="str">
        <f>IFERROR(__xludf.DUMMYFUNCTION("""COMPUTED_VALUE"""),"berend.vandenboomen@delfinvest.nl")</f>
        <v>berend.vandenboomen@delfinvest.nl</v>
      </c>
      <c r="C187" s="22" t="str">
        <f>IFERROR(__xludf.DUMMYFUNCTION("""COMPUTED_VALUE"""),"Delfinvest")</f>
        <v>Delfinvest</v>
      </c>
      <c r="D187" s="22" t="str">
        <f>IFERROR(__xludf.DUMMYFUNCTION("""COMPUTED_VALUE"""),"Investment Manager")</f>
        <v>Investment Manager</v>
      </c>
      <c r="E187" s="22" t="str">
        <f>IFERROR(__xludf.DUMMYFUNCTION("""COMPUTED_VALUE"""),"Find interesting companies to (financially) support")</f>
        <v>Find interesting companies to (financially) support</v>
      </c>
      <c r="F187" s="22" t="str">
        <f>IFERROR(__xludf.DUMMYFUNCTION("""COMPUTED_VALUE"""),"Maritime")</f>
        <v>Maritime</v>
      </c>
      <c r="H187" s="45" t="str">
        <f>VLOOKUP(B187,'new total list'!E:E,1,false)</f>
        <v>berend.vandenboomen@delfinvest.nl</v>
      </c>
      <c r="I187" s="22" t="str">
        <f>vlookup(A187,'new total list'!B:B,1,false)</f>
        <v>Berend van den Boomen</v>
      </c>
      <c r="K187" s="14" t="str">
        <f t="shared" si="1"/>
        <v/>
      </c>
    </row>
    <row r="188">
      <c r="A188" s="22" t="str">
        <f>IFERROR(__xludf.DUMMYFUNCTION("""COMPUTED_VALUE"""),"Luutzen Wymenga")</f>
        <v>Luutzen Wymenga</v>
      </c>
      <c r="B188" s="22" t="str">
        <f>IFERROR(__xludf.DUMMYFUNCTION("""COMPUTED_VALUE"""),"l.f.a.wymenga@tudelft.nl")</f>
        <v>l.f.a.wymenga@tudelft.nl</v>
      </c>
      <c r="C188" s="22" t="str">
        <f>IFERROR(__xludf.DUMMYFUNCTION("""COMPUTED_VALUE"""),"Plasma Prince Clean Technologies")</f>
        <v>Plasma Prince Clean Technologies</v>
      </c>
      <c r="D188" s="22" t="str">
        <f>IFERROR(__xludf.DUMMYFUNCTION("""COMPUTED_VALUE"""),"CEO")</f>
        <v>CEO</v>
      </c>
      <c r="E188" s="22" t="str">
        <f>IFERROR(__xludf.DUMMYFUNCTION("""COMPUTED_VALUE"""),"Interesting contacts")</f>
        <v>Interesting contacts</v>
      </c>
      <c r="F188" s="22" t="str">
        <f>IFERROR(__xludf.DUMMYFUNCTION("""COMPUTED_VALUE"""),"Energy")</f>
        <v>Energy</v>
      </c>
      <c r="H188" s="22" t="str">
        <f>VLOOKUP(B188,'new total list'!E:E,1,false)</f>
        <v>#N/A</v>
      </c>
      <c r="I188" s="22" t="str">
        <f>vlookup(A188,'new total list'!B:B,1,false)</f>
        <v>#N/A</v>
      </c>
      <c r="K188" s="14" t="str">
        <f t="shared" si="1"/>
        <v>Marked</v>
      </c>
      <c r="L188" s="7" t="s">
        <v>1169</v>
      </c>
    </row>
    <row r="189">
      <c r="A189" s="22" t="str">
        <f>IFERROR(__xludf.DUMMYFUNCTION("""COMPUTED_VALUE"""),"Jermaine Saaltink")</f>
        <v>Jermaine Saaltink</v>
      </c>
      <c r="B189" s="22" t="str">
        <f>IFERROR(__xludf.DUMMYFUNCTION("""COMPUTED_VALUE"""),"j.saaltink@shell.com")</f>
        <v>j.saaltink@shell.com</v>
      </c>
      <c r="C189" s="22" t="str">
        <f>IFERROR(__xludf.DUMMYFUNCTION("""COMPUTED_VALUE"""),"Shell Ventures")</f>
        <v>Shell Ventures</v>
      </c>
      <c r="D189" s="22" t="str">
        <f>IFERROR(__xludf.DUMMYFUNCTION("""COMPUTED_VALUE"""),"Senior Investment Director")</f>
        <v>Senior Investment Director</v>
      </c>
      <c r="E189" s="22" t="str">
        <f>IFERROR(__xludf.DUMMYFUNCTION("""COMPUTED_VALUE"""),"Meet great start-ups")</f>
        <v>Meet great start-ups</v>
      </c>
      <c r="F189" s="22" t="str">
        <f>IFERROR(__xludf.DUMMYFUNCTION("""COMPUTED_VALUE"""),"connect with the wider YES!Delft ecosystem.")</f>
        <v>connect with the wider YES!Delft ecosystem.</v>
      </c>
      <c r="H189" s="22" t="str">
        <f>VLOOKUP(B189,'new total list'!E:E,1,false)</f>
        <v>J.Saaltink@shell.com</v>
      </c>
      <c r="I189" s="22" t="str">
        <f>vlookup(A189,'new total list'!B:B,1,false)</f>
        <v>Jermaine Saaltink</v>
      </c>
      <c r="K189" s="14" t="str">
        <f t="shared" si="1"/>
        <v/>
      </c>
      <c r="L189" s="7" t="s">
        <v>1210</v>
      </c>
    </row>
    <row r="190">
      <c r="A190" s="22" t="str">
        <f>IFERROR(__xludf.DUMMYFUNCTION("""COMPUTED_VALUE"""),"Bart van Campenhout")</f>
        <v>Bart van Campenhout</v>
      </c>
      <c r="B190" s="22" t="str">
        <f>IFERROR(__xludf.DUMMYFUNCTION("""COMPUTED_VALUE"""),"bvc@aldertree.eu")</f>
        <v>bvc@aldertree.eu</v>
      </c>
      <c r="C190" s="22" t="str">
        <f>IFERROR(__xludf.DUMMYFUNCTION("""COMPUTED_VALUE"""),"Alder Tree Investments")</f>
        <v>Alder Tree Investments</v>
      </c>
      <c r="D190" s="22" t="str">
        <f>IFERROR(__xludf.DUMMYFUNCTION("""COMPUTED_VALUE"""),"Investment Manager")</f>
        <v>Investment Manager</v>
      </c>
      <c r="E190" s="22" t="str">
        <f>IFERROR(__xludf.DUMMYFUNCTION("""COMPUTED_VALUE"""),"Meeting new startups")</f>
        <v>Meeting new startups</v>
      </c>
      <c r="F190" s="22" t="str">
        <f>IFERROR(__xludf.DUMMYFUNCTION("""COMPUTED_VALUE"""),"​Future of Compute")</f>
        <v>​Future of Compute</v>
      </c>
      <c r="H190" s="45" t="str">
        <f>VLOOKUP(B190,'new total list'!E:E,1,false)</f>
        <v>bvc@aldertree.eu</v>
      </c>
      <c r="I190" s="22" t="str">
        <f>vlookup(A190,'new total list'!B:B,1,false)</f>
        <v>Bart van Campenhout</v>
      </c>
      <c r="K190" s="14" t="str">
        <f t="shared" si="1"/>
        <v/>
      </c>
      <c r="L190" s="7" t="s">
        <v>1212</v>
      </c>
    </row>
    <row r="191">
      <c r="A191" s="22" t="str">
        <f>IFERROR(__xludf.DUMMYFUNCTION("""COMPUTED_VALUE"""),"Marcel Timmer")</f>
        <v>Marcel Timmer</v>
      </c>
      <c r="B191" s="22" t="str">
        <f>IFERROR(__xludf.DUMMYFUNCTION("""COMPUTED_VALUE"""),"marcel@capfit.nl")</f>
        <v>marcel@capfit.nl</v>
      </c>
      <c r="C191" s="22" t="str">
        <f>IFERROR(__xludf.DUMMYFUNCTION("""COMPUTED_VALUE"""),"Capfit")</f>
        <v>Capfit</v>
      </c>
      <c r="D191" s="22" t="str">
        <f>IFERROR(__xludf.DUMMYFUNCTION("""COMPUTED_VALUE"""),"Partner")</f>
        <v>Partner</v>
      </c>
      <c r="E191" s="22" t="str">
        <f>IFERROR(__xludf.DUMMYFUNCTION("""COMPUTED_VALUE"""),"Update YES! and building relationships")</f>
        <v>Update YES! and building relationships</v>
      </c>
      <c r="F191" s="22" t="str">
        <f>IFERROR(__xludf.DUMMYFUNCTION("""COMPUTED_VALUE"""),"Energy")</f>
        <v>Energy</v>
      </c>
      <c r="H191" s="22" t="str">
        <f>VLOOKUP(B191,'new total list'!E:E,1,false)</f>
        <v>marcel@capfit.nl</v>
      </c>
      <c r="I191" s="22" t="str">
        <f>vlookup(A191,'new total list'!B:B,1,false)</f>
        <v>Marcel Timmer</v>
      </c>
      <c r="J191" s="7" t="s">
        <v>1217</v>
      </c>
      <c r="K191" s="14" t="str">
        <f t="shared" si="1"/>
        <v/>
      </c>
      <c r="L191" s="7" t="s">
        <v>1210</v>
      </c>
    </row>
    <row r="192">
      <c r="A192" s="22" t="str">
        <f>IFERROR(__xludf.DUMMYFUNCTION("""COMPUTED_VALUE"""),"Dap Hartmann")</f>
        <v>Dap Hartmann</v>
      </c>
      <c r="B192" s="22" t="str">
        <f>IFERROR(__xludf.DUMMYFUNCTION("""COMPUTED_VALUE"""),"l.hartmann@tudelft.nl")</f>
        <v>l.hartmann@tudelft.nl</v>
      </c>
      <c r="C192" s="22" t="str">
        <f>IFERROR(__xludf.DUMMYFUNCTION("""COMPUTED_VALUE"""),"TU Delft")</f>
        <v>TU Delft</v>
      </c>
      <c r="D192" s="22" t="str">
        <f>IFERROR(__xludf.DUMMYFUNCTION("""COMPUTED_VALUE"""),"Associate Professor")</f>
        <v>Associate Professor</v>
      </c>
      <c r="E192" s="22" t="str">
        <f>IFERROR(__xludf.DUMMYFUNCTION("""COMPUTED_VALUE"""),"Networking")</f>
        <v>Networking</v>
      </c>
      <c r="F192" s="22" t="str">
        <f>IFERROR(__xludf.DUMMYFUNCTION("""COMPUTED_VALUE"""),"Dual Use")</f>
        <v>Dual Use</v>
      </c>
      <c r="H192" s="22" t="str">
        <f>VLOOKUP(B192,'new total list'!E:E,1,false)</f>
        <v>L.Hartmann@tudelft.nl</v>
      </c>
      <c r="I192" s="22" t="str">
        <f>vlookup(A192,'new total list'!B:B,1,false)</f>
        <v>Dap Hartmann</v>
      </c>
      <c r="K192" s="14" t="str">
        <f t="shared" si="1"/>
        <v/>
      </c>
    </row>
    <row r="193">
      <c r="A193" s="22" t="str">
        <f>IFERROR(__xludf.DUMMYFUNCTION("""COMPUTED_VALUE"""),"Marko Teodorovic")</f>
        <v>Marko Teodorovic</v>
      </c>
      <c r="B193" s="22" t="str">
        <f>IFERROR(__xludf.DUMMYFUNCTION("""COMPUTED_VALUE"""),"marko@optinno.eu")</f>
        <v>marko@optinno.eu</v>
      </c>
      <c r="C193" s="22" t="str">
        <f>IFERROR(__xludf.DUMMYFUNCTION("""COMPUTED_VALUE"""),"Optinno Technologies")</f>
        <v>Optinno Technologies</v>
      </c>
      <c r="D193" s="22" t="str">
        <f>IFERROR(__xludf.DUMMYFUNCTION("""COMPUTED_VALUE"""),"Managing Director")</f>
        <v>Managing Director</v>
      </c>
      <c r="E193" s="22" t="str">
        <f>IFERROR(__xludf.DUMMYFUNCTION("""COMPUTED_VALUE"""),"networking")</f>
        <v>networking</v>
      </c>
      <c r="F193" s="22" t="str">
        <f>IFERROR(__xludf.DUMMYFUNCTION("""COMPUTED_VALUE"""),"MedTech")</f>
        <v>MedTech</v>
      </c>
      <c r="H193" s="22" t="str">
        <f>VLOOKUP(B193,'new total list'!E:E,1,false)</f>
        <v>marko@optinno.eu</v>
      </c>
      <c r="I193" s="22" t="str">
        <f>vlookup(A193,'new total list'!B:B,1,false)</f>
        <v>Marko Teodorovic</v>
      </c>
      <c r="K193" s="14" t="str">
        <f t="shared" si="1"/>
        <v/>
      </c>
      <c r="L193" s="7" t="s">
        <v>1210</v>
      </c>
    </row>
    <row r="194">
      <c r="A194" s="22" t="str">
        <f>IFERROR(__xludf.DUMMYFUNCTION("""COMPUTED_VALUE"""),"Arlette")</f>
        <v>Arlette</v>
      </c>
      <c r="B194" s="22" t="str">
        <f>IFERROR(__xludf.DUMMYFUNCTION("""COMPUTED_VALUE"""),"a.j.beekman1@student.tue.nl")</f>
        <v>a.j.beekman1@student.tue.nl</v>
      </c>
      <c r="C194" s="22" t="str">
        <f>IFERROR(__xludf.DUMMYFUNCTION("""COMPUTED_VALUE"""),"TU Eindhoven")</f>
        <v>TU Eindhoven</v>
      </c>
      <c r="D194" s="22" t="str">
        <f>IFERROR(__xludf.DUMMYFUNCTION("""COMPUTED_VALUE"""),"Student")</f>
        <v>Student</v>
      </c>
      <c r="E194" s="22" t="str">
        <f>IFERROR(__xludf.DUMMYFUNCTION("""COMPUTED_VALUE"""),"Get to know the startup ecosystem in Delft")</f>
        <v>Get to know the startup ecosystem in Delft</v>
      </c>
      <c r="F194" s="22" t="str">
        <f>IFERROR(__xludf.DUMMYFUNCTION("""COMPUTED_VALUE"""),"​Future of Compute")</f>
        <v>​Future of Compute</v>
      </c>
      <c r="H194" s="22" t="str">
        <f>VLOOKUP(B194,'new total list'!E:E,1,false)</f>
        <v>#N/A</v>
      </c>
      <c r="I194" s="22" t="str">
        <f>vlookup(A194,'new total list'!B:B,1,false)</f>
        <v>#N/A</v>
      </c>
      <c r="K194" s="14" t="str">
        <f t="shared" si="1"/>
        <v>Marked</v>
      </c>
    </row>
    <row r="195">
      <c r="A195" s="22" t="str">
        <f>IFERROR(__xludf.DUMMYFUNCTION("""COMPUTED_VALUE"""),"Wouter Robers")</f>
        <v>Wouter Robers</v>
      </c>
      <c r="B195" s="22" t="str">
        <f>IFERROR(__xludf.DUMMYFUNCTION("""COMPUTED_VALUE"""),"wouter@forgeon.nl")</f>
        <v>wouter@forgeon.nl</v>
      </c>
      <c r="C195" s="22" t="str">
        <f>IFERROR(__xludf.DUMMYFUNCTION("""COMPUTED_VALUE"""),"YES!Delft / Forgeon")</f>
        <v>YES!Delft / Forgeon</v>
      </c>
      <c r="D195" s="22" t="str">
        <f>IFERROR(__xludf.DUMMYFUNCTION("""COMPUTED_VALUE"""),"President of Opportunities")</f>
        <v>President of Opportunities</v>
      </c>
      <c r="E195" s="22" t="str">
        <f>IFERROR(__xludf.DUMMYFUNCTION("""COMPUTED_VALUE"""),"I want to help")</f>
        <v>I want to help</v>
      </c>
      <c r="F195" s="22" t="str">
        <f>IFERROR(__xludf.DUMMYFUNCTION("""COMPUTED_VALUE"""),"Energy")</f>
        <v>Energy</v>
      </c>
      <c r="H195" s="22" t="str">
        <f>VLOOKUP(B195,'new total list'!E:E,1,false)</f>
        <v>#N/A</v>
      </c>
      <c r="I195" s="22" t="str">
        <f>vlookup(A195,'new total list'!B:B,1,false)</f>
        <v>Wouter Robers</v>
      </c>
      <c r="K195" s="14" t="str">
        <f t="shared" si="1"/>
        <v/>
      </c>
      <c r="L195" s="7" t="s">
        <v>1234</v>
      </c>
    </row>
    <row r="196">
      <c r="A196" s="22" t="str">
        <f>IFERROR(__xludf.DUMMYFUNCTION("""COMPUTED_VALUE"""),"Luutzen Wymenga")</f>
        <v>Luutzen Wymenga</v>
      </c>
      <c r="B196" s="22" t="str">
        <f>IFERROR(__xludf.DUMMYFUNCTION("""COMPUTED_VALUE"""),"l.f.a.wymenga@tudelft.nl")</f>
        <v>l.f.a.wymenga@tudelft.nl</v>
      </c>
      <c r="C196" s="22" t="str">
        <f>IFERROR(__xludf.DUMMYFUNCTION("""COMPUTED_VALUE"""),"Plasma Prince Clean Technologies")</f>
        <v>Plasma Prince Clean Technologies</v>
      </c>
      <c r="D196" s="22" t="str">
        <f>IFERROR(__xludf.DUMMYFUNCTION("""COMPUTED_VALUE"""),"CEO")</f>
        <v>CEO</v>
      </c>
      <c r="E196" s="22" t="str">
        <f>IFERROR(__xludf.DUMMYFUNCTION("""COMPUTED_VALUE"""),"Interesting contacts")</f>
        <v>Interesting contacts</v>
      </c>
      <c r="F196" s="22" t="str">
        <f>IFERROR(__xludf.DUMMYFUNCTION("""COMPUTED_VALUE"""),"Energy")</f>
        <v>Energy</v>
      </c>
      <c r="H196" s="22" t="str">
        <f>VLOOKUP(B196,'new total list'!E:E,1,false)</f>
        <v>#N/A</v>
      </c>
      <c r="I196" s="22" t="str">
        <f>vlookup(A196,'new total list'!B:B,1,false)</f>
        <v>#N/A</v>
      </c>
      <c r="K196" s="14" t="str">
        <f t="shared" si="1"/>
        <v>Marked</v>
      </c>
    </row>
    <row r="197">
      <c r="A197" s="22" t="str">
        <f>IFERROR(__xludf.DUMMYFUNCTION("""COMPUTED_VALUE"""),"Julian")</f>
        <v>Julian</v>
      </c>
      <c r="B197" s="22" t="str">
        <f>IFERROR(__xludf.DUMMYFUNCTION("""COMPUTED_VALUE"""),"julian@elevantventures.com")</f>
        <v>julian@elevantventures.com</v>
      </c>
      <c r="C197" s="22" t="str">
        <f>IFERROR(__xludf.DUMMYFUNCTION("""COMPUTED_VALUE"""),"Elevant ventures")</f>
        <v>Elevant ventures</v>
      </c>
      <c r="D197" s="22" t="str">
        <f>IFERROR(__xludf.DUMMYFUNCTION("""COMPUTED_VALUE"""),"Investment Principle")</f>
        <v>Investment Principle</v>
      </c>
      <c r="E197" s="22" t="str">
        <f>IFERROR(__xludf.DUMMYFUNCTION("""COMPUTED_VALUE"""),"Meet startups; meet other investors")</f>
        <v>Meet startups; meet other investors</v>
      </c>
      <c r="F197" s="22" t="str">
        <f>IFERROR(__xludf.DUMMYFUNCTION("""COMPUTED_VALUE"""),"​Aerospace")</f>
        <v>​Aerospace</v>
      </c>
      <c r="H197" s="22" t="str">
        <f>VLOOKUP(B197,'new total list'!E:E,1,false)</f>
        <v>#N/A</v>
      </c>
      <c r="I197" s="22" t="str">
        <f>vlookup(A197,'new total list'!B:B,1,false)</f>
        <v>#N/A</v>
      </c>
      <c r="K197" s="14" t="str">
        <f t="shared" si="1"/>
        <v>Marked</v>
      </c>
      <c r="L197" s="7" t="s">
        <v>1247</v>
      </c>
    </row>
    <row r="198">
      <c r="A198" s="22" t="str">
        <f>IFERROR(__xludf.DUMMYFUNCTION("""COMPUTED_VALUE"""),"Maarten van der Kooij")</f>
        <v>Maarten van der Kooij</v>
      </c>
      <c r="B198" s="22" t="str">
        <f>IFERROR(__xludf.DUMMYFUNCTION("""COMPUTED_VALUE"""),"maartenvanderkooij@hotmail.com")</f>
        <v>maartenvanderkooij@hotmail.com</v>
      </c>
      <c r="C198" s="22" t="str">
        <f>IFERROR(__xludf.DUMMYFUNCTION("""COMPUTED_VALUE"""),"Former Y!D founder at VIBES")</f>
        <v>Former Y!D founder at VIBES</v>
      </c>
      <c r="D198" s="22" t="str">
        <f>IFERROR(__xludf.DUMMYFUNCTION("""COMPUTED_VALUE"""),"Cofounder/Advisor")</f>
        <v>Cofounder/Advisor</v>
      </c>
      <c r="E198" s="22" t="str">
        <f>IFERROR(__xludf.DUMMYFUNCTION("""COMPUTED_VALUE"""),"Networking")</f>
        <v>Networking</v>
      </c>
      <c r="F198" s="22" t="str">
        <f>IFERROR(__xludf.DUMMYFUNCTION("""COMPUTED_VALUE"""),"Dual Use")</f>
        <v>Dual Use</v>
      </c>
      <c r="H198" s="22" t="str">
        <f>VLOOKUP(B198,'new total list'!E:E,1,false)</f>
        <v>maartenvanderkooij@hotmail.com</v>
      </c>
      <c r="I198" s="22" t="str">
        <f>vlookup(A198,'new total list'!B:B,1,false)</f>
        <v>Maarten van der Kooij</v>
      </c>
      <c r="K198" s="14" t="str">
        <f t="shared" si="1"/>
        <v/>
      </c>
      <c r="L198" s="7" t="s">
        <v>1249</v>
      </c>
    </row>
    <row r="199">
      <c r="A199" s="22" t="str">
        <f>IFERROR(__xludf.DUMMYFUNCTION("""COMPUTED_VALUE"""),"David Knops")</f>
        <v>David Knops</v>
      </c>
      <c r="B199" s="22" t="str">
        <f>IFERROR(__xludf.DUMMYFUNCTION("""COMPUTED_VALUE"""),"dejknops@tudelft.nl")</f>
        <v>dejknops@tudelft.nl</v>
      </c>
      <c r="C199" s="22" t="str">
        <f>IFERROR(__xludf.DUMMYFUNCTION("""COMPUTED_VALUE"""),"TU Delft")</f>
        <v>TU Delft</v>
      </c>
      <c r="D199" s="22" t="str">
        <f>IFERROR(__xludf.DUMMYFUNCTION("""COMPUTED_VALUE"""),"Manager Marketing &amp; Communicatie")</f>
        <v>Manager Marketing &amp; Communicatie</v>
      </c>
      <c r="E199" s="22" t="str">
        <f>IFERROR(__xludf.DUMMYFUNCTION("""COMPUTED_VALUE"""),"Samenwerking TUD - YES!Delft")</f>
        <v>Samenwerking TUD - YES!Delft</v>
      </c>
      <c r="F199" s="22" t="str">
        <f>IFERROR(__xludf.DUMMYFUNCTION("""COMPUTED_VALUE"""),"Energy")</f>
        <v>Energy</v>
      </c>
      <c r="H199" s="22" t="str">
        <f>VLOOKUP(B199,'new total list'!E:E,1,false)</f>
        <v>#N/A</v>
      </c>
      <c r="I199" s="22" t="str">
        <f>vlookup(A199,'new total list'!B:B,1,false)</f>
        <v>David Knops</v>
      </c>
      <c r="K199" s="14" t="str">
        <f t="shared" si="1"/>
        <v/>
      </c>
      <c r="L199" s="7" t="s">
        <v>1254</v>
      </c>
    </row>
    <row r="200">
      <c r="A200" s="22" t="str">
        <f>IFERROR(__xludf.DUMMYFUNCTION("""COMPUTED_VALUE"""),"Maurits Roelofs")</f>
        <v>Maurits Roelofs</v>
      </c>
      <c r="B200" s="22" t="str">
        <f>IFERROR(__xludf.DUMMYFUNCTION("""COMPUTED_VALUE"""),"maurits@sts-ventures.de")</f>
        <v>maurits@sts-ventures.de</v>
      </c>
      <c r="C200" s="22" t="str">
        <f>IFERROR(__xludf.DUMMYFUNCTION("""COMPUTED_VALUE"""),"STS Ventures")</f>
        <v>STS Ventures</v>
      </c>
      <c r="D200" s="22" t="str">
        <f>IFERROR(__xludf.DUMMYFUNCTION("""COMPUTED_VALUE"""),"Investment Analyst")</f>
        <v>Investment Analyst</v>
      </c>
      <c r="E200" s="22" t="str">
        <f>IFERROR(__xludf.DUMMYFUNCTION("""COMPUTED_VALUE"""),"Get to know ambitious founding teams and the dutch startup ecosystem")</f>
        <v>Get to know ambitious founding teams and the dutch startup ecosystem</v>
      </c>
      <c r="F200" s="22" t="str">
        <f>IFERROR(__xludf.DUMMYFUNCTION("""COMPUTED_VALUE"""),"Energy")</f>
        <v>Energy</v>
      </c>
      <c r="H200" s="22" t="str">
        <f>VLOOKUP(B200,'new total list'!E:E,1,false)</f>
        <v>#N/A</v>
      </c>
      <c r="I200" s="22" t="str">
        <f>vlookup(A200,'new total list'!B:B,1,false)</f>
        <v>#N/A</v>
      </c>
      <c r="K200" s="14" t="str">
        <f t="shared" si="1"/>
        <v>Marked</v>
      </c>
      <c r="L200" s="7" t="s">
        <v>1247</v>
      </c>
    </row>
    <row r="201">
      <c r="A201" s="22" t="str">
        <f>IFERROR(__xludf.DUMMYFUNCTION("""COMPUTED_VALUE"""),"Paul de Backker")</f>
        <v>Paul de Backker</v>
      </c>
      <c r="B201" s="22" t="str">
        <f>IFERROR(__xludf.DUMMYFUNCTION("""COMPUTED_VALUE"""),"paul.de.backker@doelgerichtbeter.nl")</f>
        <v>paul.de.backker@doelgerichtbeter.nl</v>
      </c>
      <c r="C201" s="22" t="str">
        <f>IFERROR(__xludf.DUMMYFUNCTION("""COMPUTED_VALUE"""),"dBms")</f>
        <v>dBms</v>
      </c>
      <c r="D201" s="22" t="str">
        <f>IFERROR(__xludf.DUMMYFUNCTION("""COMPUTED_VALUE"""),"Owner")</f>
        <v>Owner</v>
      </c>
      <c r="E201" s="22" t="str">
        <f>IFERROR(__xludf.DUMMYFUNCTION("""COMPUTED_VALUE"""),"Inspiration")</f>
        <v>Inspiration</v>
      </c>
      <c r="F201" s="22" t="str">
        <f>IFERROR(__xludf.DUMMYFUNCTION("""COMPUTED_VALUE"""),"contacts")</f>
        <v>contacts</v>
      </c>
      <c r="H201" s="22" t="str">
        <f>VLOOKUP(B201,'new total list'!E:E,1,false)</f>
        <v>Paul.de.backker@doelgerichtbeter.nl</v>
      </c>
      <c r="I201" s="22" t="str">
        <f>vlookup(A201,'new total list'!B:B,1,false)</f>
        <v>Paul de Backker</v>
      </c>
      <c r="K201" s="14" t="str">
        <f t="shared" si="1"/>
        <v/>
      </c>
      <c r="L201" s="7" t="s">
        <v>1264</v>
      </c>
    </row>
    <row r="202">
      <c r="A202" s="22" t="str">
        <f>IFERROR(__xludf.DUMMYFUNCTION("""COMPUTED_VALUE"""),"Maryam Alimoradi Jazi")</f>
        <v>Maryam Alimoradi Jazi</v>
      </c>
      <c r="B202" s="22" t="str">
        <f>IFERROR(__xludf.DUMMYFUNCTION("""COMPUTED_VALUE"""),"maryam.alimoradijazi@innovationquarter.nl")</f>
        <v>maryam.alimoradijazi@innovationquarter.nl</v>
      </c>
      <c r="C202" s="22" t="str">
        <f>IFERROR(__xludf.DUMMYFUNCTION("""COMPUTED_VALUE"""),"InnovationQuarter")</f>
        <v>InnovationQuarter</v>
      </c>
      <c r="D202" s="22" t="str">
        <f>IFERROR(__xludf.DUMMYFUNCTION("""COMPUTED_VALUE"""),"Business Developer")</f>
        <v>Business Developer</v>
      </c>
      <c r="E202" s="22" t="str">
        <f>IFERROR(__xludf.DUMMYFUNCTION("""COMPUTED_VALUE"""),"To learn about emerging innovations in the energy and chemical sectors.")</f>
        <v>To learn about emerging innovations in the energy and chemical sectors.</v>
      </c>
      <c r="F202" s="22" t="str">
        <f>IFERROR(__xludf.DUMMYFUNCTION("""COMPUTED_VALUE"""),"Energy")</f>
        <v>Energy</v>
      </c>
      <c r="H202" s="22" t="str">
        <f>VLOOKUP(B202,'new total list'!E:E,1,false)</f>
        <v>#N/A</v>
      </c>
      <c r="I202" s="22" t="str">
        <f>vlookup(A202,'new total list'!B:B,1,false)</f>
        <v>#N/A</v>
      </c>
      <c r="K202" s="14" t="str">
        <f t="shared" si="1"/>
        <v>Marked</v>
      </c>
    </row>
    <row r="203">
      <c r="A203" s="22" t="str">
        <f>IFERROR(__xludf.DUMMYFUNCTION("""COMPUTED_VALUE"""),"Reza Khosravi")</f>
        <v>Reza Khosravi</v>
      </c>
      <c r="B203" s="22" t="str">
        <f>IFERROR(__xludf.DUMMYFUNCTION("""COMPUTED_VALUE"""),"reza.khosravivala@gmail.com")</f>
        <v>reza.khosravivala@gmail.com</v>
      </c>
      <c r="C203" s="22" t="str">
        <f>IFERROR(__xludf.DUMMYFUNCTION("""COMPUTED_VALUE"""),"Intuita.health")</f>
        <v>Intuita.health</v>
      </c>
      <c r="D203" s="22" t="str">
        <f>IFERROR(__xludf.DUMMYFUNCTION("""COMPUTED_VALUE"""),"Founder")</f>
        <v>Founder</v>
      </c>
      <c r="E203" s="22" t="str">
        <f>IFERROR(__xludf.DUMMYFUNCTION("""COMPUTED_VALUE"""),"Networking and learning")</f>
        <v>Networking and learning</v>
      </c>
      <c r="F203" s="22" t="str">
        <f>IFERROR(__xludf.DUMMYFUNCTION("""COMPUTED_VALUE"""),"MedTech")</f>
        <v>MedTech</v>
      </c>
      <c r="H203" s="22" t="str">
        <f>VLOOKUP(B203,'new total list'!E:E,1,false)</f>
        <v>#N/A</v>
      </c>
      <c r="I203" s="22" t="str">
        <f>vlookup(A203,'new total list'!B:B,1,false)</f>
        <v>#N/A</v>
      </c>
      <c r="K203" s="14" t="str">
        <f t="shared" si="1"/>
        <v>Marked</v>
      </c>
    </row>
    <row r="204">
      <c r="A204" s="22" t="str">
        <f>IFERROR(__xludf.DUMMYFUNCTION("""COMPUTED_VALUE"""),"Dauren Oberhuber")</f>
        <v>Dauren Oberhuber</v>
      </c>
      <c r="B204" s="22" t="str">
        <f>IFERROR(__xludf.DUMMYFUNCTION("""COMPUTED_VALUE"""),"daurenoberhuber@gmail.com")</f>
        <v>daurenoberhuber@gmail.com</v>
      </c>
      <c r="C204" s="22" t="str">
        <f>IFERROR(__xludf.DUMMYFUNCTION("""COMPUTED_VALUE"""),"YConnect")</f>
        <v>YConnect</v>
      </c>
      <c r="D204" s="22" t="str">
        <f>IFERROR(__xludf.DUMMYFUNCTION("""COMPUTED_VALUE"""),"Co-founder")</f>
        <v>Co-founder</v>
      </c>
      <c r="E204" s="22" t="str">
        <f>IFERROR(__xludf.DUMMYFUNCTION("""COMPUTED_VALUE"""),"I want to network with early-stage founders")</f>
        <v>I want to network with early-stage founders</v>
      </c>
      <c r="F204" s="22" t="str">
        <f>IFERROR(__xludf.DUMMYFUNCTION("""COMPUTED_VALUE"""),"explore collaboration opportunities")</f>
        <v>explore collaboration opportunities</v>
      </c>
      <c r="H204" s="22" t="str">
        <f>VLOOKUP(B204,'new total list'!E:E,1,false)</f>
        <v>#N/A</v>
      </c>
      <c r="I204" s="22" t="str">
        <f>vlookup(A204,'new total list'!B:B,1,false)</f>
        <v>#N/A</v>
      </c>
      <c r="K204" s="14" t="str">
        <f t="shared" si="1"/>
        <v>Marked</v>
      </c>
    </row>
    <row r="205">
      <c r="A205" s="22" t="str">
        <f>IFERROR(__xludf.DUMMYFUNCTION("""COMPUTED_VALUE"""),"Bernd Voorsluijs")</f>
        <v>Bernd Voorsluijs</v>
      </c>
      <c r="B205" s="22" t="str">
        <f>IFERROR(__xludf.DUMMYFUNCTION("""COMPUTED_VALUE"""),"bernd@goeie-grutten.nl")</f>
        <v>bernd@goeie-grutten.nl</v>
      </c>
      <c r="C205" s="22" t="str">
        <f>IFERROR(__xludf.DUMMYFUNCTION("""COMPUTED_VALUE"""),"Goeie Grutten")</f>
        <v>Goeie Grutten</v>
      </c>
      <c r="D205" s="22" t="str">
        <f>IFERROR(__xludf.DUMMYFUNCTION("""COMPUTED_VALUE"""),"Directeur")</f>
        <v>Directeur</v>
      </c>
      <c r="E205" s="22" t="str">
        <f>IFERROR(__xludf.DUMMYFUNCTION("""COMPUTED_VALUE"""),"impactvolle investeerbare startups")</f>
        <v>impactvolle investeerbare startups</v>
      </c>
      <c r="F205" s="22" t="str">
        <f>IFERROR(__xludf.DUMMYFUNCTION("""COMPUTED_VALUE"""),"Energy")</f>
        <v>Energy</v>
      </c>
      <c r="H205" s="22" t="str">
        <f>VLOOKUP(B205,'new total list'!E:E,1,false)</f>
        <v>#N/A</v>
      </c>
      <c r="I205" s="22" t="str">
        <f>vlookup(A205,'new total list'!B:B,1,false)</f>
        <v>#N/A</v>
      </c>
      <c r="K205" s="14" t="str">
        <f t="shared" si="1"/>
        <v>Marked</v>
      </c>
    </row>
    <row r="206">
      <c r="A206" s="22" t="str">
        <f>IFERROR(__xludf.DUMMYFUNCTION("""COMPUTED_VALUE"""),"Paul Althuis")</f>
        <v>Paul Althuis</v>
      </c>
      <c r="B206" s="22" t="str">
        <f>IFERROR(__xludf.DUMMYFUNCTION("""COMPUTED_VALUE"""),"h.p.s.althuis@tudelft.nl")</f>
        <v>h.p.s.althuis@tudelft.nl</v>
      </c>
      <c r="C206" s="22" t="str">
        <f>IFERROR(__xludf.DUMMYFUNCTION("""COMPUTED_VALUE"""),"Innovation District Delft")</f>
        <v>Innovation District Delft</v>
      </c>
      <c r="D206" s="22" t="str">
        <f>IFERROR(__xludf.DUMMYFUNCTION("""COMPUTED_VALUE"""),"Program Director")</f>
        <v>Program Director</v>
      </c>
      <c r="E206" s="22" t="str">
        <f>IFERROR(__xludf.DUMMYFUNCTION("""COMPUTED_VALUE"""),"Extending network")</f>
        <v>Extending network</v>
      </c>
      <c r="F206" s="22" t="str">
        <f>IFERROR(__xludf.DUMMYFUNCTION("""COMPUTED_VALUE"""),"Dual Use")</f>
        <v>Dual Use</v>
      </c>
      <c r="H206" s="22" t="str">
        <f>VLOOKUP(B206,'new total list'!E:E,1,false)</f>
        <v>h.p.s.althuis@tudelft.nl</v>
      </c>
      <c r="I206" s="22" t="str">
        <f>vlookup(A206,'new total list'!B:B,1,false)</f>
        <v>Paul Althuis</v>
      </c>
      <c r="K206" s="14" t="str">
        <f t="shared" si="1"/>
        <v/>
      </c>
      <c r="L206" s="7" t="s">
        <v>1264</v>
      </c>
    </row>
    <row r="207">
      <c r="A207" s="22" t="str">
        <f>IFERROR(__xludf.DUMMYFUNCTION("""COMPUTED_VALUE"""),"Gabriel Louw")</f>
        <v>Gabriel Louw</v>
      </c>
      <c r="B207" s="22" t="str">
        <f>IFERROR(__xludf.DUMMYFUNCTION("""COMPUTED_VALUE"""),"gabriell@fairtree.com")</f>
        <v>gabriell@fairtree.com</v>
      </c>
      <c r="C207" s="22" t="str">
        <f>IFERROR(__xludf.DUMMYFUNCTION("""COMPUTED_VALUE"""),"Fairtree Elevant Ventures")</f>
        <v>Fairtree Elevant Ventures</v>
      </c>
      <c r="D207" s="22" t="str">
        <f>IFERROR(__xludf.DUMMYFUNCTION("""COMPUTED_VALUE"""),"Investment Principal")</f>
        <v>Investment Principal</v>
      </c>
      <c r="E207" s="22" t="str">
        <f>IFERROR(__xludf.DUMMYFUNCTION("""COMPUTED_VALUE"""),"New companies to invest in")</f>
        <v>New companies to invest in</v>
      </c>
      <c r="F207" s="22" t="str">
        <f>IFERROR(__xludf.DUMMYFUNCTION("""COMPUTED_VALUE"""),"Energy")</f>
        <v>Energy</v>
      </c>
      <c r="H207" s="22" t="str">
        <f>VLOOKUP(B207,'new total list'!E:E,1,false)</f>
        <v>gabriell@fairtree.com</v>
      </c>
      <c r="I207" s="22" t="str">
        <f>vlookup(A207,'new total list'!B:B,1,false)</f>
        <v>Gabriel Louw</v>
      </c>
      <c r="K207" s="14" t="str">
        <f t="shared" si="1"/>
        <v/>
      </c>
    </row>
    <row r="208">
      <c r="A208" s="22" t="str">
        <f>IFERROR(__xludf.DUMMYFUNCTION("""COMPUTED_VALUE"""),"Michiel Poppink")</f>
        <v>Michiel Poppink</v>
      </c>
      <c r="B208" s="22" t="str">
        <f>IFERROR(__xludf.DUMMYFUNCTION("""COMPUTED_VALUE"""),"mpoppink@werkse.nl")</f>
        <v>mpoppink@werkse.nl</v>
      </c>
      <c r="C208" s="22" t="str">
        <f>IFERROR(__xludf.DUMMYFUNCTION("""COMPUTED_VALUE"""),"Werkse!")</f>
        <v>Werkse!</v>
      </c>
      <c r="D208" s="22" t="str">
        <f>IFERROR(__xludf.DUMMYFUNCTION("""COMPUTED_VALUE"""),"Sales Consultant")</f>
        <v>Sales Consultant</v>
      </c>
      <c r="E208" s="22" t="str">
        <f>IFERROR(__xludf.DUMMYFUNCTION("""COMPUTED_VALUE"""),"Werkse! werkt met Yes! Delft bedrijven/ deep tech start ups op het gebied van assemblage. We willen mogelijke samenwerkingen onderzoeken op het gebied van verpakken en assembleren.")</f>
        <v>Werkse! werkt met Yes! Delft bedrijven/ deep tech start ups op het gebied van assemblage. We willen mogelijke samenwerkingen onderzoeken op het gebied van verpakken en assembleren.</v>
      </c>
      <c r="F208" s="22" t="str">
        <f>IFERROR(__xludf.DUMMYFUNCTION("""COMPUTED_VALUE"""),"MedTech")</f>
        <v>MedTech</v>
      </c>
      <c r="H208" s="22" t="str">
        <f>VLOOKUP(B208,'new total list'!E:E,1,false)</f>
        <v>#N/A</v>
      </c>
      <c r="I208" s="22" t="str">
        <f>vlookup(A208,'new total list'!B:B,1,false)</f>
        <v>#N/A</v>
      </c>
      <c r="K208" s="14" t="str">
        <f t="shared" si="1"/>
        <v>Marked</v>
      </c>
      <c r="L208" s="7" t="s">
        <v>1249</v>
      </c>
    </row>
    <row r="209">
      <c r="A209" s="22" t="str">
        <f>IFERROR(__xludf.DUMMYFUNCTION("""COMPUTED_VALUE"""),"Ruchita Shankar Pawar")</f>
        <v>Ruchita Shankar Pawar</v>
      </c>
      <c r="B209" s="22" t="str">
        <f>IFERROR(__xludf.DUMMYFUNCTION("""COMPUTED_VALUE"""),"rpawar@tudelft.nl")</f>
        <v>rpawar@tudelft.nl</v>
      </c>
      <c r="C209" s="22" t="str">
        <f>IFERROR(__xludf.DUMMYFUNCTION("""COMPUTED_VALUE"""),"Technical University of Delft")</f>
        <v>Technical University of Delft</v>
      </c>
      <c r="D209" s="22" t="str">
        <f>IFERROR(__xludf.DUMMYFUNCTION("""COMPUTED_VALUE"""),"Unemployed")</f>
        <v>Unemployed</v>
      </c>
      <c r="E209" s="22" t="str">
        <f>IFERROR(__xludf.DUMMYFUNCTION("""COMPUTED_VALUE"""),"Networking")</f>
        <v>Networking</v>
      </c>
      <c r="F209" s="22" t="str">
        <f>IFERROR(__xludf.DUMMYFUNCTION("""COMPUTED_VALUE"""),"Energy")</f>
        <v>Energy</v>
      </c>
      <c r="H209" s="22" t="str">
        <f>VLOOKUP(B209,'new total list'!E:E,1,false)</f>
        <v>#N/A</v>
      </c>
      <c r="I209" s="22" t="str">
        <f>vlookup(A209,'new total list'!B:B,1,false)</f>
        <v>#N/A</v>
      </c>
      <c r="K209" s="14" t="str">
        <f t="shared" si="1"/>
        <v>Marked</v>
      </c>
      <c r="L209" s="7" t="s">
        <v>1275</v>
      </c>
    </row>
    <row r="210">
      <c r="A210" s="22" t="str">
        <f>IFERROR(__xludf.DUMMYFUNCTION("""COMPUTED_VALUE"""),"Marije Stijkel")</f>
        <v>Marije Stijkel</v>
      </c>
      <c r="B210" s="22" t="str">
        <f>IFERROR(__xludf.DUMMYFUNCTION("""COMPUTED_VALUE"""),"m.stijkel@bluecity.nl")</f>
        <v>m.stijkel@bluecity.nl</v>
      </c>
      <c r="C210" s="22" t="str">
        <f>IFERROR(__xludf.DUMMYFUNCTION("""COMPUTED_VALUE"""),"BlueCity010 BV")</f>
        <v>BlueCity010 BV</v>
      </c>
      <c r="D210" s="22" t="str">
        <f>IFERROR(__xludf.DUMMYFUNCTION("""COMPUTED_VALUE"""),"Directeur")</f>
        <v>Directeur</v>
      </c>
      <c r="E210" s="22" t="str">
        <f>IFERROR(__xludf.DUMMYFUNCTION("""COMPUTED_VALUE"""),"Knowledge about the Y!D ecosystem")</f>
        <v>Knowledge about the Y!D ecosystem</v>
      </c>
      <c r="F210" s="22" t="str">
        <f>IFERROR(__xludf.DUMMYFUNCTION("""COMPUTED_VALUE"""),"Energy")</f>
        <v>Energy</v>
      </c>
      <c r="H210" s="45" t="str">
        <f>VLOOKUP(B210,'new total list'!E:E,1,false)</f>
        <v>m.stijkel@bluecity.nl</v>
      </c>
      <c r="I210" s="22" t="str">
        <f>vlookup(A210,'new total list'!B:B,1,false)</f>
        <v>Marije Stijkel</v>
      </c>
      <c r="K210" s="14" t="str">
        <f t="shared" si="1"/>
        <v/>
      </c>
    </row>
    <row r="211">
      <c r="A211" s="22" t="str">
        <f>IFERROR(__xludf.DUMMYFUNCTION("""COMPUTED_VALUE"""),"Niels Bartels")</f>
        <v>Niels Bartels</v>
      </c>
      <c r="B211" s="22" t="str">
        <f>IFERROR(__xludf.DUMMYFUNCTION("""COMPUTED_VALUE"""),"niels.bartels@powercreations.nl")</f>
        <v>niels.bartels@powercreations.nl</v>
      </c>
      <c r="C211" s="22" t="str">
        <f>IFERROR(__xludf.DUMMYFUNCTION("""COMPUTED_VALUE"""),"Mentor of Yes! Delft")</f>
        <v>Mentor of Yes! Delft</v>
      </c>
      <c r="D211" s="22" t="str">
        <f>IFERROR(__xludf.DUMMYFUNCTION("""COMPUTED_VALUE"""),"Mentor")</f>
        <v>Mentor</v>
      </c>
      <c r="E211" s="22" t="str">
        <f>IFERROR(__xludf.DUMMYFUNCTION("""COMPUTED_VALUE"""),"Potential matches with start up and scale up companies")</f>
        <v>Potential matches with start up and scale up companies</v>
      </c>
      <c r="F211" s="22" t="str">
        <f>IFERROR(__xludf.DUMMYFUNCTION("""COMPUTED_VALUE"""),"Energy")</f>
        <v>Energy</v>
      </c>
      <c r="H211" s="22" t="str">
        <f>VLOOKUP(B211,'new total list'!E:E,1,false)</f>
        <v>niels.bartels@powercreations.nl</v>
      </c>
      <c r="I211" s="22" t="str">
        <f>vlookup(A211,'new total list'!B:B,1,false)</f>
        <v>Niels Bartels</v>
      </c>
      <c r="K211" s="14" t="str">
        <f t="shared" si="1"/>
        <v/>
      </c>
    </row>
    <row r="212">
      <c r="A212" s="22" t="str">
        <f>IFERROR(__xludf.DUMMYFUNCTION("""COMPUTED_VALUE"""),"Antonio van der Zouwen")</f>
        <v>Antonio van der Zouwen</v>
      </c>
      <c r="B212" s="22" t="str">
        <f>IFERROR(__xludf.DUMMYFUNCTION("""COMPUTED_VALUE"""),"antonio@theproxima.nl")</f>
        <v>antonio@theproxima.nl</v>
      </c>
      <c r="C212" s="22" t="str">
        <f>IFERROR(__xludf.DUMMYFUNCTION("""COMPUTED_VALUE"""),"Theproxima")</f>
        <v>Theproxima</v>
      </c>
      <c r="D212" s="22" t="str">
        <f>IFERROR(__xludf.DUMMYFUNCTION("""COMPUTED_VALUE"""),"Owner")</f>
        <v>Owner</v>
      </c>
      <c r="E212" s="22" t="str">
        <f>IFERROR(__xludf.DUMMYFUNCTION("""COMPUTED_VALUE"""),"Startups to help")</f>
        <v>Startups to help</v>
      </c>
      <c r="F212" s="22" t="str">
        <f>IFERROR(__xludf.DUMMYFUNCTION("""COMPUTED_VALUE"""),"Energy")</f>
        <v>Energy</v>
      </c>
      <c r="H212" s="22" t="str">
        <f>VLOOKUP(B212,'new total list'!E:E,1,false)</f>
        <v>#N/A</v>
      </c>
      <c r="I212" s="22" t="str">
        <f>vlookup(A212,'new total list'!B:B,1,false)</f>
        <v>#N/A</v>
      </c>
      <c r="K212" s="14" t="str">
        <f t="shared" si="1"/>
        <v>Marked</v>
      </c>
      <c r="L212" s="7" t="s">
        <v>1264</v>
      </c>
    </row>
    <row r="213">
      <c r="A213" s="22" t="str">
        <f>IFERROR(__xludf.DUMMYFUNCTION("""COMPUTED_VALUE"""),"Hugo Honijk")</f>
        <v>Hugo Honijk</v>
      </c>
      <c r="B213" s="22" t="str">
        <f>IFERROR(__xludf.DUMMYFUNCTION("""COMPUTED_VALUE"""),"h.honijk@sparkdesign.nl")</f>
        <v>h.honijk@sparkdesign.nl</v>
      </c>
      <c r="C213" s="22" t="str">
        <f>IFERROR(__xludf.DUMMYFUNCTION("""COMPUTED_VALUE"""),"Spark design and innovation BV")</f>
        <v>Spark design and innovation BV</v>
      </c>
      <c r="D213" s="22" t="str">
        <f>IFERROR(__xludf.DUMMYFUNCTION("""COMPUTED_VALUE"""),"Director Smart &amp; Robotics")</f>
        <v>Director Smart &amp; Robotics</v>
      </c>
      <c r="E213" s="22" t="str">
        <f>IFERROR(__xludf.DUMMYFUNCTION("""COMPUTED_VALUE"""),"Business")</f>
        <v>Business</v>
      </c>
      <c r="F213" s="22" t="str">
        <f>IFERROR(__xludf.DUMMYFUNCTION("""COMPUTED_VALUE"""),"help startups/founders")</f>
        <v>help startups/founders</v>
      </c>
      <c r="H213" s="22" t="str">
        <f>VLOOKUP(B213,'new total list'!E:E,1,false)</f>
        <v>#N/A</v>
      </c>
      <c r="I213" s="22" t="str">
        <f>vlookup(A213,'new total list'!B:B,1,false)</f>
        <v>#N/A</v>
      </c>
      <c r="K213" s="14" t="str">
        <f t="shared" si="1"/>
        <v>Marked</v>
      </c>
      <c r="L213" s="7" t="s">
        <v>1247</v>
      </c>
    </row>
    <row r="214">
      <c r="A214" s="22" t="str">
        <f>IFERROR(__xludf.DUMMYFUNCTION("""COMPUTED_VALUE"""),"Samir Amghar")</f>
        <v>Samir Amghar</v>
      </c>
      <c r="B214" s="22" t="str">
        <f>IFERROR(__xludf.DUMMYFUNCTION("""COMPUTED_VALUE"""),"samir.amghar@lansingerland.nl")</f>
        <v>samir.amghar@lansingerland.nl</v>
      </c>
      <c r="C214" s="22" t="str">
        <f>IFERROR(__xludf.DUMMYFUNCTION("""COMPUTED_VALUE"""),"Public service")</f>
        <v>Public service</v>
      </c>
      <c r="D214" s="22" t="str">
        <f>IFERROR(__xludf.DUMMYFUNCTION("""COMPUTED_VALUE"""),"Advisor")</f>
        <v>Advisor</v>
      </c>
      <c r="E214" s="22" t="str">
        <f>IFERROR(__xludf.DUMMYFUNCTION("""COMPUTED_VALUE"""),"Network")</f>
        <v>Network</v>
      </c>
      <c r="F214" s="22" t="str">
        <f>IFERROR(__xludf.DUMMYFUNCTION("""COMPUTED_VALUE"""),"​Future of Compute")</f>
        <v>​Future of Compute</v>
      </c>
      <c r="H214" s="22" t="str">
        <f>VLOOKUP(B214,'new total list'!E:E,1,false)</f>
        <v>Samir.Amghar@lansingerland.nl</v>
      </c>
      <c r="I214" s="22" t="str">
        <f>vlookup(A214,'new total list'!B:B,1,false)</f>
        <v>Samir Amghar</v>
      </c>
      <c r="K214" s="14" t="str">
        <f t="shared" si="1"/>
        <v/>
      </c>
    </row>
    <row r="215">
      <c r="A215" s="22" t="str">
        <f>IFERROR(__xludf.DUMMYFUNCTION("""COMPUTED_VALUE"""),"Alex Koch")</f>
        <v>Alex Koch</v>
      </c>
      <c r="B215" s="22" t="str">
        <f>IFERROR(__xludf.DUMMYFUNCTION("""COMPUTED_VALUE"""),"alex@freigeist.com")</f>
        <v>alex@freigeist.com</v>
      </c>
      <c r="C215" s="22" t="str">
        <f>IFERROR(__xludf.DUMMYFUNCTION("""COMPUTED_VALUE"""),"Freigeist Capital")</f>
        <v>Freigeist Capital</v>
      </c>
      <c r="D215" s="22" t="str">
        <f>IFERROR(__xludf.DUMMYFUNCTION("""COMPUTED_VALUE"""),"CTO")</f>
        <v>CTO</v>
      </c>
      <c r="E215" s="22" t="str">
        <f>IFERROR(__xludf.DUMMYFUNCTION("""COMPUTED_VALUE"""),"Meet Startups")</f>
        <v>Meet Startups</v>
      </c>
      <c r="F215" s="22" t="str">
        <f>IFERROR(__xludf.DUMMYFUNCTION("""COMPUTED_VALUE"""),"Energy")</f>
        <v>Energy</v>
      </c>
      <c r="H215" s="22" t="str">
        <f>VLOOKUP(B215,'new total list'!E:E,1,false)</f>
        <v>alex@freigeist.com</v>
      </c>
      <c r="I215" s="22" t="str">
        <f>vlookup(A215,'new total list'!B:B,1,false)</f>
        <v>Alex Koch</v>
      </c>
      <c r="K215" s="14" t="str">
        <f t="shared" si="1"/>
        <v/>
      </c>
    </row>
    <row r="216">
      <c r="A216" s="22" t="str">
        <f>IFERROR(__xludf.DUMMYFUNCTION("""COMPUTED_VALUE"""),"Berend Jan Kleute")</f>
        <v>Berend Jan Kleute</v>
      </c>
      <c r="B216" s="22" t="str">
        <f>IFERROR(__xludf.DUMMYFUNCTION("""COMPUTED_VALUE"""),"berendjankleute@gmail.com")</f>
        <v>berendjankleute@gmail.com</v>
      </c>
      <c r="C216" s="22" t="str">
        <f>IFERROR(__xludf.DUMMYFUNCTION("""COMPUTED_VALUE"""),"Blueco")</f>
        <v>Blueco</v>
      </c>
      <c r="D216" s="22" t="str">
        <f>IFERROR(__xludf.DUMMYFUNCTION("""COMPUTED_VALUE"""),"CEO")</f>
        <v>CEO</v>
      </c>
      <c r="E216" s="22" t="str">
        <f>IFERROR(__xludf.DUMMYFUNCTION("""COMPUTED_VALUE"""),"Support startups")</f>
        <v>Support startups</v>
      </c>
      <c r="F216" s="22" t="str">
        <f>IFERROR(__xludf.DUMMYFUNCTION("""COMPUTED_VALUE"""),"Energy")</f>
        <v>Energy</v>
      </c>
      <c r="H216" s="22" t="str">
        <f>VLOOKUP(B216,'new total list'!E:E,1,false)</f>
        <v>berendjankleute@gmail.com</v>
      </c>
      <c r="I216" s="22" t="str">
        <f>vlookup(A216,'new total list'!B:B,1,false)</f>
        <v>Berend Jan Kleute</v>
      </c>
      <c r="K216" s="14" t="str">
        <f t="shared" si="1"/>
        <v/>
      </c>
    </row>
    <row r="217">
      <c r="A217" s="22" t="str">
        <f>IFERROR(__xludf.DUMMYFUNCTION("""COMPUTED_VALUE"""),"Eric Poot")</f>
        <v>Eric Poot</v>
      </c>
      <c r="B217" s="22" t="str">
        <f>IFERROR(__xludf.DUMMYFUNCTION("""COMPUTED_VALUE"""),"e.poot@delphy.nl")</f>
        <v>e.poot@delphy.nl</v>
      </c>
      <c r="C217" s="22" t="str">
        <f>IFERROR(__xludf.DUMMYFUNCTION("""COMPUTED_VALUE"""),"Delphy")</f>
        <v>Delphy</v>
      </c>
      <c r="D217" s="22" t="str">
        <f>IFERROR(__xludf.DUMMYFUNCTION("""COMPUTED_VALUE"""),"Sr Team lead R&amp;D")</f>
        <v>Sr Team lead R&amp;D</v>
      </c>
      <c r="E217" s="22" t="str">
        <f>IFERROR(__xludf.DUMMYFUNCTION("""COMPUTED_VALUE"""),"scout new techs with application potential in Horti")</f>
        <v>scout new techs with application potential in Horti</v>
      </c>
      <c r="F217" s="22" t="str">
        <f>IFERROR(__xludf.DUMMYFUNCTION("""COMPUTED_VALUE"""),"Energy")</f>
        <v>Energy</v>
      </c>
      <c r="H217" s="22" t="str">
        <f>VLOOKUP(B217,'new total list'!E:E,1,false)</f>
        <v>e.poot@delphy.nl</v>
      </c>
      <c r="I217" s="22" t="str">
        <f>vlookup(A217,'new total list'!B:B,1,false)</f>
        <v>Eric Poot</v>
      </c>
      <c r="K217" s="14" t="str">
        <f t="shared" si="1"/>
        <v/>
      </c>
    </row>
    <row r="218">
      <c r="A218" s="22" t="str">
        <f>IFERROR(__xludf.DUMMYFUNCTION("""COMPUTED_VALUE"""),"Alexandra Pinto")</f>
        <v>Alexandra Pinto</v>
      </c>
      <c r="B218" s="22" t="str">
        <f>IFERROR(__xludf.DUMMYFUNCTION("""COMPUTED_VALUE"""),"alexandra.pinto@hoursec.tech")</f>
        <v>alexandra.pinto@hoursec.tech</v>
      </c>
      <c r="C218" s="22" t="str">
        <f>IFERROR(__xludf.DUMMYFUNCTION("""COMPUTED_VALUE"""),"Hoursec")</f>
        <v>Hoursec</v>
      </c>
      <c r="D218" s="22" t="str">
        <f>IFERROR(__xludf.DUMMYFUNCTION("""COMPUTED_VALUE"""),"CEO")</f>
        <v>CEO</v>
      </c>
      <c r="E218" s="22" t="str">
        <f>IFERROR(__xludf.DUMMYFUNCTION("""COMPUTED_VALUE"""),"Meeting ecosystem")</f>
        <v>Meeting ecosystem</v>
      </c>
      <c r="F218" s="22" t="str">
        <f>IFERROR(__xludf.DUMMYFUNCTION("""COMPUTED_VALUE"""),"​Future of Compute")</f>
        <v>​Future of Compute</v>
      </c>
      <c r="H218" s="22" t="str">
        <f>VLOOKUP(B218,'new total list'!E:E,1,false)</f>
        <v>alexandra.pinto@hoursec.tech</v>
      </c>
      <c r="I218" s="22" t="str">
        <f>vlookup(A218,'new total list'!B:B,1,false)</f>
        <v>Alexandra Pinto</v>
      </c>
      <c r="K218" s="14" t="str">
        <f t="shared" si="1"/>
        <v/>
      </c>
    </row>
    <row r="219">
      <c r="A219" s="22" t="str">
        <f>IFERROR(__xludf.DUMMYFUNCTION("""COMPUTED_VALUE"""),"Paul Broersen")</f>
        <v>Paul Broersen</v>
      </c>
      <c r="B219" s="22" t="str">
        <f>IFERROR(__xludf.DUMMYFUNCTION("""COMPUTED_VALUE"""),"broersenpm@gmail.com")</f>
        <v>broersenpm@gmail.com</v>
      </c>
      <c r="C219" s="22" t="str">
        <f>IFERROR(__xludf.DUMMYFUNCTION("""COMPUTED_VALUE"""),"Kidoja")</f>
        <v>Kidoja</v>
      </c>
      <c r="D219" s="22" t="str">
        <f>IFERROR(__xludf.DUMMYFUNCTION("""COMPUTED_VALUE"""),"Director")</f>
        <v>Director</v>
      </c>
      <c r="E219" s="22" t="str">
        <f>IFERROR(__xludf.DUMMYFUNCTION("""COMPUTED_VALUE"""),"Start/ Scale up where I can be of any help")</f>
        <v>Start/ Scale up where I can be of any help</v>
      </c>
      <c r="F219" s="22" t="str">
        <f>IFERROR(__xludf.DUMMYFUNCTION("""COMPUTED_VALUE"""),"Energy")</f>
        <v>Energy</v>
      </c>
      <c r="H219" s="45" t="str">
        <f>VLOOKUP(B219,'new total list'!E:E,1,false)</f>
        <v>broersenpm@gmail.com</v>
      </c>
      <c r="I219" s="22" t="str">
        <f>vlookup(A219,'new total list'!B:B,1,false)</f>
        <v>Paul Broersen</v>
      </c>
      <c r="K219" s="14" t="str">
        <f t="shared" si="1"/>
        <v/>
      </c>
    </row>
    <row r="220">
      <c r="A220" s="22" t="str">
        <f>IFERROR(__xludf.DUMMYFUNCTION("""COMPUTED_VALUE"""),"Maarten Herrebrugh")</f>
        <v>Maarten Herrebrugh</v>
      </c>
      <c r="B220" s="22" t="str">
        <f>IFERROR(__xludf.DUMMYFUNCTION("""COMPUTED_VALUE"""),"mherrebrugh@yahoo.com")</f>
        <v>mherrebrugh@yahoo.com</v>
      </c>
      <c r="C220" s="22" t="str">
        <f>IFERROR(__xludf.DUMMYFUNCTION("""COMPUTED_VALUE"""),"Herrebrugh Beheer")</f>
        <v>Herrebrugh Beheer</v>
      </c>
      <c r="D220" s="22" t="str">
        <f>IFERROR(__xludf.DUMMYFUNCTION("""COMPUTED_VALUE"""),"Director")</f>
        <v>Director</v>
      </c>
      <c r="E220" s="22" t="str">
        <f>IFERROR(__xludf.DUMMYFUNCTION("""COMPUTED_VALUE"""),"Interesting contacts with start-ups")</f>
        <v>Interesting contacts with start-ups</v>
      </c>
      <c r="F220" s="22" t="str">
        <f>IFERROR(__xludf.DUMMYFUNCTION("""COMPUTED_VALUE"""),"Energy")</f>
        <v>Energy</v>
      </c>
      <c r="H220" s="22" t="str">
        <f>VLOOKUP(B220,'new total list'!E:E,1,false)</f>
        <v>mherrebrugh@yahoo.com</v>
      </c>
      <c r="I220" s="22" t="str">
        <f>vlookup(A220,'new total list'!B:B,1,false)</f>
        <v>Maarten Herrebrugh</v>
      </c>
      <c r="K220" s="14" t="str">
        <f t="shared" si="1"/>
        <v/>
      </c>
    </row>
    <row r="221">
      <c r="A221" s="22" t="str">
        <f>IFERROR(__xludf.DUMMYFUNCTION("""COMPUTED_VALUE"""),"Anouk")</f>
        <v>Anouk</v>
      </c>
      <c r="B221" s="22" t="str">
        <f>IFERROR(__xludf.DUMMYFUNCTION("""COMPUTED_VALUE"""),"anouk.vanbarneveldt@navusholding.com")</f>
        <v>anouk.vanbarneveldt@navusholding.com</v>
      </c>
      <c r="C221" s="22" t="str">
        <f>IFERROR(__xludf.DUMMYFUNCTION("""COMPUTED_VALUE"""),"Navus")</f>
        <v>Navus</v>
      </c>
      <c r="D221" s="22" t="str">
        <f>IFERROR(__xludf.DUMMYFUNCTION("""COMPUTED_VALUE"""),"Analyst")</f>
        <v>Analyst</v>
      </c>
      <c r="E221" s="22" t="str">
        <f>IFERROR(__xludf.DUMMYFUNCTION("""COMPUTED_VALUE"""),"Connect with early stage startups (AgriFood &amp; Energy)")</f>
        <v>Connect with early stage startups (AgriFood &amp; Energy)</v>
      </c>
      <c r="F221" s="22" t="str">
        <f>IFERROR(__xludf.DUMMYFUNCTION("""COMPUTED_VALUE"""),"Energy")</f>
        <v>Energy</v>
      </c>
      <c r="H221" s="22" t="str">
        <f>VLOOKUP(B221,'new total list'!E:E,1,false)</f>
        <v>#N/A</v>
      </c>
      <c r="I221" s="22" t="str">
        <f>vlookup(A221,'new total list'!B:B,1,false)</f>
        <v>#N/A</v>
      </c>
      <c r="K221" s="14" t="str">
        <f t="shared" si="1"/>
        <v>Marked</v>
      </c>
      <c r="L221" s="7" t="s">
        <v>1321</v>
      </c>
    </row>
    <row r="222">
      <c r="A222" s="22" t="str">
        <f>IFERROR(__xludf.DUMMYFUNCTION("""COMPUTED_VALUE"""),"Marnix Paanakker")</f>
        <v>Marnix Paanakker</v>
      </c>
      <c r="B222" s="22" t="str">
        <f>IFERROR(__xludf.DUMMYFUNCTION("""COMPUTED_VALUE"""),"marnix@pythia-energy.nl")</f>
        <v>marnix@pythia-energy.nl</v>
      </c>
      <c r="C222" s="22" t="str">
        <f>IFERROR(__xludf.DUMMYFUNCTION("""COMPUTED_VALUE"""),"Pythia Energy Intelligence")</f>
        <v>Pythia Energy Intelligence</v>
      </c>
      <c r="D222" s="22" t="str">
        <f>IFERROR(__xludf.DUMMYFUNCTION("""COMPUTED_VALUE"""),"co-founder")</f>
        <v>co-founder</v>
      </c>
      <c r="E222" s="22" t="str">
        <f>IFERROR(__xludf.DUMMYFUNCTION("""COMPUTED_VALUE"""),"Network")</f>
        <v>Network</v>
      </c>
      <c r="F222" s="22" t="str">
        <f>IFERROR(__xludf.DUMMYFUNCTION("""COMPUTED_VALUE"""),"Energy")</f>
        <v>Energy</v>
      </c>
      <c r="H222" s="22" t="str">
        <f>VLOOKUP(B222,'new total list'!E:E,1,false)</f>
        <v>marnix@pythia-energy.nl</v>
      </c>
      <c r="I222" s="22" t="str">
        <f>vlookup(A222,'new total list'!B:B,1,false)</f>
        <v>Marnix Paanakker</v>
      </c>
      <c r="K222" s="14" t="str">
        <f t="shared" si="1"/>
        <v/>
      </c>
    </row>
    <row r="223">
      <c r="A223" s="22" t="str">
        <f>IFERROR(__xludf.DUMMYFUNCTION("""COMPUTED_VALUE"""),"Hossein Kamkar")</f>
        <v>Hossein Kamkar</v>
      </c>
      <c r="B223" s="22" t="str">
        <f>IFERROR(__xludf.DUMMYFUNCTION("""COMPUTED_VALUE"""),"kamkar@deeplit.ai")</f>
        <v>kamkar@deeplit.ai</v>
      </c>
      <c r="C223" s="22" t="str">
        <f>IFERROR(__xludf.DUMMYFUNCTION("""COMPUTED_VALUE"""),"SilicoGene B.V.")</f>
        <v>SilicoGene B.V.</v>
      </c>
      <c r="D223" s="22" t="str">
        <f>IFERROR(__xludf.DUMMYFUNCTION("""COMPUTED_VALUE"""),"AI engineer")</f>
        <v>AI engineer</v>
      </c>
      <c r="E223" s="22" t="str">
        <f>IFERROR(__xludf.DUMMYFUNCTION("""COMPUTED_VALUE"""),"meeting with other entrepreneurs and engineers")</f>
        <v>meeting with other entrepreneurs and engineers</v>
      </c>
      <c r="F223" s="22" t="str">
        <f>IFERROR(__xludf.DUMMYFUNCTION("""COMPUTED_VALUE"""),"MedTech")</f>
        <v>MedTech</v>
      </c>
      <c r="H223" s="22" t="str">
        <f>VLOOKUP(B223,'new total list'!E:E,1,false)</f>
        <v>#N/A</v>
      </c>
      <c r="I223" s="22" t="str">
        <f>vlookup(A223,'new total list'!B:B,1,false)</f>
        <v>Hossein Kamkar</v>
      </c>
      <c r="K223" s="14" t="str">
        <f t="shared" si="1"/>
        <v/>
      </c>
    </row>
    <row r="224">
      <c r="A224" s="22" t="str">
        <f>IFERROR(__xludf.DUMMYFUNCTION("""COMPUTED_VALUE"""),"Bertrand Leersum")</f>
        <v>Bertrand Leersum</v>
      </c>
      <c r="B224" s="22" t="str">
        <f>IFERROR(__xludf.DUMMYFUNCTION("""COMPUTED_VALUE"""),"bertrand@borskifund.com")</f>
        <v>bertrand@borskifund.com</v>
      </c>
      <c r="C224" s="22" t="str">
        <f>IFERROR(__xludf.DUMMYFUNCTION("""COMPUTED_VALUE"""),"Borski Fund")</f>
        <v>Borski Fund</v>
      </c>
      <c r="D224" s="22" t="str">
        <f>IFERROR(__xludf.DUMMYFUNCTION("""COMPUTED_VALUE"""),"Partner")</f>
        <v>Partner</v>
      </c>
      <c r="E224" s="22" t="str">
        <f>IFERROR(__xludf.DUMMYFUNCTION("""COMPUTED_VALUE"""),"Leads of diverse founding teams and connecting with co-investors")</f>
        <v>Leads of diverse founding teams and connecting with co-investors</v>
      </c>
      <c r="F224" s="22" t="str">
        <f>IFERROR(__xludf.DUMMYFUNCTION("""COMPUTED_VALUE"""),"Energy")</f>
        <v>Energy</v>
      </c>
      <c r="H224" s="22" t="str">
        <f>VLOOKUP(B224,'new total list'!E:E,1,false)</f>
        <v>bertrand@borskifund.com</v>
      </c>
      <c r="I224" s="22" t="str">
        <f>vlookup(A224,'new total list'!B:B,1,false)</f>
        <v>#N/A</v>
      </c>
      <c r="K224" s="14" t="str">
        <f t="shared" si="1"/>
        <v/>
      </c>
    </row>
    <row r="225">
      <c r="A225" s="22" t="str">
        <f>IFERROR(__xludf.DUMMYFUNCTION("""COMPUTED_VALUE"""),"Elke Evers")</f>
        <v>Elke Evers</v>
      </c>
      <c r="B225" s="22" t="str">
        <f>IFERROR(__xludf.DUMMYFUNCTION("""COMPUTED_VALUE"""),"elke.evers@rvo.nl")</f>
        <v>elke.evers@rvo.nl</v>
      </c>
      <c r="C225" s="22" t="str">
        <f>IFERROR(__xludf.DUMMYFUNCTION("""COMPUTED_VALUE"""),"RVO")</f>
        <v>RVO</v>
      </c>
      <c r="D225" s="22" t="str">
        <f>IFERROR(__xludf.DUMMYFUNCTION("""COMPUTED_VALUE"""),"NCP for EIC Transition")</f>
        <v>NCP for EIC Transition</v>
      </c>
      <c r="E225" s="22" t="str">
        <f>IFERROR(__xludf.DUMMYFUNCTION("""COMPUTED_VALUE"""),"Accelerator &amp; STEP")</f>
        <v>Accelerator &amp; STEP</v>
      </c>
      <c r="F225" s="22" t="str">
        <f>IFERROR(__xludf.DUMMYFUNCTION("""COMPUTED_VALUE"""),"advisor Eurostars")</f>
        <v>advisor Eurostars</v>
      </c>
      <c r="H225" s="22" t="str">
        <f>VLOOKUP(B225,'new total list'!E:E,1,false)</f>
        <v>elke.evers@rvo.nl</v>
      </c>
      <c r="I225" s="22" t="str">
        <f>vlookup(A225,'new total list'!B:B,1,false)</f>
        <v>Elke Evers</v>
      </c>
      <c r="K225" s="14" t="str">
        <f t="shared" si="1"/>
        <v/>
      </c>
    </row>
    <row r="226">
      <c r="A226" s="22" t="str">
        <f>IFERROR(__xludf.DUMMYFUNCTION("""COMPUTED_VALUE"""),"edwin blokker")</f>
        <v>edwin blokker</v>
      </c>
      <c r="B226" s="22" t="str">
        <f>IFERROR(__xludf.DUMMYFUNCTION("""COMPUTED_VALUE"""),"e.blokker@blokkergroup.com")</f>
        <v>e.blokker@blokkergroup.com</v>
      </c>
      <c r="C226" s="22" t="str">
        <f>IFERROR(__xludf.DUMMYFUNCTION("""COMPUTED_VALUE"""),"Blokker family office")</f>
        <v>Blokker family office</v>
      </c>
      <c r="D226" s="22" t="str">
        <f>IFERROR(__xludf.DUMMYFUNCTION("""COMPUTED_VALUE"""),"CEO")</f>
        <v>CEO</v>
      </c>
      <c r="E226" s="22" t="str">
        <f>IFERROR(__xludf.DUMMYFUNCTION("""COMPUTED_VALUE"""),"Startups")</f>
        <v>Startups</v>
      </c>
      <c r="F226" s="22" t="str">
        <f>IFERROR(__xludf.DUMMYFUNCTION("""COMPUTED_VALUE"""),"Energy")</f>
        <v>Energy</v>
      </c>
      <c r="H226" s="22" t="str">
        <f>VLOOKUP(B226,'new total list'!E:E,1,false)</f>
        <v>e.blokker@blokkergroup.com</v>
      </c>
      <c r="I226" s="22" t="str">
        <f>vlookup(A226,'new total list'!B:B,1,false)</f>
        <v>Edwin Blokker</v>
      </c>
      <c r="K226" s="14" t="str">
        <f t="shared" si="1"/>
        <v/>
      </c>
    </row>
    <row r="227">
      <c r="A227" s="22" t="str">
        <f>IFERROR(__xludf.DUMMYFUNCTION("""COMPUTED_VALUE"""),"Lars Langhorst")</f>
        <v>Lars Langhorst</v>
      </c>
      <c r="B227" s="22" t="str">
        <f>IFERROR(__xludf.DUMMYFUNCTION("""COMPUTED_VALUE"""),"l.m.langhorst@tudelft.nl")</f>
        <v>l.m.langhorst@tudelft.nl</v>
      </c>
      <c r="C227" s="22" t="str">
        <f>IFERROR(__xludf.DUMMYFUNCTION("""COMPUTED_VALUE"""),"Mondai | House of AI")</f>
        <v>Mondai | House of AI</v>
      </c>
      <c r="D227" s="22" t="str">
        <f>IFERROR(__xludf.DUMMYFUNCTION("""COMPUTED_VALUE"""),"Business Developer AI")</f>
        <v>Business Developer AI</v>
      </c>
      <c r="E227" s="22" t="str">
        <f>IFERROR(__xludf.DUMMYFUNCTION("""COMPUTED_VALUE"""),"Insight into the startups in Delft")</f>
        <v>Insight into the startups in Delft</v>
      </c>
      <c r="F227" s="22" t="str">
        <f>IFERROR(__xludf.DUMMYFUNCTION("""COMPUTED_VALUE"""),"Dual Use")</f>
        <v>Dual Use</v>
      </c>
      <c r="H227" s="45" t="str">
        <f>VLOOKUP(B227,'new total list'!E:E,1,false)</f>
        <v>L.M.Langhorst@tudelft.nl</v>
      </c>
      <c r="I227" s="22" t="str">
        <f>vlookup(A227,'new total list'!B:B,1,false)</f>
        <v>Lars Langhorst</v>
      </c>
      <c r="K227" s="14" t="str">
        <f t="shared" si="1"/>
        <v/>
      </c>
    </row>
    <row r="228">
      <c r="A228" s="22" t="str">
        <f>IFERROR(__xludf.DUMMYFUNCTION("""COMPUTED_VALUE"""),"Pavel Cholakov")</f>
        <v>Pavel Cholakov</v>
      </c>
      <c r="B228" s="22" t="str">
        <f>IFERROR(__xludf.DUMMYFUNCTION("""COMPUTED_VALUE"""),"p.v.cholakov@gmail.com")</f>
        <v>p.v.cholakov@gmail.com</v>
      </c>
      <c r="C228" s="22" t="str">
        <f>IFERROR(__xludf.DUMMYFUNCTION("""COMPUTED_VALUE"""),"Chief Ventures")</f>
        <v>Chief Ventures</v>
      </c>
      <c r="D228" s="22" t="str">
        <f>IFERROR(__xludf.DUMMYFUNCTION("""COMPUTED_VALUE"""),"Managing Director")</f>
        <v>Managing Director</v>
      </c>
      <c r="E228" s="22" t="str">
        <f>IFERROR(__xludf.DUMMYFUNCTION("""COMPUTED_VALUE"""),"Meet promising companies")</f>
        <v>Meet promising companies</v>
      </c>
      <c r="F228" s="22" t="str">
        <f>IFERROR(__xludf.DUMMYFUNCTION("""COMPUTED_VALUE"""),"​Future of Compute")</f>
        <v>​Future of Compute</v>
      </c>
      <c r="H228" s="22" t="str">
        <f>VLOOKUP(B228,'new total list'!E:E,1,false)</f>
        <v>p.v.cholakov@gmail.com</v>
      </c>
      <c r="I228" s="22" t="str">
        <f>vlookup(A228,'new total list'!B:B,1,false)</f>
        <v>Pavel Cholakov</v>
      </c>
      <c r="K228" s="14" t="str">
        <f t="shared" si="1"/>
        <v/>
      </c>
    </row>
    <row r="229">
      <c r="A229" s="22" t="str">
        <f>IFERROR(__xludf.DUMMYFUNCTION("""COMPUTED_VALUE"""),"Hans Quivooij")</f>
        <v>Hans Quivooij</v>
      </c>
      <c r="B229" s="22" t="str">
        <f>IFERROR(__xludf.DUMMYFUNCTION("""COMPUTED_VALUE"""),"hans.quivooij@damen.com")</f>
        <v>hans.quivooij@damen.com</v>
      </c>
      <c r="C229" s="22" t="str">
        <f>IFERROR(__xludf.DUMMYFUNCTION("""COMPUTED_VALUE"""),"Damen Shipyards")</f>
        <v>Damen Shipyards</v>
      </c>
      <c r="D229" s="22" t="str">
        <f>IFERROR(__xludf.DUMMYFUNCTION("""COMPUTED_VALUE"""),"Chief Information Security Officer")</f>
        <v>Chief Information Security Officer</v>
      </c>
      <c r="E229" s="22" t="str">
        <f>IFERROR(__xludf.DUMMYFUNCTION("""COMPUTED_VALUE"""),"assessing the market and looking for potential new pilots")</f>
        <v>assessing the market and looking for potential new pilots</v>
      </c>
      <c r="F229" s="22" t="str">
        <f>IFERROR(__xludf.DUMMYFUNCTION("""COMPUTED_VALUE"""),"Maritime")</f>
        <v>Maritime</v>
      </c>
      <c r="H229" s="45" t="str">
        <f>VLOOKUP(B229,'new total list'!E:E,1,false)</f>
        <v>hans.quivooij@damen.com</v>
      </c>
      <c r="I229" s="22" t="str">
        <f>vlookup(A229,'new total list'!B:B,1,false)</f>
        <v>Hans Quivooij</v>
      </c>
      <c r="K229" s="14" t="str">
        <f t="shared" si="1"/>
        <v/>
      </c>
    </row>
    <row r="230">
      <c r="A230" s="22" t="str">
        <f>IFERROR(__xludf.DUMMYFUNCTION("""COMPUTED_VALUE"""),"Sebastian Dreßen")</f>
        <v>Sebastian Dreßen</v>
      </c>
      <c r="B230" s="22" t="str">
        <f>IFERROR(__xludf.DUMMYFUNCTION("""COMPUTED_VALUE"""),"sebastian.dressen@siemens.com")</f>
        <v>sebastian.dressen@siemens.com</v>
      </c>
      <c r="C230" s="22" t="str">
        <f>IFERROR(__xludf.DUMMYFUNCTION("""COMPUTED_VALUE"""),"Siemens AG")</f>
        <v>Siemens AG</v>
      </c>
      <c r="D230" s="22" t="str">
        <f>IFERROR(__xludf.DUMMYFUNCTION("""COMPUTED_VALUE"""),"Senior Research and Innovation Lead")</f>
        <v>Senior Research and Innovation Lead</v>
      </c>
      <c r="E230" s="22" t="str">
        <f>IFERROR(__xludf.DUMMYFUNCTION("""COMPUTED_VALUE"""),"Deep Tech Startups Connects")</f>
        <v>Deep Tech Startups Connects</v>
      </c>
      <c r="F230" s="22" t="str">
        <f>IFERROR(__xludf.DUMMYFUNCTION("""COMPUTED_VALUE"""),"Energy")</f>
        <v>Energy</v>
      </c>
      <c r="H230" s="45" t="str">
        <f>VLOOKUP(B230,'new total list'!E:E,1,false)</f>
        <v>sebastian.dressen@siemens.com</v>
      </c>
      <c r="I230" s="22" t="str">
        <f>vlookup(A230,'new total list'!B:B,1,false)</f>
        <v>#N/A</v>
      </c>
      <c r="K230" s="14" t="str">
        <f t="shared" si="1"/>
        <v/>
      </c>
    </row>
    <row r="231">
      <c r="A231" s="22" t="str">
        <f>IFERROR(__xludf.DUMMYFUNCTION("""COMPUTED_VALUE"""),"Tobias Knop")</f>
        <v>Tobias Knop</v>
      </c>
      <c r="B231" s="22" t="str">
        <f>IFERROR(__xludf.DUMMYFUNCTION("""COMPUTED_VALUE"""),"tobias@dawnaerospace.com")</f>
        <v>tobias@dawnaerospace.com</v>
      </c>
      <c r="C231" s="22" t="str">
        <f>IFERROR(__xludf.DUMMYFUNCTION("""COMPUTED_VALUE"""),"Dawn Aerospace")</f>
        <v>Dawn Aerospace</v>
      </c>
      <c r="D231" s="22" t="str">
        <f>IFERROR(__xludf.DUMMYFUNCTION("""COMPUTED_VALUE"""),"Co-founder")</f>
        <v>Co-founder</v>
      </c>
      <c r="E231" s="22" t="str">
        <f>IFERROR(__xludf.DUMMYFUNCTION("""COMPUTED_VALUE"""),"Stay plugged into what is happening in Delft.")</f>
        <v>Stay plugged into what is happening in Delft.</v>
      </c>
      <c r="F231" s="22" t="str">
        <f>IFERROR(__xludf.DUMMYFUNCTION("""COMPUTED_VALUE"""),"​Aerospace")</f>
        <v>​Aerospace</v>
      </c>
      <c r="H231" s="22" t="str">
        <f>VLOOKUP(B231,'new total list'!E:E,1,false)</f>
        <v>tobias@dawnaerospace.com</v>
      </c>
      <c r="I231" s="22" t="str">
        <f>vlookup(A231,'new total list'!B:B,1,false)</f>
        <v>Tobias Knop</v>
      </c>
      <c r="K231" s="14" t="str">
        <f t="shared" si="1"/>
        <v/>
      </c>
    </row>
    <row r="232">
      <c r="A232" s="22" t="str">
        <f>IFERROR(__xludf.DUMMYFUNCTION("""COMPUTED_VALUE"""),"Robin Goudappel")</f>
        <v>Robin Goudappel</v>
      </c>
      <c r="B232" s="22" t="str">
        <f>IFERROR(__xludf.DUMMYFUNCTION("""COMPUTED_VALUE"""),"robin.goudappel@s2grupo.com")</f>
        <v>robin.goudappel@s2grupo.com</v>
      </c>
      <c r="C232" s="22" t="str">
        <f>IFERROR(__xludf.DUMMYFUNCTION("""COMPUTED_VALUE"""),"Alegria Ventures")</f>
        <v>Alegria Ventures</v>
      </c>
      <c r="D232" s="22" t="str">
        <f>IFERROR(__xludf.DUMMYFUNCTION("""COMPUTED_VALUE"""),"Managing Director")</f>
        <v>Managing Director</v>
      </c>
      <c r="E232" s="22" t="str">
        <f>IFERROR(__xludf.DUMMYFUNCTION("""COMPUTED_VALUE"""),"See the amzing start-ups")</f>
        <v>See the amzing start-ups</v>
      </c>
      <c r="F232" s="22" t="str">
        <f>IFERROR(__xludf.DUMMYFUNCTION("""COMPUTED_VALUE"""),"get inspired and do some networking")</f>
        <v>get inspired and do some networking</v>
      </c>
      <c r="H232" s="22" t="str">
        <f>VLOOKUP(B232,'new total list'!E:E,1,false)</f>
        <v>#N/A</v>
      </c>
      <c r="I232" s="22" t="str">
        <f>vlookup(A232,'new total list'!B:B,1,false)</f>
        <v>Robin Goudappel</v>
      </c>
      <c r="K232" s="14" t="str">
        <f t="shared" si="1"/>
        <v/>
      </c>
    </row>
    <row r="233">
      <c r="A233" s="22" t="str">
        <f>IFERROR(__xludf.DUMMYFUNCTION("""COMPUTED_VALUE"""),"Ilse Rodewijk")</f>
        <v>Ilse Rodewijk</v>
      </c>
      <c r="B233" s="22" t="str">
        <f>IFERROR(__xludf.DUMMYFUNCTION("""COMPUTED_VALUE"""),"ilse@albatros.digital")</f>
        <v>ilse@albatros.digital</v>
      </c>
      <c r="C233" s="22" t="str">
        <f>IFERROR(__xludf.DUMMYFUNCTION("""COMPUTED_VALUE"""),"AlbatrosDigital")</f>
        <v>AlbatrosDigital</v>
      </c>
      <c r="D233" s="22" t="str">
        <f>IFERROR(__xludf.DUMMYFUNCTION("""COMPUTED_VALUE"""),"CEO")</f>
        <v>CEO</v>
      </c>
      <c r="E233" s="22" t="str">
        <f>IFERROR(__xludf.DUMMYFUNCTION("""COMPUTED_VALUE"""),"Inspiration")</f>
        <v>Inspiration</v>
      </c>
      <c r="F233" s="22" t="str">
        <f>IFERROR(__xludf.DUMMYFUNCTION("""COMPUTED_VALUE"""),"Maritime")</f>
        <v>Maritime</v>
      </c>
      <c r="H233" s="22" t="str">
        <f>VLOOKUP(B233,'new total list'!E:E,1,false)</f>
        <v>#N/A</v>
      </c>
      <c r="I233" s="22" t="str">
        <f>vlookup(A233,'new total list'!B:B,1,false)</f>
        <v>#N/A</v>
      </c>
      <c r="J233" s="7" t="s">
        <v>1368</v>
      </c>
      <c r="K233" s="14" t="str">
        <f t="shared" si="1"/>
        <v>Marked</v>
      </c>
    </row>
    <row r="234">
      <c r="A234" s="22" t="str">
        <f>IFERROR(__xludf.DUMMYFUNCTION("""COMPUTED_VALUE"""),"Parya Lotfi")</f>
        <v>Parya Lotfi</v>
      </c>
      <c r="B234" s="22" t="str">
        <f>IFERROR(__xludf.DUMMYFUNCTION("""COMPUTED_VALUE"""),"parya@duckduckgoose.ai")</f>
        <v>parya@duckduckgoose.ai</v>
      </c>
      <c r="C234" s="22" t="str">
        <f>IFERROR(__xludf.DUMMYFUNCTION("""COMPUTED_VALUE"""),"DuckDuckGoose")</f>
        <v>DuckDuckGoose</v>
      </c>
      <c r="D234" s="22" t="str">
        <f>IFERROR(__xludf.DUMMYFUNCTION("""COMPUTED_VALUE"""),"Co-founder")</f>
        <v>Co-founder</v>
      </c>
      <c r="E234" s="22" t="str">
        <f>IFERROR(__xludf.DUMMYFUNCTION("""COMPUTED_VALUE"""),"Networking")</f>
        <v>Networking</v>
      </c>
      <c r="F234" s="22" t="str">
        <f>IFERROR(__xludf.DUMMYFUNCTION("""COMPUTED_VALUE"""),"Dual Use")</f>
        <v>Dual Use</v>
      </c>
      <c r="H234" s="22" t="str">
        <f>VLOOKUP(B234,'new total list'!E:E,1,false)</f>
        <v>#N/A</v>
      </c>
      <c r="I234" s="22" t="str">
        <f>vlookup(A234,'new total list'!B:B,1,false)</f>
        <v>Parya Lotfi</v>
      </c>
      <c r="K234" s="14" t="str">
        <f t="shared" si="1"/>
        <v/>
      </c>
    </row>
    <row r="235">
      <c r="A235" s="22" t="str">
        <f>IFERROR(__xludf.DUMMYFUNCTION("""COMPUTED_VALUE"""),"Arjen van der Horst")</f>
        <v>Arjen van der Horst</v>
      </c>
      <c r="B235" s="22" t="str">
        <f>IFERROR(__xludf.DUMMYFUNCTION("""COMPUTED_VALUE"""),"arjen@vanderhorstonline.nl")</f>
        <v>arjen@vanderhorstonline.nl</v>
      </c>
      <c r="C235" s="22" t="str">
        <f>IFERROR(__xludf.DUMMYFUNCTION("""COMPUTED_VALUE"""),"self employed")</f>
        <v>self employed</v>
      </c>
      <c r="D235" s="22" t="str">
        <f>IFERROR(__xludf.DUMMYFUNCTION("""COMPUTED_VALUE"""),"CTO")</f>
        <v>CTO</v>
      </c>
      <c r="E235" s="22" t="str">
        <f>IFERROR(__xludf.DUMMYFUNCTION("""COMPUTED_VALUE"""),"side chats with investors + potential business partners")</f>
        <v>side chats with investors + potential business partners</v>
      </c>
      <c r="F235" s="22" t="str">
        <f>IFERROR(__xludf.DUMMYFUNCTION("""COMPUTED_VALUE"""),"Dual Use")</f>
        <v>Dual Use</v>
      </c>
      <c r="H235" s="22" t="str">
        <f>VLOOKUP(B235,'new total list'!E:E,1,false)</f>
        <v>arjen@vanderhorstonline.nl</v>
      </c>
      <c r="I235" s="22" t="str">
        <f>vlookup(A235,'new total list'!B:B,1,false)</f>
        <v>Arjen van der Horst</v>
      </c>
      <c r="K235" s="14" t="str">
        <f t="shared" si="1"/>
        <v/>
      </c>
    </row>
    <row r="236">
      <c r="A236" s="22" t="str">
        <f>IFERROR(__xludf.DUMMYFUNCTION("""COMPUTED_VALUE"""),"Zachary Cesaro")</f>
        <v>Zachary Cesaro</v>
      </c>
      <c r="B236" s="22" t="str">
        <f>IFERROR(__xludf.DUMMYFUNCTION("""COMPUTED_VALUE"""),"zachary.cesaro@hymonic.com")</f>
        <v>zachary.cesaro@hymonic.com</v>
      </c>
      <c r="C236" s="22" t="str">
        <f>IFERROR(__xludf.DUMMYFUNCTION("""COMPUTED_VALUE"""),"Hymonic")</f>
        <v>Hymonic</v>
      </c>
      <c r="D236" s="22" t="str">
        <f>IFERROR(__xludf.DUMMYFUNCTION("""COMPUTED_VALUE"""),"CEO")</f>
        <v>CEO</v>
      </c>
      <c r="E236" s="22" t="str">
        <f>IFERROR(__xludf.DUMMYFUNCTION("""COMPUTED_VALUE"""),"connections to investors")</f>
        <v>connections to investors</v>
      </c>
      <c r="F236" s="22" t="str">
        <f>IFERROR(__xludf.DUMMYFUNCTION("""COMPUTED_VALUE"""),"Maritime")</f>
        <v>Maritime</v>
      </c>
      <c r="H236" s="45" t="str">
        <f>VLOOKUP(B236,'new total list'!E:E,1,false)</f>
        <v>zachary.cesaro@hymonic.com</v>
      </c>
      <c r="I236" s="22" t="str">
        <f>vlookup(A236,'new total list'!B:B,1,false)</f>
        <v>#N/A</v>
      </c>
      <c r="K236" s="14" t="str">
        <f t="shared" si="1"/>
        <v/>
      </c>
    </row>
    <row r="237">
      <c r="A237" s="22" t="str">
        <f>IFERROR(__xludf.DUMMYFUNCTION("""COMPUTED_VALUE"""),"Jip Leendertse")</f>
        <v>Jip Leendertse</v>
      </c>
      <c r="B237" s="22" t="str">
        <f>IFERROR(__xludf.DUMMYFUNCTION("""COMPUTED_VALUE"""),"j.leendertse@tudelft.nl")</f>
        <v>j.leendertse@tudelft.nl</v>
      </c>
      <c r="C237" s="22" t="str">
        <f>IFERROR(__xludf.DUMMYFUNCTION("""COMPUTED_VALUE"""),"TU Delft")</f>
        <v>TU Delft</v>
      </c>
      <c r="D237" s="22" t="str">
        <f>IFERROR(__xludf.DUMMYFUNCTION("""COMPUTED_VALUE"""),"Researcher")</f>
        <v>Researcher</v>
      </c>
      <c r="E237" s="22" t="str">
        <f>IFERROR(__xludf.DUMMYFUNCTION("""COMPUTED_VALUE"""),"Catch up and observe")</f>
        <v>Catch up and observe</v>
      </c>
      <c r="F237" s="22" t="str">
        <f>IFERROR(__xludf.DUMMYFUNCTION("""COMPUTED_VALUE"""),"Dual Use")</f>
        <v>Dual Use</v>
      </c>
      <c r="H237" s="22" t="str">
        <f>VLOOKUP(B237,'new total list'!E:E,1,false)</f>
        <v>j.leendertse@tudelft.nl</v>
      </c>
      <c r="I237" s="22" t="str">
        <f>vlookup(A237,'new total list'!B:B,1,false)</f>
        <v>Jip Leendertse</v>
      </c>
      <c r="K237" s="14" t="str">
        <f t="shared" si="1"/>
        <v/>
      </c>
    </row>
    <row r="238">
      <c r="A238" s="22" t="str">
        <f>IFERROR(__xludf.DUMMYFUNCTION("""COMPUTED_VALUE"""),"Ron Vink")</f>
        <v>Ron Vink</v>
      </c>
      <c r="B238" s="22" t="str">
        <f>IFERROR(__xludf.DUMMYFUNCTION("""COMPUTED_VALUE"""),"ron.vink@denhaag.nl")</f>
        <v>ron.vink@denhaag.nl</v>
      </c>
      <c r="C238" s="22" t="str">
        <f>IFERROR(__xludf.DUMMYFUNCTION("""COMPUTED_VALUE"""),"Gemeente Den Haag")</f>
        <v>Gemeente Den Haag</v>
      </c>
      <c r="D238" s="22" t="str">
        <f>IFERROR(__xludf.DUMMYFUNCTION("""COMPUTED_VALUE"""),"Sr Policy Advisor")</f>
        <v>Sr Policy Advisor</v>
      </c>
      <c r="E238" s="22" t="str">
        <f>IFERROR(__xludf.DUMMYFUNCTION("""COMPUTED_VALUE"""),"Connections")</f>
        <v>Connections</v>
      </c>
      <c r="F238" s="22" t="str">
        <f>IFERROR(__xludf.DUMMYFUNCTION("""COMPUTED_VALUE"""),"Dual Use")</f>
        <v>Dual Use</v>
      </c>
      <c r="H238" s="22" t="str">
        <f>VLOOKUP(B238,'new total list'!E:E,1,false)</f>
        <v>ron.vink@denhaag.nl</v>
      </c>
      <c r="I238" s="22" t="str">
        <f>vlookup(A238,'new total list'!B:B,1,false)</f>
        <v>Ron Vink</v>
      </c>
      <c r="K238" s="14" t="str">
        <f t="shared" si="1"/>
        <v/>
      </c>
    </row>
    <row r="239">
      <c r="A239" s="22" t="str">
        <f>IFERROR(__xludf.DUMMYFUNCTION("""COMPUTED_VALUE"""),"Felix Wassmann")</f>
        <v>Felix Wassmann</v>
      </c>
      <c r="B239" s="22" t="str">
        <f>IFERROR(__xludf.DUMMYFUNCTION("""COMPUTED_VALUE"""),"felix.wassmann@resoniks.com")</f>
        <v>felix.wassmann@resoniks.com</v>
      </c>
      <c r="C239" s="22" t="str">
        <f>IFERROR(__xludf.DUMMYFUNCTION("""COMPUTED_VALUE"""),"RESONIKS")</f>
        <v>RESONIKS</v>
      </c>
      <c r="D239" s="22" t="str">
        <f>IFERROR(__xludf.DUMMYFUNCTION("""COMPUTED_VALUE"""),"CEO &amp; Co-founder")</f>
        <v>CEO &amp; Co-founder</v>
      </c>
      <c r="E239" s="22" t="str">
        <f>IFERROR(__xludf.DUMMYFUNCTION("""COMPUTED_VALUE"""),"Networking")</f>
        <v>Networking</v>
      </c>
      <c r="F239" s="22" t="str">
        <f>IFERROR(__xludf.DUMMYFUNCTION("""COMPUTED_VALUE"""),"partnerships")</f>
        <v>partnerships</v>
      </c>
      <c r="H239" s="22" t="str">
        <f>VLOOKUP(B239,'new total list'!E:E,1,false)</f>
        <v>felix.wassmann@resoniks.com</v>
      </c>
      <c r="I239" s="22" t="str">
        <f>vlookup(A239,'new total list'!B:B,1,false)</f>
        <v>Felix Wassmann</v>
      </c>
      <c r="K239" s="14" t="str">
        <f t="shared" si="1"/>
        <v/>
      </c>
    </row>
    <row r="240">
      <c r="A240" s="22" t="str">
        <f>IFERROR(__xludf.DUMMYFUNCTION("""COMPUTED_VALUE"""),"Nils Lang")</f>
        <v>Nils Lang</v>
      </c>
      <c r="B240" s="22" t="str">
        <f>IFERROR(__xludf.DUMMYFUNCTION("""COMPUTED_VALUE"""),"n.lang@htgf.de")</f>
        <v>n.lang@htgf.de</v>
      </c>
      <c r="C240" s="22" t="str">
        <f>IFERROR(__xludf.DUMMYFUNCTION("""COMPUTED_VALUE"""),"HTGF")</f>
        <v>HTGF</v>
      </c>
      <c r="D240" s="22" t="str">
        <f>IFERROR(__xludf.DUMMYFUNCTION("""COMPUTED_VALUE"""),"Senior Investment Manager")</f>
        <v>Senior Investment Manager</v>
      </c>
      <c r="E240" s="22" t="str">
        <f>IFERROR(__xludf.DUMMYFUNCTION("""COMPUTED_VALUE"""),"Opportunities and Conversations")</f>
        <v>Opportunities and Conversations</v>
      </c>
      <c r="F240" s="22" t="str">
        <f>IFERROR(__xludf.DUMMYFUNCTION("""COMPUTED_VALUE"""),"Cyber")</f>
        <v>Cyber</v>
      </c>
      <c r="H240" s="22" t="str">
        <f>VLOOKUP(B240,'new total list'!E:E,1,false)</f>
        <v>n.lang@htgf.de</v>
      </c>
      <c r="I240" s="22" t="str">
        <f>vlookup(A240,'new total list'!B:B,1,false)</f>
        <v>Nils Lang</v>
      </c>
      <c r="K240" s="14" t="str">
        <f t="shared" si="1"/>
        <v/>
      </c>
    </row>
    <row r="241">
      <c r="A241" s="22" t="str">
        <f>IFERROR(__xludf.DUMMYFUNCTION("""COMPUTED_VALUE"""),"Pearse Coyle")</f>
        <v>Pearse Coyle</v>
      </c>
      <c r="B241" s="22" t="str">
        <f>IFERROR(__xludf.DUMMYFUNCTION("""COMPUTED_VALUE"""),"pc@deeptechseedfund.com")</f>
        <v>pc@deeptechseedfund.com</v>
      </c>
      <c r="C241" s="22" t="str">
        <f>IFERROR(__xludf.DUMMYFUNCTION("""COMPUTED_VALUE"""),"Deeptech Seed Fund")</f>
        <v>Deeptech Seed Fund</v>
      </c>
      <c r="D241" s="22" t="str">
        <f>IFERROR(__xludf.DUMMYFUNCTION("""COMPUTED_VALUE"""),"Partner")</f>
        <v>Partner</v>
      </c>
      <c r="E241" s="22" t="str">
        <f>IFERROR(__xludf.DUMMYFUNCTION("""COMPUTED_VALUE"""),"Identify Investment opportunities.")</f>
        <v>Identify Investment opportunities.</v>
      </c>
      <c r="F241" s="22" t="str">
        <f>IFERROR(__xludf.DUMMYFUNCTION("""COMPUTED_VALUE"""),"Energy")</f>
        <v>Energy</v>
      </c>
      <c r="H241" s="22" t="str">
        <f>VLOOKUP(B241,'new total list'!E:E,1,false)</f>
        <v>pc@deeptechseedfund.com</v>
      </c>
      <c r="I241" s="22" t="str">
        <f>vlookup(A241,'new total list'!B:B,1,false)</f>
        <v>Pearse Coyle</v>
      </c>
      <c r="K241" s="14" t="str">
        <f t="shared" si="1"/>
        <v/>
      </c>
    </row>
    <row r="242">
      <c r="A242" s="22" t="str">
        <f>IFERROR(__xludf.DUMMYFUNCTION("""COMPUTED_VALUE"""),"Dora Busa")</f>
        <v>Dora Busa</v>
      </c>
      <c r="B242" s="22" t="str">
        <f>IFERROR(__xludf.DUMMYFUNCTION("""COMPUTED_VALUE"""),"busadora@outlook.com")</f>
        <v>busadora@outlook.com</v>
      </c>
      <c r="C242" s="22" t="str">
        <f>IFERROR(__xludf.DUMMYFUNCTION("""COMPUTED_VALUE"""),"Elarix Labs")</f>
        <v>Elarix Labs</v>
      </c>
      <c r="D242" s="22" t="str">
        <f>IFERROR(__xludf.DUMMYFUNCTION("""COMPUTED_VALUE"""),"Co-founder")</f>
        <v>Co-founder</v>
      </c>
      <c r="E242" s="22" t="str">
        <f>IFERROR(__xludf.DUMMYFUNCTION("""COMPUTED_VALUE"""),"Network")</f>
        <v>Network</v>
      </c>
      <c r="F242" s="22" t="str">
        <f>IFERROR(__xludf.DUMMYFUNCTION("""COMPUTED_VALUE"""),"​Future of Compute")</f>
        <v>​Future of Compute</v>
      </c>
      <c r="H242" s="22" t="str">
        <f>VLOOKUP(B242,'new total list'!E:E,1,false)</f>
        <v>busadora@outlook.com</v>
      </c>
      <c r="I242" s="22" t="str">
        <f>vlookup(A242,'new total list'!B:B,1,false)</f>
        <v>#N/A</v>
      </c>
      <c r="K242" s="14" t="str">
        <f t="shared" si="1"/>
        <v/>
      </c>
    </row>
    <row r="243">
      <c r="A243" s="22" t="str">
        <f>IFERROR(__xludf.DUMMYFUNCTION("""COMPUTED_VALUE"""),"Ruben Rutgers")</f>
        <v>Ruben Rutgers</v>
      </c>
      <c r="B243" s="22" t="str">
        <f>IFERROR(__xludf.DUMMYFUNCTION("""COMPUTED_VALUE"""),"ruben@platformzero.co")</f>
        <v>ruben@platformzero.co</v>
      </c>
      <c r="C243" s="22" t="str">
        <f>IFERROR(__xludf.DUMMYFUNCTION("""COMPUTED_VALUE"""),"Platform Zero")</f>
        <v>Platform Zero</v>
      </c>
      <c r="D243" s="22" t="str">
        <f>IFERROR(__xludf.DUMMYFUNCTION("""COMPUTED_VALUE"""),"Innovation Lead")</f>
        <v>Innovation Lead</v>
      </c>
      <c r="E243" s="22" t="str">
        <f>IFERROR(__xludf.DUMMYFUNCTION("""COMPUTED_VALUE"""),"Market insights &amp; great connections")</f>
        <v>Market insights &amp; great connections</v>
      </c>
      <c r="F243" s="22" t="str">
        <f>IFERROR(__xludf.DUMMYFUNCTION("""COMPUTED_VALUE"""),"Maritime")</f>
        <v>Maritime</v>
      </c>
      <c r="H243" s="22" t="str">
        <f>VLOOKUP(B243,'new total list'!E:E,1,false)</f>
        <v>ruben@platformzero.co</v>
      </c>
      <c r="I243" s="22" t="str">
        <f>vlookup(A243,'new total list'!B:B,1,false)</f>
        <v>Ruben Rutgers</v>
      </c>
      <c r="K243" s="14" t="str">
        <f t="shared" si="1"/>
        <v/>
      </c>
    </row>
    <row r="244">
      <c r="A244" s="22" t="str">
        <f>IFERROR(__xludf.DUMMYFUNCTION("""COMPUTED_VALUE"""),"Erik van der Wal")</f>
        <v>Erik van der Wal</v>
      </c>
      <c r="B244" s="22" t="str">
        <f>IFERROR(__xludf.DUMMYFUNCTION("""COMPUTED_VALUE"""),"e.vanderwal@hyerpower.nl")</f>
        <v>e.vanderwal@hyerpower.nl</v>
      </c>
      <c r="C244" s="22" t="str">
        <f>IFERROR(__xludf.DUMMYFUNCTION("""COMPUTED_VALUE"""),"Hyer Power B.V.")</f>
        <v>Hyer Power B.V.</v>
      </c>
      <c r="D244" s="22" t="str">
        <f>IFERROR(__xludf.DUMMYFUNCTION("""COMPUTED_VALUE"""),"CFO")</f>
        <v>CFO</v>
      </c>
      <c r="E244" s="22" t="str">
        <f>IFERROR(__xludf.DUMMYFUNCTION("""COMPUTED_VALUE"""),"Meet investors and pitch")</f>
        <v>Meet investors and pitch</v>
      </c>
      <c r="F244" s="22" t="str">
        <f>IFERROR(__xludf.DUMMYFUNCTION("""COMPUTED_VALUE"""),"Energy")</f>
        <v>Energy</v>
      </c>
      <c r="H244" s="22" t="str">
        <f>VLOOKUP(B244,'new total list'!E:E,1,false)</f>
        <v>e.vanderwal@hyerpower.nl</v>
      </c>
      <c r="I244" s="22" t="str">
        <f>vlookup(A244,'new total list'!B:B,1,false)</f>
        <v>Erik van der Wal</v>
      </c>
      <c r="K244" s="14" t="str">
        <f t="shared" si="1"/>
        <v/>
      </c>
    </row>
    <row r="245">
      <c r="A245" s="22" t="str">
        <f>IFERROR(__xludf.DUMMYFUNCTION("""COMPUTED_VALUE"""),"Sander Dorigo")</f>
        <v>Sander Dorigo</v>
      </c>
      <c r="B245" s="22" t="str">
        <f>IFERROR(__xludf.DUMMYFUNCTION("""COMPUTED_VALUE"""),"sander.dorigo@sentyron.com")</f>
        <v>sander.dorigo@sentyron.com</v>
      </c>
      <c r="C245" s="22" t="str">
        <f>IFERROR(__xludf.DUMMYFUNCTION("""COMPUTED_VALUE"""),"Sentyron")</f>
        <v>Sentyron</v>
      </c>
      <c r="D245" s="22" t="str">
        <f>IFERROR(__xludf.DUMMYFUNCTION("""COMPUTED_VALUE"""),"Security architect")</f>
        <v>Security architect</v>
      </c>
      <c r="E245" s="22" t="str">
        <f>IFERROR(__xludf.DUMMYFUNCTION("""COMPUTED_VALUE"""),"Info on start-ups")</f>
        <v>Info on start-ups</v>
      </c>
      <c r="F245" s="22" t="str">
        <f>IFERROR(__xludf.DUMMYFUNCTION("""COMPUTED_VALUE"""),"progress")</f>
        <v>progress</v>
      </c>
      <c r="H245" s="22" t="str">
        <f>VLOOKUP(B245,'new total list'!E:E,1,false)</f>
        <v>sander.dorigo@sentyron.com</v>
      </c>
      <c r="I245" s="22" t="str">
        <f>vlookup(A245,'new total list'!B:B,1,false)</f>
        <v>Sander Dorigo</v>
      </c>
      <c r="K245" s="14" t="str">
        <f t="shared" si="1"/>
        <v/>
      </c>
    </row>
    <row r="246">
      <c r="A246" s="22" t="str">
        <f>IFERROR(__xludf.DUMMYFUNCTION("""COMPUTED_VALUE"""),"Robert van der Heijden")</f>
        <v>Robert van der Heijden</v>
      </c>
      <c r="B246" s="22" t="str">
        <f>IFERROR(__xludf.DUMMYFUNCTION("""COMPUTED_VALUE"""),"robert.van.der.heijden@alliander.com")</f>
        <v>robert.van.der.heijden@alliander.com</v>
      </c>
      <c r="C246" s="22" t="str">
        <f>IFERROR(__xludf.DUMMYFUNCTION("""COMPUTED_VALUE"""),"Alliander")</f>
        <v>Alliander</v>
      </c>
      <c r="D246" s="22" t="str">
        <f>IFERROR(__xludf.DUMMYFUNCTION("""COMPUTED_VALUE"""),"Venture Client Lead")</f>
        <v>Venture Client Lead</v>
      </c>
      <c r="E246" s="22" t="str">
        <f>IFERROR(__xludf.DUMMYFUNCTION("""COMPUTED_VALUE"""),"Aware of new startups")</f>
        <v>Aware of new startups</v>
      </c>
      <c r="F246" s="22" t="str">
        <f>IFERROR(__xludf.DUMMYFUNCTION("""COMPUTED_VALUE"""),"connect with ecosystem")</f>
        <v>connect with ecosystem</v>
      </c>
      <c r="H246" s="45" t="str">
        <f>VLOOKUP(B246,'new total list'!E:E,1,false)</f>
        <v>robert.van.der.heijden@alliander.com</v>
      </c>
      <c r="I246" s="22" t="str">
        <f>vlookup(A246,'new total list'!B:B,1,false)</f>
        <v>Robert van der Heijden</v>
      </c>
      <c r="K246" s="14" t="str">
        <f t="shared" si="1"/>
        <v/>
      </c>
    </row>
    <row r="247">
      <c r="A247" s="22" t="str">
        <f>IFERROR(__xludf.DUMMYFUNCTION("""COMPUTED_VALUE"""),"Onno Bierhoff")</f>
        <v>Onno Bierhoff</v>
      </c>
      <c r="B247" s="22" t="str">
        <f>IFERROR(__xludf.DUMMYFUNCTION("""COMPUTED_VALUE"""),"onno@geheco.com")</f>
        <v>onno@geheco.com</v>
      </c>
      <c r="C247" s="22" t="str">
        <f>IFERROR(__xludf.DUMMYFUNCTION("""COMPUTED_VALUE"""),"GEHECO")</f>
        <v>GEHECO</v>
      </c>
      <c r="D247" s="22" t="str">
        <f>IFERROR(__xludf.DUMMYFUNCTION("""COMPUTED_VALUE"""),"CEO")</f>
        <v>CEO</v>
      </c>
      <c r="E247" s="22" t="str">
        <f>IFERROR(__xludf.DUMMYFUNCTION("""COMPUTED_VALUE"""),"Connect with the ecosystem")</f>
        <v>Connect with the ecosystem</v>
      </c>
      <c r="F247" s="22" t="str">
        <f>IFERROR(__xludf.DUMMYFUNCTION("""COMPUTED_VALUE"""),"update exitsing contacts and meet new people")</f>
        <v>update exitsing contacts and meet new people</v>
      </c>
      <c r="H247" s="22" t="str">
        <f>VLOOKUP(B247,'new total list'!E:E,1,false)</f>
        <v>onno@geheco.com</v>
      </c>
      <c r="I247" s="22" t="str">
        <f>vlookup(A247,'new total list'!B:B,1,false)</f>
        <v>Onno Bierhoff</v>
      </c>
      <c r="K247" s="14" t="str">
        <f t="shared" si="1"/>
        <v/>
      </c>
    </row>
    <row r="248">
      <c r="A248" s="22" t="str">
        <f>IFERROR(__xludf.DUMMYFUNCTION("""COMPUTED_VALUE"""),"Aad van der Geest")</f>
        <v>Aad van der Geest</v>
      </c>
      <c r="B248" s="22" t="str">
        <f>IFERROR(__xludf.DUMMYFUNCTION("""COMPUTED_VALUE"""),"spitstec@wxs.nl")</f>
        <v>spitstec@wxs.nl</v>
      </c>
      <c r="C248" s="22" t="str">
        <f>IFERROR(__xludf.DUMMYFUNCTION("""COMPUTED_VALUE"""),"Van der geest spitstechniek")</f>
        <v>Van der geest spitstechniek</v>
      </c>
      <c r="D248" s="22" t="str">
        <f>IFERROR(__xludf.DUMMYFUNCTION("""COMPUTED_VALUE"""),"ceo")</f>
        <v>ceo</v>
      </c>
      <c r="E248" s="22" t="str">
        <f>IFERROR(__xludf.DUMMYFUNCTION("""COMPUTED_VALUE"""),"investmeent oportunities")</f>
        <v>investmeent oportunities</v>
      </c>
      <c r="F248" s="22" t="str">
        <f>IFERROR(__xludf.DUMMYFUNCTION("""COMPUTED_VALUE"""),"Energy")</f>
        <v>Energy</v>
      </c>
      <c r="H248" s="22" t="str">
        <f>VLOOKUP(B248,'new total list'!E:E,1,false)</f>
        <v>spitstec@wxs.nl</v>
      </c>
      <c r="I248" s="22" t="str">
        <f>vlookup(A248,'new total list'!B:B,1,false)</f>
        <v>Aad van der Geest</v>
      </c>
      <c r="K248" s="14" t="str">
        <f t="shared" si="1"/>
        <v/>
      </c>
    </row>
    <row r="249">
      <c r="A249" s="22" t="str">
        <f>IFERROR(__xludf.DUMMYFUNCTION("""COMPUTED_VALUE"""),"Ferry Tillekens")</f>
        <v>Ferry Tillekens</v>
      </c>
      <c r="B249" s="22" t="str">
        <f>IFERROR(__xludf.DUMMYFUNCTION("""COMPUTED_VALUE"""),"ferry.tillekens@denhaag.nl")</f>
        <v>ferry.tillekens@denhaag.nl</v>
      </c>
      <c r="C249" s="22" t="str">
        <f>IFERROR(__xludf.DUMMYFUNCTION("""COMPUTED_VALUE"""),"City of The Hague")</f>
        <v>City of The Hague</v>
      </c>
      <c r="D249" s="22" t="str">
        <f>IFERROR(__xludf.DUMMYFUNCTION("""COMPUTED_VALUE"""),"Policy officer Innovative Economy")</f>
        <v>Policy officer Innovative Economy</v>
      </c>
      <c r="E249" s="22" t="str">
        <f>IFERROR(__xludf.DUMMYFUNCTION("""COMPUTED_VALUE"""),"Connections")</f>
        <v>Connections</v>
      </c>
      <c r="F249" s="22" t="str">
        <f>IFERROR(__xludf.DUMMYFUNCTION("""COMPUTED_VALUE"""),"knowledge")</f>
        <v>knowledge</v>
      </c>
      <c r="H249" s="22" t="str">
        <f>VLOOKUP(B249,'new total list'!E:E,1,false)</f>
        <v>ferry.tillekens@denhaag.nl</v>
      </c>
      <c r="I249" s="22" t="str">
        <f>vlookup(A249,'new total list'!B:B,1,false)</f>
        <v>Ferry Tillekens</v>
      </c>
      <c r="K249" s="14" t="str">
        <f t="shared" si="1"/>
        <v/>
      </c>
    </row>
    <row r="250">
      <c r="A250" s="22" t="str">
        <f>IFERROR(__xludf.DUMMYFUNCTION("""COMPUTED_VALUE"""),"Jasper Peterich")</f>
        <v>Jasper Peterich</v>
      </c>
      <c r="B250" s="22" t="str">
        <f>IFERROR(__xludf.DUMMYFUNCTION("""COMPUTED_VALUE"""),"j.p.peterich@tudelft.nl")</f>
        <v>j.p.peterich@tudelft.nl</v>
      </c>
      <c r="C250" s="22" t="str">
        <f>IFERROR(__xludf.DUMMYFUNCTION("""COMPUTED_VALUE"""),"Universiteitsfonds Delft")</f>
        <v>Universiteitsfonds Delft</v>
      </c>
      <c r="D250" s="22" t="str">
        <f>IFERROR(__xludf.DUMMYFUNCTION("""COMPUTED_VALUE"""),"director")</f>
        <v>director</v>
      </c>
      <c r="E250" s="22" t="str">
        <f>IFERROR(__xludf.DUMMYFUNCTION("""COMPUTED_VALUE"""),"insight in the YesDElft Ecosystem")</f>
        <v>insight in the YesDElft Ecosystem</v>
      </c>
      <c r="F250" s="22" t="str">
        <f>IFERROR(__xludf.DUMMYFUNCTION("""COMPUTED_VALUE"""),"Dual Use")</f>
        <v>Dual Use</v>
      </c>
      <c r="H250" s="22" t="str">
        <f>VLOOKUP(B250,'new total list'!E:E,1,false)</f>
        <v>j.p.peterich@tudelft.nl</v>
      </c>
      <c r="I250" s="22" t="str">
        <f>vlookup(A250,'new total list'!B:B,1,false)</f>
        <v>Jasper Peterich</v>
      </c>
      <c r="K250" s="14" t="str">
        <f t="shared" si="1"/>
        <v/>
      </c>
    </row>
    <row r="251">
      <c r="A251" s="22" t="str">
        <f>IFERROR(__xludf.DUMMYFUNCTION("""COMPUTED_VALUE"""),"Andre Roos")</f>
        <v>Andre Roos</v>
      </c>
      <c r="B251" s="22" t="str">
        <f>IFERROR(__xludf.DUMMYFUNCTION("""COMPUTED_VALUE"""),"a.p.roos@saxion.nl")</f>
        <v>a.p.roos@saxion.nl</v>
      </c>
      <c r="C251" s="22" t="str">
        <f>IFERROR(__xludf.DUMMYFUNCTION("""COMPUTED_VALUE"""),"Saxion Centrum voor Ondernemerschap")</f>
        <v>Saxion Centrum voor Ondernemerschap</v>
      </c>
      <c r="D251" s="22" t="str">
        <f>IFERROR(__xludf.DUMMYFUNCTION("""COMPUTED_VALUE"""),"Directeur")</f>
        <v>Directeur</v>
      </c>
      <c r="E251" s="22" t="str">
        <f>IFERROR(__xludf.DUMMYFUNCTION("""COMPUTED_VALUE"""),"New contacts")</f>
        <v>New contacts</v>
      </c>
      <c r="F251" s="22" t="str">
        <f>IFERROR(__xludf.DUMMYFUNCTION("""COMPUTED_VALUE"""),"Dual Use")</f>
        <v>Dual Use</v>
      </c>
      <c r="H251" s="22" t="str">
        <f>VLOOKUP(B251,'new total list'!E:E,1,false)</f>
        <v>#N/A</v>
      </c>
      <c r="I251" s="22" t="str">
        <f>vlookup(A251,'new total list'!B:B,1,false)</f>
        <v>#N/A</v>
      </c>
      <c r="K251" s="14" t="str">
        <f t="shared" si="1"/>
        <v>Marked</v>
      </c>
      <c r="L251" s="7" t="s">
        <v>925</v>
      </c>
    </row>
    <row r="252">
      <c r="A252" s="22" t="str">
        <f>IFERROR(__xludf.DUMMYFUNCTION("""COMPUTED_VALUE"""),"Bastiaan van Wijk")</f>
        <v>Bastiaan van Wijk</v>
      </c>
      <c r="B252" s="22" t="str">
        <f>IFERROR(__xludf.DUMMYFUNCTION("""COMPUTED_VALUE"""),"bastiaan@moveenergy.vc")</f>
        <v>bastiaan@moveenergy.vc</v>
      </c>
      <c r="C252" s="45" t="str">
        <f>IFERROR(__xludf.DUMMYFUNCTION("""COMPUTED_VALUE"""),"moveenergy.vc")</f>
        <v>moveenergy.vc</v>
      </c>
      <c r="D252" s="22" t="str">
        <f>IFERROR(__xludf.DUMMYFUNCTION("""COMPUTED_VALUE"""),"Investment Manager")</f>
        <v>Investment Manager</v>
      </c>
      <c r="E252" s="22" t="str">
        <f>IFERROR(__xludf.DUMMYFUNCTION("""COMPUTED_VALUE"""),"Meet new start-ups and founders")</f>
        <v>Meet new start-ups and founders</v>
      </c>
      <c r="F252" s="22" t="str">
        <f>IFERROR(__xludf.DUMMYFUNCTION("""COMPUTED_VALUE"""),"Energy")</f>
        <v>Energy</v>
      </c>
      <c r="H252" s="22" t="str">
        <f>VLOOKUP(B252,'new total list'!E:E,1,false)</f>
        <v>bastiaan@moveenergy.vc</v>
      </c>
      <c r="I252" s="22" t="str">
        <f>vlookup(A252,'new total list'!B:B,1,false)</f>
        <v>Bastiaan van Wijk</v>
      </c>
      <c r="K252" s="14" t="str">
        <f t="shared" si="1"/>
        <v/>
      </c>
    </row>
    <row r="253">
      <c r="A253" s="22" t="str">
        <f>IFERROR(__xludf.DUMMYFUNCTION("""COMPUTED_VALUE"""),"Eszter Madai")</f>
        <v>Eszter Madai</v>
      </c>
      <c r="B253" s="22" t="str">
        <f>IFERROR(__xludf.DUMMYFUNCTION("""COMPUTED_VALUE"""),"em@icoscapital.com")</f>
        <v>em@icoscapital.com</v>
      </c>
      <c r="C253" s="22" t="str">
        <f>IFERROR(__xludf.DUMMYFUNCTION("""COMPUTED_VALUE"""),"Icos Capital")</f>
        <v>Icos Capital</v>
      </c>
      <c r="D253" s="22" t="str">
        <f>IFERROR(__xludf.DUMMYFUNCTION("""COMPUTED_VALUE"""),"Investment Analyst")</f>
        <v>Investment Analyst</v>
      </c>
      <c r="E253" s="22" t="str">
        <f>IFERROR(__xludf.DUMMYFUNCTION("""COMPUTED_VALUE"""),"Investment Opportunities")</f>
        <v>Investment Opportunities</v>
      </c>
      <c r="F253" s="22" t="str">
        <f>IFERROR(__xludf.DUMMYFUNCTION("""COMPUTED_VALUE"""),"Energy")</f>
        <v>Energy</v>
      </c>
      <c r="H253" s="22" t="str">
        <f>VLOOKUP(B253,'new total list'!E:E,1,false)</f>
        <v>#N/A</v>
      </c>
      <c r="I253" s="22" t="str">
        <f>vlookup(A253,'new total list'!B:B,1,false)</f>
        <v>#N/A</v>
      </c>
      <c r="K253" s="14" t="str">
        <f t="shared" si="1"/>
        <v>Marked</v>
      </c>
      <c r="L253" s="7" t="s">
        <v>925</v>
      </c>
    </row>
    <row r="254">
      <c r="A254" s="22" t="str">
        <f>IFERROR(__xludf.DUMMYFUNCTION("""COMPUTED_VALUE"""),"Taco Ekkel")</f>
        <v>Taco Ekkel</v>
      </c>
      <c r="B254" s="22" t="str">
        <f>IFERROR(__xludf.DUMMYFUNCTION("""COMPUTED_VALUE"""),"taco.ekkel@gmail.com")</f>
        <v>taco.ekkel@gmail.com</v>
      </c>
      <c r="C254" s="22" t="str">
        <f>IFERROR(__xludf.DUMMYFUNCTION("""COMPUTED_VALUE"""),"Untz")</f>
        <v>Untz</v>
      </c>
      <c r="D254" s="22" t="str">
        <f>IFERROR(__xludf.DUMMYFUNCTION("""COMPUTED_VALUE"""),"Founder")</f>
        <v>Founder</v>
      </c>
      <c r="E254" s="22" t="str">
        <f>IFERROR(__xludf.DUMMYFUNCTION("""COMPUTED_VALUE"""),"Learn")</f>
        <v>Learn</v>
      </c>
      <c r="F254" s="22" t="str">
        <f>IFERROR(__xludf.DUMMYFUNCTION("""COMPUTED_VALUE"""),"and help founders and investors connect")</f>
        <v>and help founders and investors connect</v>
      </c>
      <c r="H254" s="22" t="str">
        <f>VLOOKUP(B254,'new total list'!E:E,1,false)</f>
        <v>taco.ekkel@gmail.com</v>
      </c>
      <c r="I254" s="22" t="str">
        <f>vlookup(A254,'new total list'!B:B,1,false)</f>
        <v>Taco Ekkel</v>
      </c>
      <c r="K254" s="14" t="str">
        <f t="shared" si="1"/>
        <v/>
      </c>
    </row>
    <row r="255">
      <c r="A255" s="22" t="str">
        <f>IFERROR(__xludf.DUMMYFUNCTION("""COMPUTED_VALUE"""),"Matthijs van Lent")</f>
        <v>Matthijs van Lent</v>
      </c>
      <c r="B255" s="22" t="str">
        <f>IFERROR(__xludf.DUMMYFUNCTION("""COMPUTED_VALUE"""),"mindbasedelft@mindef.nl")</f>
        <v>mindbasedelft@mindef.nl</v>
      </c>
      <c r="C255" s="22" t="str">
        <f>IFERROR(__xludf.DUMMYFUNCTION("""COMPUTED_VALUE"""),"MIND")</f>
        <v>MIND</v>
      </c>
      <c r="D255" s="22" t="str">
        <f>IFERROR(__xludf.DUMMYFUNCTION("""COMPUTED_VALUE"""),"Ministry of Defense")</f>
        <v>Ministry of Defense</v>
      </c>
      <c r="E255" s="22" t="str">
        <f>IFERROR(__xludf.DUMMYFUNCTION("""COMPUTED_VALUE"""),"Innovation Scout")</f>
        <v>Innovation Scout</v>
      </c>
      <c r="F255" s="22" t="str">
        <f>IFERROR(__xludf.DUMMYFUNCTION("""COMPUTED_VALUE"""),"Meet potential dual-use start-ups")</f>
        <v>Meet potential dual-use start-ups</v>
      </c>
      <c r="H255" s="22" t="str">
        <f>VLOOKUP(B255,'new total list'!E:E,1,false)</f>
        <v>#N/A</v>
      </c>
      <c r="I255" s="22" t="str">
        <f>vlookup(A255,'new total list'!B:B,1,false)</f>
        <v>#N/A</v>
      </c>
      <c r="K255" s="14" t="str">
        <f t="shared" si="1"/>
        <v>Marked</v>
      </c>
      <c r="L255" s="7" t="s">
        <v>925</v>
      </c>
    </row>
    <row r="256">
      <c r="A256" s="22" t="str">
        <f>IFERROR(__xludf.DUMMYFUNCTION("""COMPUTED_VALUE"""),"Tracy Gundy")</f>
        <v>Tracy Gundy</v>
      </c>
      <c r="B256" s="22" t="str">
        <f>IFERROR(__xludf.DUMMYFUNCTION("""COMPUTED_VALUE"""),"tgundy@chrysalix.com")</f>
        <v>tgundy@chrysalix.com</v>
      </c>
      <c r="C256" s="22" t="str">
        <f>IFERROR(__xludf.DUMMYFUNCTION("""COMPUTED_VALUE"""),"Chrysalix Venture Capital")</f>
        <v>Chrysalix Venture Capital</v>
      </c>
      <c r="D256" s="22" t="str">
        <f>IFERROR(__xludf.DUMMYFUNCTION("""COMPUTED_VALUE"""),"Investment Analyst")</f>
        <v>Investment Analyst</v>
      </c>
      <c r="E256" s="22" t="str">
        <f>IFERROR(__xludf.DUMMYFUNCTION("""COMPUTED_VALUE"""),"Closer engagement with the YesDelft ecosystem")</f>
        <v>Closer engagement with the YesDelft ecosystem</v>
      </c>
      <c r="F256" s="22" t="str">
        <f>IFERROR(__xludf.DUMMYFUNCTION("""COMPUTED_VALUE"""),"Energy")</f>
        <v>Energy</v>
      </c>
      <c r="H256" s="22" t="str">
        <f>VLOOKUP(B256,'new total list'!E:E,1,false)</f>
        <v>#N/A</v>
      </c>
      <c r="I256" s="22" t="str">
        <f>vlookup(A256,'new total list'!B:B,1,false)</f>
        <v>#N/A</v>
      </c>
      <c r="K256" s="14" t="str">
        <f t="shared" si="1"/>
        <v>Marked</v>
      </c>
      <c r="L256" s="7" t="s">
        <v>925</v>
      </c>
    </row>
    <row r="257">
      <c r="A257" s="22" t="str">
        <f>IFERROR(__xludf.DUMMYFUNCTION("""COMPUTED_VALUE"""),"Rahul Shirke")</f>
        <v>Rahul Shirke</v>
      </c>
      <c r="B257" s="22" t="str">
        <f>IFERROR(__xludf.DUMMYFUNCTION("""COMPUTED_VALUE"""),"rahul@arceon.nl")</f>
        <v>rahul@arceon.nl</v>
      </c>
      <c r="C257" s="22" t="str">
        <f>IFERROR(__xludf.DUMMYFUNCTION("""COMPUTED_VALUE"""),"Arceon B.V.")</f>
        <v>Arceon B.V.</v>
      </c>
      <c r="D257" s="22" t="str">
        <f>IFERROR(__xludf.DUMMYFUNCTION("""COMPUTED_VALUE"""),"Founder &amp; CEO")</f>
        <v>Founder &amp; CEO</v>
      </c>
      <c r="E257" s="22" t="str">
        <f>IFERROR(__xludf.DUMMYFUNCTION("""COMPUTED_VALUE"""),"Investor contacts")</f>
        <v>Investor contacts</v>
      </c>
      <c r="F257" s="22" t="str">
        <f>IFERROR(__xludf.DUMMYFUNCTION("""COMPUTED_VALUE"""),"Dual Use")</f>
        <v>Dual Use</v>
      </c>
      <c r="H257" s="22" t="str">
        <f>VLOOKUP(B257,'new total list'!E:E,1,false)</f>
        <v>rahul@arceon.nl</v>
      </c>
      <c r="I257" s="22" t="str">
        <f>vlookup(A257,'new total list'!B:B,1,false)</f>
        <v>Rahul Shirke</v>
      </c>
      <c r="K257" s="14" t="str">
        <f t="shared" si="1"/>
        <v/>
      </c>
    </row>
    <row r="258">
      <c r="A258" s="22" t="str">
        <f>IFERROR(__xludf.DUMMYFUNCTION("""COMPUTED_VALUE"""),"Tijmen de Jong")</f>
        <v>Tijmen de Jong</v>
      </c>
      <c r="B258" s="22" t="str">
        <f>IFERROR(__xludf.DUMMYFUNCTION("""COMPUTED_VALUE"""),"tijmen@tarnoc.nl")</f>
        <v>tijmen@tarnoc.nl</v>
      </c>
      <c r="C258" s="22" t="str">
        <f>IFERROR(__xludf.DUMMYFUNCTION("""COMPUTED_VALUE"""),"Tarnoc")</f>
        <v>Tarnoc</v>
      </c>
      <c r="D258" s="22" t="str">
        <f>IFERROR(__xludf.DUMMYFUNCTION("""COMPUTED_VALUE"""),"CTO")</f>
        <v>CTO</v>
      </c>
      <c r="E258" s="22" t="str">
        <f>IFERROR(__xludf.DUMMYFUNCTION("""COMPUTED_VALUE"""),"Network")</f>
        <v>Network</v>
      </c>
      <c r="F258" s="22" t="str">
        <f>IFERROR(__xludf.DUMMYFUNCTION("""COMPUTED_VALUE"""),"Energy")</f>
        <v>Energy</v>
      </c>
      <c r="H258" s="22" t="str">
        <f>VLOOKUP(B258,'new total list'!E:E,1,false)</f>
        <v>tijmen@tarnoc.nl</v>
      </c>
      <c r="I258" s="22" t="str">
        <f>vlookup(A258,'new total list'!B:B,1,false)</f>
        <v>Tijmen de Jong</v>
      </c>
      <c r="K258" s="14" t="str">
        <f t="shared" si="1"/>
        <v/>
      </c>
    </row>
    <row r="259">
      <c r="A259" s="22" t="str">
        <f>IFERROR(__xludf.DUMMYFUNCTION("""COMPUTED_VALUE"""),"Tim Bruines")</f>
        <v>Tim Bruines</v>
      </c>
      <c r="B259" s="22" t="str">
        <f>IFERROR(__xludf.DUMMYFUNCTION("""COMPUTED_VALUE"""),"tim@sensible.health")</f>
        <v>tim@sensible.health</v>
      </c>
      <c r="C259" s="22" t="str">
        <f>IFERROR(__xludf.DUMMYFUNCTION("""COMPUTED_VALUE"""),"Sensible")</f>
        <v>Sensible</v>
      </c>
      <c r="D259" s="22" t="str">
        <f>IFERROR(__xludf.DUMMYFUNCTION("""COMPUTED_VALUE"""),"Founder")</f>
        <v>Founder</v>
      </c>
      <c r="E259" s="22" t="str">
        <f>IFERROR(__xludf.DUMMYFUNCTION("""COMPUTED_VALUE"""),"Networking; catching up")</f>
        <v>Networking; catching up</v>
      </c>
      <c r="F259" s="22" t="str">
        <f>IFERROR(__xludf.DUMMYFUNCTION("""COMPUTED_VALUE"""),"MedTech")</f>
        <v>MedTech</v>
      </c>
      <c r="H259" s="22" t="str">
        <f>VLOOKUP(B259,'new total list'!E:E,1,false)</f>
        <v>tim@sensible.health</v>
      </c>
      <c r="I259" s="22" t="str">
        <f>vlookup(A259,'new total list'!B:B,1,false)</f>
        <v>Tim Bruines</v>
      </c>
      <c r="K259" s="14" t="str">
        <f t="shared" si="1"/>
        <v/>
      </c>
    </row>
    <row r="260">
      <c r="A260" s="22" t="str">
        <f>IFERROR(__xludf.DUMMYFUNCTION("""COMPUTED_VALUE"""),"Amée Leferink")</f>
        <v>Amée Leferink</v>
      </c>
      <c r="B260" s="22" t="str">
        <f>IFERROR(__xludf.DUMMYFUNCTION("""COMPUTED_VALUE"""),"amee.leferink@innovationquarter.nl")</f>
        <v>amee.leferink@innovationquarter.nl</v>
      </c>
      <c r="C260" s="22" t="str">
        <f>IFERROR(__xludf.DUMMYFUNCTION("""COMPUTED_VALUE"""),"InnovationQuarter")</f>
        <v>InnovationQuarter</v>
      </c>
      <c r="D260" s="22" t="str">
        <f>IFERROR(__xludf.DUMMYFUNCTION("""COMPUTED_VALUE"""),"Senior Investment Manager")</f>
        <v>Senior Investment Manager</v>
      </c>
      <c r="E260" s="22" t="str">
        <f>IFERROR(__xludf.DUMMYFUNCTION("""COMPUTED_VALUE"""),"Meet startups")</f>
        <v>Meet startups</v>
      </c>
      <c r="F260" s="22" t="str">
        <f>IFERROR(__xludf.DUMMYFUNCTION("""COMPUTED_VALUE"""),"and (re)connect with co-investors")</f>
        <v>and (re)connect with co-investors</v>
      </c>
      <c r="H260" s="22" t="str">
        <f>VLOOKUP(B260,'new total list'!E:E,1,false)</f>
        <v>#N/A</v>
      </c>
      <c r="I260" s="22" t="str">
        <f>vlookup(A260,'new total list'!B:B,1,false)</f>
        <v>#N/A</v>
      </c>
      <c r="K260" s="14" t="str">
        <f t="shared" si="1"/>
        <v>Marked</v>
      </c>
      <c r="L260" s="7" t="s">
        <v>1463</v>
      </c>
    </row>
    <row r="261">
      <c r="A261" s="22" t="str">
        <f>IFERROR(__xludf.DUMMYFUNCTION("""COMPUTED_VALUE"""),"Johan Brandenburg")</f>
        <v>Johan Brandenburg</v>
      </c>
      <c r="B261" s="22" t="str">
        <f>IFERROR(__xludf.DUMMYFUNCTION("""COMPUTED_VALUE"""),"johanbrandenbu@tudelft.nl")</f>
        <v>johanbrandenbu@tudelft.nl</v>
      </c>
      <c r="C261" s="22" t="str">
        <f>IFERROR(__xludf.DUMMYFUNCTION("""COMPUTED_VALUE"""),"TU Deflt")</f>
        <v>TU Deflt</v>
      </c>
      <c r="D261" s="22" t="str">
        <f>IFERROR(__xludf.DUMMYFUNCTION("""COMPUTED_VALUE"""),"Information Security Officer")</f>
        <v>Information Security Officer</v>
      </c>
      <c r="E261" s="22" t="str">
        <f>IFERROR(__xludf.DUMMYFUNCTION("""COMPUTED_VALUE"""),"see how latest innovations effects my job")</f>
        <v>see how latest innovations effects my job</v>
      </c>
      <c r="F261" s="22" t="str">
        <f>IFERROR(__xludf.DUMMYFUNCTION("""COMPUTED_VALUE"""),"Cyber")</f>
        <v>Cyber</v>
      </c>
      <c r="H261" s="22" t="str">
        <f>VLOOKUP(B261,'new total list'!E:E,1,false)</f>
        <v>#N/A</v>
      </c>
      <c r="I261" s="22" t="str">
        <f>vlookup(A261,'new total list'!B:B,1,false)</f>
        <v>Johan Brandenburg</v>
      </c>
      <c r="K261" s="14" t="str">
        <f t="shared" si="1"/>
        <v/>
      </c>
    </row>
    <row r="262">
      <c r="A262" s="22" t="str">
        <f>IFERROR(__xludf.DUMMYFUNCTION("""COMPUTED_VALUE"""),"Hessel Hoekstra")</f>
        <v>Hessel Hoekstra</v>
      </c>
      <c r="B262" s="22" t="str">
        <f>IFERROR(__xludf.DUMMYFUNCTION("""COMPUTED_VALUE"""),"hessel.hoekstra@hollandcapital.nl")</f>
        <v>hessel.hoekstra@hollandcapital.nl</v>
      </c>
      <c r="C262" s="22" t="str">
        <f>IFERROR(__xludf.DUMMYFUNCTION("""COMPUTED_VALUE"""),"Holland Capital")</f>
        <v>Holland Capital</v>
      </c>
      <c r="D262" s="22" t="str">
        <f>IFERROR(__xludf.DUMMYFUNCTION("""COMPUTED_VALUE"""),"Investment Analyst")</f>
        <v>Investment Analyst</v>
      </c>
      <c r="E262" s="22" t="str">
        <f>IFERROR(__xludf.DUMMYFUNCTION("""COMPUTED_VALUE"""),"Meeting with Startups")</f>
        <v>Meeting with Startups</v>
      </c>
      <c r="F262" s="22" t="str">
        <f>IFERROR(__xludf.DUMMYFUNCTION("""COMPUTED_VALUE"""),"MedTech")</f>
        <v>MedTech</v>
      </c>
      <c r="H262" s="22" t="str">
        <f>VLOOKUP(B262,'new total list'!E:E,1,false)</f>
        <v>#N/A</v>
      </c>
      <c r="I262" s="22" t="str">
        <f>vlookup(A262,'new total list'!B:B,1,false)</f>
        <v>#N/A</v>
      </c>
      <c r="K262" s="14" t="str">
        <f t="shared" si="1"/>
        <v>Marked</v>
      </c>
      <c r="L262" s="7" t="s">
        <v>925</v>
      </c>
    </row>
    <row r="263">
      <c r="A263" s="22" t="str">
        <f>IFERROR(__xludf.DUMMYFUNCTION("""COMPUTED_VALUE"""),"Pedro Sartori")</f>
        <v>Pedro Sartori</v>
      </c>
      <c r="B263" s="22" t="str">
        <f>IFERROR(__xludf.DUMMYFUNCTION("""COMPUTED_VALUE"""),"pedro@platformzero.co")</f>
        <v>pedro@platformzero.co</v>
      </c>
      <c r="C263" s="22" t="str">
        <f>IFERROR(__xludf.DUMMYFUNCTION("""COMPUTED_VALUE"""),"Platform Zero")</f>
        <v>Platform Zero</v>
      </c>
      <c r="D263" s="22" t="str">
        <f>IFERROR(__xludf.DUMMYFUNCTION("""COMPUTED_VALUE"""),"Venture Analyst")</f>
        <v>Venture Analyst</v>
      </c>
      <c r="E263" s="22" t="str">
        <f>IFERROR(__xludf.DUMMYFUNCTION("""COMPUTED_VALUE"""),"Network and innovation")</f>
        <v>Network and innovation</v>
      </c>
      <c r="F263" s="22" t="str">
        <f>IFERROR(__xludf.DUMMYFUNCTION("""COMPUTED_VALUE"""),"Energy")</f>
        <v>Energy</v>
      </c>
      <c r="H263" s="22" t="str">
        <f>VLOOKUP(B263,'new total list'!E:E,1,false)</f>
        <v>#N/A</v>
      </c>
      <c r="I263" s="22" t="str">
        <f>vlookup(A263,'new total list'!B:B,1,false)</f>
        <v>#N/A</v>
      </c>
      <c r="K263" s="14" t="str">
        <f t="shared" si="1"/>
        <v>Marked</v>
      </c>
      <c r="L263" s="7" t="s">
        <v>925</v>
      </c>
    </row>
    <row r="264">
      <c r="A264" s="22" t="str">
        <f>IFERROR(__xludf.DUMMYFUNCTION("""COMPUTED_VALUE"""),"Sara Okhuijsen")</f>
        <v>Sara Okhuijsen</v>
      </c>
      <c r="B264" s="22" t="str">
        <f>IFERROR(__xludf.DUMMYFUNCTION("""COMPUTED_VALUE"""),"sara@oasysnow.com")</f>
        <v>sara@oasysnow.com</v>
      </c>
      <c r="C264" s="22" t="str">
        <f>IFERROR(__xludf.DUMMYFUNCTION("""COMPUTED_VALUE"""),"OASYS NOW B.V.")</f>
        <v>OASYS NOW B.V.</v>
      </c>
      <c r="D264" s="22" t="str">
        <f>IFERROR(__xludf.DUMMYFUNCTION("""COMPUTED_VALUE"""),"CTO &amp; Co-Founder")</f>
        <v>CTO &amp; Co-Founder</v>
      </c>
      <c r="E264" s="22" t="str">
        <f>IFERROR(__xludf.DUMMYFUNCTION("""COMPUTED_VALUE"""),"Upkeep network")</f>
        <v>Upkeep network</v>
      </c>
      <c r="F264" s="22" t="str">
        <f>IFERROR(__xludf.DUMMYFUNCTION("""COMPUTED_VALUE"""),"MedTech")</f>
        <v>MedTech</v>
      </c>
      <c r="H264" s="22" t="str">
        <f>VLOOKUP(B264,'new total list'!E:E,1,false)</f>
        <v>sara@oasysnow.com</v>
      </c>
      <c r="I264" s="22" t="str">
        <f>vlookup(A264,'new total list'!B:B,1,false)</f>
        <v>Sara Okhuijsen</v>
      </c>
      <c r="K264" s="14" t="str">
        <f t="shared" si="1"/>
        <v/>
      </c>
    </row>
    <row r="265">
      <c r="A265" s="22" t="str">
        <f>IFERROR(__xludf.DUMMYFUNCTION("""COMPUTED_VALUE"""),"Karan Sharma")</f>
        <v>Karan Sharma</v>
      </c>
      <c r="B265" s="22" t="str">
        <f>IFERROR(__xludf.DUMMYFUNCTION("""COMPUTED_VALUE"""),"kxs5825@gmail.com")</f>
        <v>kxs5825@gmail.com</v>
      </c>
      <c r="C265" s="22" t="str">
        <f>IFERROR(__xludf.DUMMYFUNCTION("""COMPUTED_VALUE"""),"TU Delft")</f>
        <v>TU Delft</v>
      </c>
      <c r="D265" s="22" t="str">
        <f>IFERROR(__xludf.DUMMYFUNCTION("""COMPUTED_VALUE"""),"Mechanical Engineering")</f>
        <v>Mechanical Engineering</v>
      </c>
      <c r="E265" s="22" t="str">
        <f>IFERROR(__xludf.DUMMYFUNCTION("""COMPUTED_VALUE"""),"Networking")</f>
        <v>Networking</v>
      </c>
      <c r="F265" s="22" t="str">
        <f>IFERROR(__xludf.DUMMYFUNCTION("""COMPUTED_VALUE"""),"full-time/part-time job")</f>
        <v>full-time/part-time job</v>
      </c>
      <c r="H265" s="22" t="str">
        <f>VLOOKUP(B265,'new total list'!E:E,1,false)</f>
        <v>#N/A</v>
      </c>
      <c r="I265" s="22" t="str">
        <f>vlookup(A265,'new total list'!B:B,1,false)</f>
        <v>#N/A</v>
      </c>
      <c r="K265" s="14" t="str">
        <f t="shared" si="1"/>
        <v>Marked</v>
      </c>
      <c r="L265" s="7" t="s">
        <v>1477</v>
      </c>
    </row>
    <row r="266">
      <c r="A266" s="22" t="str">
        <f>IFERROR(__xludf.DUMMYFUNCTION("""COMPUTED_VALUE"""),"Max Rempt")</f>
        <v>Max Rempt</v>
      </c>
      <c r="B266" s="22" t="str">
        <f>IFERROR(__xludf.DUMMYFUNCTION("""COMPUTED_VALUE"""),"m.rempt@benedictpeax.com")</f>
        <v>m.rempt@benedictpeax.com</v>
      </c>
      <c r="C266" s="22" t="str">
        <f>IFERROR(__xludf.DUMMYFUNCTION("""COMPUTED_VALUE"""),"Benedict Peax")</f>
        <v>Benedict Peax</v>
      </c>
      <c r="D266" s="22" t="str">
        <f>IFERROR(__xludf.DUMMYFUNCTION("""COMPUTED_VALUE"""),"Strategic Funding Consultant")</f>
        <v>Strategic Funding Consultant</v>
      </c>
      <c r="E266" s="22" t="str">
        <f>IFERROR(__xludf.DUMMYFUNCTION("""COMPUTED_VALUE"""),"Connecting with the ecosystem")</f>
        <v>Connecting with the ecosystem</v>
      </c>
      <c r="F266" s="22" t="str">
        <f>IFERROR(__xludf.DUMMYFUNCTION("""COMPUTED_VALUE"""),"MedTech")</f>
        <v>MedTech</v>
      </c>
      <c r="H266" s="22" t="str">
        <f>VLOOKUP(B266,'new total list'!E:E,1,false)</f>
        <v>#N/A</v>
      </c>
      <c r="I266" s="22" t="str">
        <f>vlookup(A266,'new total list'!B:B,1,false)</f>
        <v>#N/A</v>
      </c>
      <c r="K266" s="14" t="str">
        <f t="shared" si="1"/>
        <v>Marked</v>
      </c>
      <c r="L266" s="7" t="s">
        <v>1481</v>
      </c>
    </row>
    <row r="267">
      <c r="A267" s="22" t="str">
        <f>IFERROR(__xludf.DUMMYFUNCTION("""COMPUTED_VALUE"""),"Ronald Loggers")</f>
        <v>Ronald Loggers</v>
      </c>
      <c r="B267" s="22" t="str">
        <f>IFERROR(__xludf.DUMMYFUNCTION("""COMPUTED_VALUE"""),"ronald@glassfrogventures.com")</f>
        <v>ronald@glassfrogventures.com</v>
      </c>
      <c r="C267" s="22" t="str">
        <f>IFERROR(__xludf.DUMMYFUNCTION("""COMPUTED_VALUE"""),"Glass Frog Ventures")</f>
        <v>Glass Frog Ventures</v>
      </c>
      <c r="D267" s="22" t="str">
        <f>IFERROR(__xludf.DUMMYFUNCTION("""COMPUTED_VALUE"""),"Director")</f>
        <v>Director</v>
      </c>
      <c r="E267" s="22" t="str">
        <f>IFERROR(__xludf.DUMMYFUNCTION("""COMPUTED_VALUE"""),"Interesting new investment opps")</f>
        <v>Interesting new investment opps</v>
      </c>
      <c r="F267" s="22" t="str">
        <f>IFERROR(__xludf.DUMMYFUNCTION("""COMPUTED_VALUE"""),"Energy")</f>
        <v>Energy</v>
      </c>
      <c r="H267" s="22" t="str">
        <f>VLOOKUP(B267,'new total list'!E:E,1,false)</f>
        <v>ronald@glassfrogventures.com</v>
      </c>
      <c r="I267" s="22" t="str">
        <f>vlookup(A267,'new total list'!B:B,1,false)</f>
        <v>Ronald Loggers</v>
      </c>
      <c r="K267" s="14" t="str">
        <f t="shared" si="1"/>
        <v/>
      </c>
    </row>
    <row r="268">
      <c r="A268" s="22" t="str">
        <f>IFERROR(__xludf.DUMMYFUNCTION("""COMPUTED_VALUE"""),"Benjamin Metz")</f>
        <v>Benjamin Metz</v>
      </c>
      <c r="B268" s="22" t="str">
        <f>IFERROR(__xludf.DUMMYFUNCTION("""COMPUTED_VALUE"""),"info@vydar.eu")</f>
        <v>info@vydar.eu</v>
      </c>
      <c r="C268" s="22" t="str">
        <f>IFERROR(__xludf.DUMMYFUNCTION("""COMPUTED_VALUE"""),"Tenzing Alpha")</f>
        <v>Tenzing Alpha</v>
      </c>
      <c r="D268" s="22" t="str">
        <f>IFERROR(__xludf.DUMMYFUNCTION("""COMPUTED_VALUE"""),"Partner")</f>
        <v>Partner</v>
      </c>
      <c r="E268" s="22" t="str">
        <f>IFERROR(__xludf.DUMMYFUNCTION("""COMPUTED_VALUE"""),"Contact with startups")</f>
        <v>Contact with startups</v>
      </c>
      <c r="F268" s="22" t="str">
        <f>IFERROR(__xludf.DUMMYFUNCTION("""COMPUTED_VALUE"""),"​Aerospace")</f>
        <v>​Aerospace</v>
      </c>
      <c r="H268" s="22" t="str">
        <f>VLOOKUP(B268,'new total list'!E:E,1,false)</f>
        <v>#N/A</v>
      </c>
      <c r="I268" s="22" t="str">
        <f>vlookup(A268,'new total list'!B:B,1,false)</f>
        <v>#N/A</v>
      </c>
      <c r="K268" s="14" t="str">
        <f t="shared" si="1"/>
        <v>Marked</v>
      </c>
      <c r="L268" s="7" t="s">
        <v>1368</v>
      </c>
    </row>
    <row r="269">
      <c r="A269" s="22" t="str">
        <f>IFERROR(__xludf.DUMMYFUNCTION("""COMPUTED_VALUE"""),"Naya nasr")</f>
        <v>Naya nasr</v>
      </c>
      <c r="B269" s="22" t="str">
        <f>IFERROR(__xludf.DUMMYFUNCTION("""COMPUTED_VALUE"""),"nnasr@tudelft.nl")</f>
        <v>nnasr@tudelft.nl</v>
      </c>
      <c r="C269" s="22" t="str">
        <f>IFERROR(__xludf.DUMMYFUNCTION("""COMPUTED_VALUE"""),"Tudelft")</f>
        <v>Tudelft</v>
      </c>
      <c r="D269" s="22" t="str">
        <f>IFERROR(__xludf.DUMMYFUNCTION("""COMPUTED_VALUE"""),"Student")</f>
        <v>Student</v>
      </c>
      <c r="E269" s="22" t="str">
        <f>IFERROR(__xludf.DUMMYFUNCTION("""COMPUTED_VALUE"""),"Networking")</f>
        <v>Networking</v>
      </c>
      <c r="F269" s="22" t="str">
        <f>IFERROR(__xludf.DUMMYFUNCTION("""COMPUTED_VALUE"""),"MedTech")</f>
        <v>MedTech</v>
      </c>
      <c r="H269" s="22" t="str">
        <f>VLOOKUP(B269,'new total list'!E:E,1,false)</f>
        <v>#N/A</v>
      </c>
      <c r="I269" s="22" t="str">
        <f>vlookup(A269,'new total list'!B:B,1,false)</f>
        <v>#N/A</v>
      </c>
      <c r="K269" s="14" t="str">
        <f t="shared" si="1"/>
        <v>Marked</v>
      </c>
      <c r="L269" s="7" t="s">
        <v>1477</v>
      </c>
    </row>
    <row r="270">
      <c r="A270" s="22" t="str">
        <f>IFERROR(__xludf.DUMMYFUNCTION("""COMPUTED_VALUE"""),"wim van der zande")</f>
        <v>wim van der zande</v>
      </c>
      <c r="B270" s="22" t="str">
        <f>IFERROR(__xludf.DUMMYFUNCTION("""COMPUTED_VALUE"""),"wpm.vanderzande@vcmholding.nl")</f>
        <v>wpm.vanderzande@vcmholding.nl</v>
      </c>
      <c r="C270" s="22" t="str">
        <f>IFERROR(__xludf.DUMMYFUNCTION("""COMPUTED_VALUE"""),"VCM Holding BV")</f>
        <v>VCM Holding BV</v>
      </c>
      <c r="D270" s="22" t="str">
        <f>IFERROR(__xludf.DUMMYFUNCTION("""COMPUTED_VALUE"""),"Owner/Investor")</f>
        <v>Owner/Investor</v>
      </c>
      <c r="E270" s="22" t="str">
        <f>IFERROR(__xludf.DUMMYFUNCTION("""COMPUTED_VALUE"""),"Select investing opportunities")</f>
        <v>Select investing opportunities</v>
      </c>
      <c r="F270" s="22" t="str">
        <f>IFERROR(__xludf.DUMMYFUNCTION("""COMPUTED_VALUE"""),"Energy")</f>
        <v>Energy</v>
      </c>
      <c r="H270" s="22" t="str">
        <f>VLOOKUP(B270,'new total list'!E:E,1,false)</f>
        <v>wpm.vanderzande@vcmholding.nl</v>
      </c>
      <c r="I270" s="22" t="str">
        <f>vlookup(A270,'new total list'!B:B,1,false)</f>
        <v>#N/A</v>
      </c>
      <c r="K270" s="14" t="str">
        <f t="shared" si="1"/>
        <v/>
      </c>
    </row>
    <row r="271">
      <c r="A271" s="22" t="str">
        <f>IFERROR(__xludf.DUMMYFUNCTION("""COMPUTED_VALUE"""),"roland zegger")</f>
        <v>roland zegger</v>
      </c>
      <c r="B271" s="22" t="str">
        <f>IFERROR(__xludf.DUMMYFUNCTION("""COMPUTED_VALUE"""),"roland.zegger@planet.nl")</f>
        <v>roland.zegger@planet.nl</v>
      </c>
      <c r="C271" s="22" t="str">
        <f>IFERROR(__xludf.DUMMYFUNCTION("""COMPUTED_VALUE"""),"romajoma bv")</f>
        <v>romajoma bv</v>
      </c>
      <c r="D271" s="22" t="str">
        <f>IFERROR(__xludf.DUMMYFUNCTION("""COMPUTED_VALUE"""),"Director")</f>
        <v>Director</v>
      </c>
      <c r="E271" s="22" t="str">
        <f>IFERROR(__xludf.DUMMYFUNCTION("""COMPUTED_VALUE"""),"networking")</f>
        <v>networking</v>
      </c>
      <c r="F271" s="22" t="str">
        <f>IFERROR(__xludf.DUMMYFUNCTION("""COMPUTED_VALUE"""),"MedTech")</f>
        <v>MedTech</v>
      </c>
      <c r="H271" s="22" t="str">
        <f>VLOOKUP(B271,'new total list'!E:E,1,false)</f>
        <v>roland.zegger@planet.nl</v>
      </c>
      <c r="I271" s="22" t="str">
        <f>vlookup(A271,'new total list'!B:B,1,false)</f>
        <v>Roland Zegger</v>
      </c>
      <c r="K271" s="14" t="str">
        <f t="shared" si="1"/>
        <v/>
      </c>
    </row>
    <row r="272">
      <c r="A272" s="22" t="str">
        <f>IFERROR(__xludf.DUMMYFUNCTION("""COMPUTED_VALUE"""),"Angelo Traas")</f>
        <v>Angelo Traas</v>
      </c>
      <c r="B272" s="22" t="str">
        <f>IFERROR(__xludf.DUMMYFUNCTION("""COMPUTED_VALUE"""),"angelo.traas@gmail.com")</f>
        <v>angelo.traas@gmail.com</v>
      </c>
      <c r="C272" s="22" t="str">
        <f>IFERROR(__xludf.DUMMYFUNCTION("""COMPUTED_VALUE"""),"ARTRA Holding")</f>
        <v>ARTRA Holding</v>
      </c>
      <c r="D272" s="22" t="str">
        <f>IFERROR(__xludf.DUMMYFUNCTION("""COMPUTED_VALUE"""),"Owner")</f>
        <v>Owner</v>
      </c>
      <c r="E272" s="22" t="str">
        <f>IFERROR(__xludf.DUMMYFUNCTION("""COMPUTED_VALUE"""),"Mentor / invest")</f>
        <v>Mentor / invest</v>
      </c>
      <c r="F272" s="22" t="str">
        <f>IFERROR(__xludf.DUMMYFUNCTION("""COMPUTED_VALUE"""),"Dual Use")</f>
        <v>Dual Use</v>
      </c>
      <c r="H272" s="22" t="str">
        <f>VLOOKUP(B272,'new total list'!E:E,1,false)</f>
        <v>angelo.traas@gmail.com</v>
      </c>
      <c r="I272" s="22" t="str">
        <f>vlookup(A272,'new total list'!B:B,1,false)</f>
        <v>Angelo Traas</v>
      </c>
      <c r="K272" s="14" t="str">
        <f t="shared" si="1"/>
        <v/>
      </c>
    </row>
    <row r="273">
      <c r="A273" s="22" t="str">
        <f>IFERROR(__xludf.DUMMYFUNCTION("""COMPUTED_VALUE"""),"Marcel Scherrenburg")</f>
        <v>Marcel Scherrenburg</v>
      </c>
      <c r="B273" s="22" t="str">
        <f>IFERROR(__xludf.DUMMYFUNCTION("""COMPUTED_VALUE"""),"marcel.scherrenburg@tdshepherd.com")</f>
        <v>marcel.scherrenburg@tdshepherd.com</v>
      </c>
      <c r="C273" s="22" t="str">
        <f>IFERROR(__xludf.DUMMYFUNCTION("""COMPUTED_VALUE"""),"TD Shepherd &amp; Co B.V.")</f>
        <v>TD Shepherd &amp; Co B.V.</v>
      </c>
      <c r="D273" s="22" t="str">
        <f>IFERROR(__xludf.DUMMYFUNCTION("""COMPUTED_VALUE"""),"senior associate director  National Security &amp; Dual-use technology")</f>
        <v>senior associate director  National Security &amp; Dual-use technology</v>
      </c>
      <c r="E273" s="22" t="str">
        <f>IFERROR(__xludf.DUMMYFUNCTION("""COMPUTED_VALUE"""),"explore opportunities for collaboration and potential investments")</f>
        <v>explore opportunities for collaboration and potential investments</v>
      </c>
      <c r="F273" s="22" t="str">
        <f>IFERROR(__xludf.DUMMYFUNCTION("""COMPUTED_VALUE"""),"Dual Use")</f>
        <v>Dual Use</v>
      </c>
      <c r="H273" s="22" t="str">
        <f>VLOOKUP(B273,'new total list'!E:E,1,false)</f>
        <v>#N/A</v>
      </c>
      <c r="I273" s="22" t="str">
        <f>vlookup(A273,'new total list'!B:B,1,false)</f>
        <v>#N/A</v>
      </c>
      <c r="K273" s="14" t="str">
        <f t="shared" si="1"/>
        <v>Marked</v>
      </c>
      <c r="L273" s="7" t="s">
        <v>1481</v>
      </c>
    </row>
    <row r="274">
      <c r="A274" s="22" t="str">
        <f>IFERROR(__xludf.DUMMYFUNCTION("""COMPUTED_VALUE"""),"Roderick Ruinard")</f>
        <v>Roderick Ruinard</v>
      </c>
      <c r="B274" s="22" t="str">
        <f>IFERROR(__xludf.DUMMYFUNCTION("""COMPUTED_VALUE"""),"roderick.ruinard@invesdor.com")</f>
        <v>roderick.ruinard@invesdor.com</v>
      </c>
      <c r="C274" s="22" t="str">
        <f>IFERROR(__xludf.DUMMYFUNCTION("""COMPUTED_VALUE"""),"Invesdor")</f>
        <v>Invesdor</v>
      </c>
      <c r="D274" s="22" t="str">
        <f>IFERROR(__xludf.DUMMYFUNCTION("""COMPUTED_VALUE"""),"Head of Growth")</f>
        <v>Head of Growth</v>
      </c>
      <c r="E274" s="22" t="str">
        <f>IFERROR(__xludf.DUMMYFUNCTION("""COMPUTED_VALUE"""),"Networking")</f>
        <v>Networking</v>
      </c>
      <c r="F274" s="22" t="str">
        <f>IFERROR(__xludf.DUMMYFUNCTION("""COMPUTED_VALUE"""),"Energy")</f>
        <v>Energy</v>
      </c>
      <c r="H274" s="22" t="str">
        <f>VLOOKUP(B274,'new total list'!E:E,1,false)</f>
        <v>roderick.ruinard@invesdor.com</v>
      </c>
      <c r="I274" s="22" t="str">
        <f>vlookup(A274,'new total list'!B:B,1,false)</f>
        <v>Roderick Ruinard</v>
      </c>
      <c r="K274" s="14" t="str">
        <f t="shared" si="1"/>
        <v/>
      </c>
    </row>
    <row r="275">
      <c r="A275" s="22" t="str">
        <f>IFERROR(__xludf.DUMMYFUNCTION("""COMPUTED_VALUE"""),"John van Nijnatten")</f>
        <v>John van Nijnatten</v>
      </c>
      <c r="B275" s="22" t="str">
        <f>IFERROR(__xludf.DUMMYFUNCTION("""COMPUTED_VALUE"""),"j.van.nijnatten@flywheel-impact.com")</f>
        <v>j.van.nijnatten@flywheel-impact.com</v>
      </c>
      <c r="C275" s="22" t="str">
        <f>IFERROR(__xludf.DUMMYFUNCTION("""COMPUTED_VALUE"""),"Flywheel Impact")</f>
        <v>Flywheel Impact</v>
      </c>
      <c r="D275" s="22" t="str">
        <f>IFERROR(__xludf.DUMMYFUNCTION("""COMPUTED_VALUE"""),"President")</f>
        <v>President</v>
      </c>
      <c r="E275" s="22" t="str">
        <f>IFERROR(__xludf.DUMMYFUNCTION("""COMPUTED_VALUE"""),"ScaleUp info")</f>
        <v>ScaleUp info</v>
      </c>
      <c r="F275" s="22" t="str">
        <f>IFERROR(__xludf.DUMMYFUNCTION("""COMPUTED_VALUE"""),"Energy")</f>
        <v>Energy</v>
      </c>
      <c r="H275" s="22" t="str">
        <f>VLOOKUP(B275,'new total list'!E:E,1,false)</f>
        <v>j.van.nijnatten@flywheel-impact.com</v>
      </c>
      <c r="I275" s="22" t="str">
        <f>vlookup(A275,'new total list'!B:B,1,false)</f>
        <v>John van Nijnatten</v>
      </c>
      <c r="K275" s="14" t="str">
        <f t="shared" si="1"/>
        <v/>
      </c>
    </row>
    <row r="276">
      <c r="A276" s="22" t="str">
        <f>IFERROR(__xludf.DUMMYFUNCTION("""COMPUTED_VALUE"""),"Rianne van de Sande")</f>
        <v>Rianne van de Sande</v>
      </c>
      <c r="B276" s="22" t="str">
        <f>IFERROR(__xludf.DUMMYFUNCTION("""COMPUTED_VALUE"""),"rianne.van.de.sande@nl.ey.com")</f>
        <v>rianne.van.de.sande@nl.ey.com</v>
      </c>
      <c r="C276" s="22" t="str">
        <f>IFERROR(__xludf.DUMMYFUNCTION("""COMPUTED_VALUE"""),"EY")</f>
        <v>EY</v>
      </c>
      <c r="D276" s="22" t="str">
        <f>IFERROR(__xludf.DUMMYFUNCTION("""COMPUTED_VALUE"""),"Partner")</f>
        <v>Partner</v>
      </c>
      <c r="E276" s="22" t="str">
        <f>IFERROR(__xludf.DUMMYFUNCTION("""COMPUTED_VALUE"""),"Networking")</f>
        <v>Networking</v>
      </c>
      <c r="F276" s="22" t="str">
        <f>IFERROR(__xludf.DUMMYFUNCTION("""COMPUTED_VALUE"""),"Dual Use")</f>
        <v>Dual Use</v>
      </c>
      <c r="H276" s="22" t="str">
        <f>VLOOKUP(B276,'new total list'!E:E,1,false)</f>
        <v>rianne.van.de.sande@nl.ey.com</v>
      </c>
      <c r="I276" s="22" t="str">
        <f>vlookup(A276,'new total list'!B:B,1,false)</f>
        <v>Rianne van de Sande</v>
      </c>
      <c r="K276" s="14" t="str">
        <f t="shared" si="1"/>
        <v/>
      </c>
    </row>
    <row r="277">
      <c r="A277" s="22" t="str">
        <f>IFERROR(__xludf.DUMMYFUNCTION("""COMPUTED_VALUE"""),"Joost Poort")</f>
        <v>Joost Poort</v>
      </c>
      <c r="B277" s="22" t="str">
        <f>IFERROR(__xludf.DUMMYFUNCTION("""COMPUTED_VALUE"""),"j.poort@tudelft.nl")</f>
        <v>j.poort@tudelft.nl</v>
      </c>
      <c r="C277" s="22" t="str">
        <f>IFERROR(__xludf.DUMMYFUNCTION("""COMPUTED_VALUE"""),"TU Delft | Mondai House of AI")</f>
        <v>TU Delft | Mondai House of AI</v>
      </c>
      <c r="D277" s="22" t="str">
        <f>IFERROR(__xludf.DUMMYFUNCTION("""COMPUTED_VALUE"""),"Man. Director")</f>
        <v>Man. Director</v>
      </c>
      <c r="E277" s="22" t="str">
        <f>IFERROR(__xludf.DUMMYFUNCTION("""COMPUTED_VALUE"""),"Insight")</f>
        <v>Insight</v>
      </c>
      <c r="F277" s="22" t="str">
        <f>IFERROR(__xludf.DUMMYFUNCTION("""COMPUTED_VALUE"""),"Dual Use")</f>
        <v>Dual Use</v>
      </c>
      <c r="H277" s="22" t="str">
        <f>VLOOKUP(B277,'new total list'!E:E,1,false)</f>
        <v>j.poort@tudelft.nl</v>
      </c>
      <c r="I277" s="22" t="str">
        <f>vlookup(A277,'new total list'!B:B,1,false)</f>
        <v>Joost Poort</v>
      </c>
      <c r="K277" s="14" t="str">
        <f t="shared" si="1"/>
        <v/>
      </c>
    </row>
    <row r="278">
      <c r="A278" s="22" t="str">
        <f>IFERROR(__xludf.DUMMYFUNCTION("""COMPUTED_VALUE"""),"Job Nijs")</f>
        <v>Job Nijs</v>
      </c>
      <c r="B278" s="22" t="str">
        <f>IFERROR(__xludf.DUMMYFUNCTION("""COMPUTED_VALUE"""),"jobnijs@gmail.com")</f>
        <v>jobnijs@gmail.com</v>
      </c>
      <c r="C278" s="22" t="str">
        <f>IFERROR(__xludf.DUMMYFUNCTION("""COMPUTED_VALUE"""),"QDNL")</f>
        <v>QDNL</v>
      </c>
      <c r="D278" s="22" t="str">
        <f>IFERROR(__xludf.DUMMYFUNCTION("""COMPUTED_VALUE"""),"Mission Lead")</f>
        <v>Mission Lead</v>
      </c>
      <c r="E278" s="22" t="str">
        <f>IFERROR(__xludf.DUMMYFUNCTION("""COMPUTED_VALUE"""),"Reconnect")</f>
        <v>Reconnect</v>
      </c>
      <c r="F278" s="22" t="str">
        <f>IFERROR(__xludf.DUMMYFUNCTION("""COMPUTED_VALUE"""),"​Future of Compute")</f>
        <v>​Future of Compute</v>
      </c>
      <c r="H278" s="22" t="str">
        <f>VLOOKUP(B278,'new total list'!E:E,1,false)</f>
        <v>jobnijs@gmail.com</v>
      </c>
      <c r="I278" s="22" t="str">
        <f>vlookup(A278,'new total list'!B:B,1,false)</f>
        <v>Job Nijs</v>
      </c>
      <c r="K278" s="14" t="str">
        <f t="shared" si="1"/>
        <v/>
      </c>
    </row>
    <row r="279">
      <c r="A279" s="22" t="str">
        <f>IFERROR(__xludf.DUMMYFUNCTION("""COMPUTED_VALUE"""),"Edward van der Hout")</f>
        <v>Edward van der Hout</v>
      </c>
      <c r="B279" s="22" t="str">
        <f>IFERROR(__xludf.DUMMYFUNCTION("""COMPUTED_VALUE"""),"edward@rubio.vc")</f>
        <v>edward@rubio.vc</v>
      </c>
      <c r="C279" s="22" t="str">
        <f>IFERROR(__xludf.DUMMYFUNCTION("""COMPUTED_VALUE"""),"Rubio Impact Ventures")</f>
        <v>Rubio Impact Ventures</v>
      </c>
      <c r="D279" s="22" t="str">
        <f>IFERROR(__xludf.DUMMYFUNCTION("""COMPUTED_VALUE"""),"Investment Manager")</f>
        <v>Investment Manager</v>
      </c>
      <c r="E279" s="22" t="str">
        <f>IFERROR(__xludf.DUMMYFUNCTION("""COMPUTED_VALUE"""),"Meeting founders and hearing about exciting new startups")</f>
        <v>Meeting founders and hearing about exciting new startups</v>
      </c>
      <c r="F279" s="22" t="str">
        <f>IFERROR(__xludf.DUMMYFUNCTION("""COMPUTED_VALUE"""),"Energy")</f>
        <v>Energy</v>
      </c>
      <c r="H279" s="22" t="str">
        <f>VLOOKUP(B279,'new total list'!E:E,1,false)</f>
        <v>#N/A</v>
      </c>
      <c r="I279" s="22" t="str">
        <f>vlookup(A279,'new total list'!B:B,1,false)</f>
        <v>#N/A</v>
      </c>
      <c r="K279" s="14" t="str">
        <f t="shared" si="1"/>
        <v>Marked</v>
      </c>
      <c r="L279" s="7" t="s">
        <v>1481</v>
      </c>
    </row>
    <row r="280">
      <c r="A280" s="22" t="str">
        <f>IFERROR(__xludf.DUMMYFUNCTION("""COMPUTED_VALUE"""),"Mackenzie Cool")</f>
        <v>Mackenzie Cool</v>
      </c>
      <c r="B280" s="22" t="str">
        <f>IFERROR(__xludf.DUMMYFUNCTION("""COMPUTED_VALUE"""),"mcool@rmi.org")</f>
        <v>mcool@rmi.org</v>
      </c>
      <c r="C280" s="22" t="str">
        <f>IFERROR(__xludf.DUMMYFUNCTION("""COMPUTED_VALUE"""),"Third Derivative")</f>
        <v>Third Derivative</v>
      </c>
      <c r="D280" s="22" t="str">
        <f>IFERROR(__xludf.DUMMYFUNCTION("""COMPUTED_VALUE"""),"Industrial Innovation Lead")</f>
        <v>Industrial Innovation Lead</v>
      </c>
      <c r="E280" s="22" t="str">
        <f>IFERROR(__xludf.DUMMYFUNCTION("""COMPUTED_VALUE"""),"Meet startups and other ecosystem folks")</f>
        <v>Meet startups and other ecosystem folks</v>
      </c>
      <c r="F280" s="22" t="str">
        <f>IFERROR(__xludf.DUMMYFUNCTION("""COMPUTED_VALUE"""),"Energy")</f>
        <v>Energy</v>
      </c>
      <c r="H280" s="22" t="str">
        <f>VLOOKUP(B280,'new total list'!E:E,1,false)</f>
        <v>#N/A</v>
      </c>
      <c r="I280" s="22" t="str">
        <f>vlookup(A280,'new total list'!B:B,1,false)</f>
        <v>#N/A</v>
      </c>
      <c r="K280" s="14" t="str">
        <f t="shared" si="1"/>
        <v>Marked</v>
      </c>
      <c r="L280" s="7" t="s">
        <v>1522</v>
      </c>
    </row>
    <row r="281">
      <c r="A281" s="22" t="str">
        <f>IFERROR(__xludf.DUMMYFUNCTION("""COMPUTED_VALUE"""),"Maxim Sachs")</f>
        <v>Maxim Sachs</v>
      </c>
      <c r="B281" s="22" t="str">
        <f>IFERROR(__xludf.DUMMYFUNCTION("""COMPUTED_VALUE"""),"maximsachs@gmail.com")</f>
        <v>maximsachs@gmail.com</v>
      </c>
      <c r="C281" s="22" t="str">
        <f>IFERROR(__xludf.DUMMYFUNCTION("""COMPUTED_VALUE"""),"Arkintel")</f>
        <v>Arkintel</v>
      </c>
      <c r="D281" s="22" t="str">
        <f>IFERROR(__xludf.DUMMYFUNCTION("""COMPUTED_VALUE"""),"Founder")</f>
        <v>Founder</v>
      </c>
      <c r="E281" s="22" t="str">
        <f>IFERROR(__xludf.DUMMYFUNCTION("""COMPUTED_VALUE"""),"Proudly present our hard work and possibly meet new customers")</f>
        <v>Proudly present our hard work and possibly meet new customers</v>
      </c>
      <c r="F281" s="22" t="str">
        <f>IFERROR(__xludf.DUMMYFUNCTION("""COMPUTED_VALUE"""),"Cyber")</f>
        <v>Cyber</v>
      </c>
      <c r="H281" s="22" t="str">
        <f>VLOOKUP(B281,'new total list'!E:E,1,false)</f>
        <v>#N/A</v>
      </c>
      <c r="I281" s="22" t="str">
        <f>vlookup(A281,'new total list'!B:B,1,false)</f>
        <v>Maxim Sachs</v>
      </c>
      <c r="K281" s="14" t="str">
        <f t="shared" si="1"/>
        <v/>
      </c>
    </row>
    <row r="282">
      <c r="A282" s="22" t="str">
        <f>IFERROR(__xludf.DUMMYFUNCTION("""COMPUTED_VALUE"""),"Dhruv Sharma")</f>
        <v>Dhruv Sharma</v>
      </c>
      <c r="B282" s="22" t="str">
        <f>IFERROR(__xludf.DUMMYFUNCTION("""COMPUTED_VALUE"""),"dhruv@arkmon.com")</f>
        <v>dhruv@arkmon.com</v>
      </c>
      <c r="C282" s="22" t="str">
        <f>IFERROR(__xludf.DUMMYFUNCTION("""COMPUTED_VALUE"""),"Arkintel")</f>
        <v>Arkintel</v>
      </c>
      <c r="D282" s="22" t="str">
        <f>IFERROR(__xludf.DUMMYFUNCTION("""COMPUTED_VALUE"""),"Developer")</f>
        <v>Developer</v>
      </c>
      <c r="E282" s="22" t="str">
        <f>IFERROR(__xludf.DUMMYFUNCTION("""COMPUTED_VALUE"""),"Meet some interesting people")</f>
        <v>Meet some interesting people</v>
      </c>
      <c r="F282" s="22" t="str">
        <f>IFERROR(__xludf.DUMMYFUNCTION("""COMPUTED_VALUE"""),"Cyber")</f>
        <v>Cyber</v>
      </c>
      <c r="H282" s="22" t="str">
        <f>VLOOKUP(B282,'new total list'!E:E,1,false)</f>
        <v>#N/A</v>
      </c>
      <c r="I282" s="22" t="str">
        <f>vlookup(A282,'new total list'!B:B,1,false)</f>
        <v>#N/A</v>
      </c>
      <c r="K282" s="14" t="str">
        <f t="shared" si="1"/>
        <v>Marked</v>
      </c>
      <c r="L282" s="7" t="s">
        <v>925</v>
      </c>
    </row>
    <row r="283">
      <c r="A283" s="22" t="str">
        <f>IFERROR(__xludf.DUMMYFUNCTION("""COMPUTED_VALUE"""),"Marcel Jutte")</f>
        <v>Marcel Jutte</v>
      </c>
      <c r="B283" s="22" t="str">
        <f>IFERROR(__xludf.DUMMYFUNCTION("""COMPUTED_VALUE"""),"marcel@fomaco.nl")</f>
        <v>marcel@fomaco.nl</v>
      </c>
      <c r="C283" s="22" t="str">
        <f>IFERROR(__xludf.DUMMYFUNCTION("""COMPUTED_VALUE"""),"Fomaco Invest B.V.")</f>
        <v>Fomaco Invest B.V.</v>
      </c>
      <c r="D283" s="22" t="str">
        <f>IFERROR(__xludf.DUMMYFUNCTION("""COMPUTED_VALUE"""),"CEO / Owner")</f>
        <v>CEO / Owner</v>
      </c>
      <c r="E283" s="22" t="str">
        <f>IFERROR(__xludf.DUMMYFUNCTION("""COMPUTED_VALUE"""),"Ideas")</f>
        <v>Ideas</v>
      </c>
      <c r="F283" s="22" t="str">
        <f>IFERROR(__xludf.DUMMYFUNCTION("""COMPUTED_VALUE"""),"Cyber")</f>
        <v>Cyber</v>
      </c>
      <c r="H283" s="22" t="str">
        <f>VLOOKUP(B283,'new total list'!E:E,1,false)</f>
        <v>marcel@fomaco.nl</v>
      </c>
      <c r="I283" s="22" t="str">
        <f>vlookup(A283,'new total list'!B:B,1,false)</f>
        <v>Marcel Jutte</v>
      </c>
      <c r="K283" s="14" t="str">
        <f t="shared" si="1"/>
        <v/>
      </c>
    </row>
    <row r="284">
      <c r="A284" s="22" t="str">
        <f>IFERROR(__xludf.DUMMYFUNCTION("""COMPUTED_VALUE"""),"Elia Jabbour")</f>
        <v>Elia Jabbour</v>
      </c>
      <c r="B284" s="22" t="str">
        <f>IFERROR(__xludf.DUMMYFUNCTION("""COMPUTED_VALUE"""),"ejabbour@tudelft.nl")</f>
        <v>ejabbour@tudelft.nl</v>
      </c>
      <c r="C284" s="22" t="str">
        <f>IFERROR(__xludf.DUMMYFUNCTION("""COMPUTED_VALUE"""),"School")</f>
        <v>School</v>
      </c>
      <c r="D284" s="22" t="str">
        <f>IFERROR(__xludf.DUMMYFUNCTION("""COMPUTED_VALUE"""),"Study")</f>
        <v>Study</v>
      </c>
      <c r="E284" s="22" t="str">
        <f>IFERROR(__xludf.DUMMYFUNCTION("""COMPUTED_VALUE"""),"To explore the current state of technology and connect with startups and founders")</f>
        <v>To explore the current state of technology and connect with startups and founders</v>
      </c>
      <c r="F284" s="22" t="str">
        <f>IFERROR(__xludf.DUMMYFUNCTION("""COMPUTED_VALUE"""),"​Aerospace")</f>
        <v>​Aerospace</v>
      </c>
      <c r="H284" s="22" t="str">
        <f>VLOOKUP(B284,'new total list'!E:E,1,false)</f>
        <v>#N/A</v>
      </c>
      <c r="I284" s="22" t="str">
        <f>vlookup(A284,'new total list'!B:B,1,false)</f>
        <v>#N/A</v>
      </c>
      <c r="K284" s="14" t="str">
        <f t="shared" si="1"/>
        <v>Marked</v>
      </c>
      <c r="L284" s="7" t="s">
        <v>925</v>
      </c>
    </row>
    <row r="285">
      <c r="A285" s="22" t="str">
        <f>IFERROR(__xludf.DUMMYFUNCTION("""COMPUTED_VALUE"""),"Yaella Essed")</f>
        <v>Yaella Essed</v>
      </c>
      <c r="B285" s="22" t="str">
        <f>IFERROR(__xludf.DUMMYFUNCTION("""COMPUTED_VALUE"""),"yaella.essed@innovationquarter.nl")</f>
        <v>yaella.essed@innovationquarter.nl</v>
      </c>
      <c r="C285" s="22" t="str">
        <f>IFERROR(__xludf.DUMMYFUNCTION("""COMPUTED_VALUE"""),"InnovationQuarter")</f>
        <v>InnovationQuarter</v>
      </c>
      <c r="D285" s="22" t="str">
        <f>IFERROR(__xludf.DUMMYFUNCTION("""COMPUTED_VALUE"""),"Business developer Life Science and Health")</f>
        <v>Business developer Life Science and Health</v>
      </c>
      <c r="E285" s="22" t="str">
        <f>IFERROR(__xludf.DUMMYFUNCTION("""COMPUTED_VALUE"""),"Learn more about the start-ups")</f>
        <v>Learn more about the start-ups</v>
      </c>
      <c r="F285" s="22" t="str">
        <f>IFERROR(__xludf.DUMMYFUNCTION("""COMPUTED_VALUE"""),"MedTech")</f>
        <v>MedTech</v>
      </c>
      <c r="H285" s="22" t="str">
        <f>VLOOKUP(B285,'new total list'!E:E,1,false)</f>
        <v>yaella.essed@innovationquarter.nl</v>
      </c>
      <c r="I285" s="22" t="str">
        <f>vlookup(A285,'new total list'!B:B,1,false)</f>
        <v>Yaella Essed</v>
      </c>
      <c r="K285" s="14" t="str">
        <f t="shared" si="1"/>
        <v/>
      </c>
    </row>
    <row r="286">
      <c r="A286" s="22" t="str">
        <f>IFERROR(__xludf.DUMMYFUNCTION("""COMPUTED_VALUE"""),"Thomas Hannes")</f>
        <v>Thomas Hannes</v>
      </c>
      <c r="B286" s="22" t="str">
        <f>IFERROR(__xludf.DUMMYFUNCTION("""COMPUTED_VALUE"""),"thomas@lumolabs.io")</f>
        <v>thomas@lumolabs.io</v>
      </c>
      <c r="C286" s="22" t="str">
        <f>IFERROR(__xludf.DUMMYFUNCTION("""COMPUTED_VALUE"""),"LUMO Labs")</f>
        <v>LUMO Labs</v>
      </c>
      <c r="D286" s="22" t="str">
        <f>IFERROR(__xludf.DUMMYFUNCTION("""COMPUTED_VALUE"""),"Partner")</f>
        <v>Partner</v>
      </c>
      <c r="E286" s="22" t="str">
        <f>IFERROR(__xludf.DUMMYFUNCTION("""COMPUTED_VALUE"""),"I hope to meet interesting digital deeptech companies.")</f>
        <v>I hope to meet interesting digital deeptech companies.</v>
      </c>
      <c r="F286" s="22" t="str">
        <f>IFERROR(__xludf.DUMMYFUNCTION("""COMPUTED_VALUE"""),"​Future of Compute")</f>
        <v>​Future of Compute</v>
      </c>
      <c r="H286" s="22" t="str">
        <f>VLOOKUP(B286,'new total list'!E:E,1,false)</f>
        <v>#N/A</v>
      </c>
      <c r="I286" s="22" t="str">
        <f>vlookup(A286,'new total list'!B:B,1,false)</f>
        <v>#N/A</v>
      </c>
      <c r="K286" s="14" t="str">
        <f t="shared" si="1"/>
        <v>Marked</v>
      </c>
    </row>
    <row r="287">
      <c r="A287" s="22" t="str">
        <f>IFERROR(__xludf.DUMMYFUNCTION("""COMPUTED_VALUE"""),"Paul Hendrikx")</f>
        <v>Paul Hendrikx</v>
      </c>
      <c r="B287" s="22" t="str">
        <f>IFERROR(__xludf.DUMMYFUNCTION("""COMPUTED_VALUE"""),"paul@mangoproductdesign.com")</f>
        <v>paul@mangoproductdesign.com</v>
      </c>
      <c r="C287" s="22" t="str">
        <f>IFERROR(__xludf.DUMMYFUNCTION("""COMPUTED_VALUE"""),"ManGo Product Design")</f>
        <v>ManGo Product Design</v>
      </c>
      <c r="D287" s="22" t="str">
        <f>IFERROR(__xludf.DUMMYFUNCTION("""COMPUTED_VALUE"""),"CEO")</f>
        <v>CEO</v>
      </c>
      <c r="E287" s="22" t="str">
        <f>IFERROR(__xludf.DUMMYFUNCTION("""COMPUTED_VALUE"""),"Meet interesting startups and founders")</f>
        <v>Meet interesting startups and founders</v>
      </c>
      <c r="F287" s="22" t="str">
        <f>IFERROR(__xludf.DUMMYFUNCTION("""COMPUTED_VALUE"""),"Energy")</f>
        <v>Energy</v>
      </c>
      <c r="H287" s="22" t="str">
        <f>VLOOKUP(B287,'new total list'!E:E,1,false)</f>
        <v>#N/A</v>
      </c>
      <c r="I287" s="22" t="str">
        <f>vlookup(A287,'new total list'!B:B,1,false)</f>
        <v>#N/A</v>
      </c>
      <c r="K287" s="14" t="str">
        <f t="shared" si="1"/>
        <v>Marked</v>
      </c>
      <c r="L287" s="7" t="s">
        <v>1522</v>
      </c>
    </row>
    <row r="288">
      <c r="A288" s="22" t="str">
        <f>IFERROR(__xludf.DUMMYFUNCTION("""COMPUTED_VALUE"""),"Nicolas Kramer")</f>
        <v>Nicolas Kramer</v>
      </c>
      <c r="B288" s="22" t="str">
        <f>IFERROR(__xludf.DUMMYFUNCTION("""COMPUTED_VALUE"""),"nicolas@sporebi.com")</f>
        <v>nicolas@sporebi.com</v>
      </c>
      <c r="C288" s="45" t="str">
        <f>IFERROR(__xludf.DUMMYFUNCTION("""COMPUTED_VALUE"""),"Spore.BI")</f>
        <v>Spore.BI</v>
      </c>
      <c r="D288" s="22" t="str">
        <f>IFERROR(__xludf.DUMMYFUNCTION("""COMPUTED_VALUE"""),"Director")</f>
        <v>Director</v>
      </c>
      <c r="E288" s="22" t="str">
        <f>IFERROR(__xludf.DUMMYFUNCTION("""COMPUTED_VALUE"""),"Connection and Innovation")</f>
        <v>Connection and Innovation</v>
      </c>
      <c r="F288" s="22" t="str">
        <f>IFERROR(__xludf.DUMMYFUNCTION("""COMPUTED_VALUE"""),"Cyber")</f>
        <v>Cyber</v>
      </c>
      <c r="H288" s="22" t="str">
        <f>VLOOKUP(B288,'new total list'!E:E,1,false)</f>
        <v>nicolas@sporebi.com</v>
      </c>
      <c r="I288" s="22" t="str">
        <f>vlookup(A288,'new total list'!B:B,1,false)</f>
        <v>Nicolas Kramer</v>
      </c>
      <c r="K288" s="14" t="str">
        <f t="shared" si="1"/>
        <v/>
      </c>
    </row>
    <row r="289">
      <c r="A289" s="22" t="str">
        <f>IFERROR(__xludf.DUMMYFUNCTION("""COMPUTED_VALUE"""),"Geert-Jan Houben")</f>
        <v>Geert-Jan Houben</v>
      </c>
      <c r="B289" s="22" t="str">
        <f>IFERROR(__xludf.DUMMYFUNCTION("""COMPUTED_VALUE"""),"ghouben@tudelft.nl")</f>
        <v>ghouben@tudelft.nl</v>
      </c>
      <c r="C289" s="22" t="str">
        <f>IFERROR(__xludf.DUMMYFUNCTION("""COMPUTED_VALUE"""),"TU Delft")</f>
        <v>TU Delft</v>
      </c>
      <c r="D289" s="22" t="str">
        <f>IFERROR(__xludf.DUMMYFUNCTION("""COMPUTED_VALUE"""),"pro vice rector AI")</f>
        <v>pro vice rector AI</v>
      </c>
      <c r="E289" s="22" t="str">
        <f>IFERROR(__xludf.DUMMYFUNCTION("""COMPUTED_VALUE"""),"helping talent forward")</f>
        <v>helping talent forward</v>
      </c>
      <c r="F289" s="22" t="str">
        <f>IFERROR(__xludf.DUMMYFUNCTION("""COMPUTED_VALUE"""),"​Future of Compute")</f>
        <v>​Future of Compute</v>
      </c>
      <c r="H289" s="22" t="str">
        <f>VLOOKUP(B289,'new total list'!E:E,1,false)</f>
        <v>#N/A</v>
      </c>
      <c r="I289" s="22" t="str">
        <f>vlookup(A289,'new total list'!B:B,1,false)</f>
        <v>Geert-Jan Houben</v>
      </c>
      <c r="K289" s="14" t="str">
        <f t="shared" si="1"/>
        <v/>
      </c>
    </row>
    <row r="290">
      <c r="A290" s="22" t="str">
        <f>IFERROR(__xludf.DUMMYFUNCTION("""COMPUTED_VALUE"""),"Teake Bulstra")</f>
        <v>Teake Bulstra</v>
      </c>
      <c r="B290" s="22" t="str">
        <f>IFERROR(__xludf.DUMMYFUNCTION("""COMPUTED_VALUE"""),"teake@baatmedical.com")</f>
        <v>teake@baatmedical.com</v>
      </c>
      <c r="C290" s="45" t="str">
        <f>IFERROR(__xludf.DUMMYFUNCTION("""COMPUTED_VALUE"""),"www.baatmedical.com")</f>
        <v>www.baatmedical.com</v>
      </c>
      <c r="D290" s="22" t="str">
        <f>IFERROR(__xludf.DUMMYFUNCTION("""COMPUTED_VALUE"""),"New Business Developer")</f>
        <v>New Business Developer</v>
      </c>
      <c r="E290" s="22" t="str">
        <f>IFERROR(__xludf.DUMMYFUNCTION("""COMPUTED_VALUE"""),"meet innovators; add value with our knowledge and experience on global medical device development")</f>
        <v>meet innovators; add value with our knowledge and experience on global medical device development</v>
      </c>
      <c r="F290" s="22" t="str">
        <f>IFERROR(__xludf.DUMMYFUNCTION("""COMPUTED_VALUE"""),"manufacturing")</f>
        <v>manufacturing</v>
      </c>
      <c r="H290" s="22" t="str">
        <f>VLOOKUP(B290,'new total list'!E:E,1,false)</f>
        <v>#N/A</v>
      </c>
      <c r="I290" s="22" t="str">
        <f>vlookup(A290,'new total list'!B:B,1,false)</f>
        <v>#N/A</v>
      </c>
      <c r="K290" s="14" t="str">
        <f t="shared" si="1"/>
        <v>Marked</v>
      </c>
      <c r="L290" s="7" t="s">
        <v>1522</v>
      </c>
    </row>
    <row r="291">
      <c r="A291" s="22" t="str">
        <f>IFERROR(__xludf.DUMMYFUNCTION("""COMPUTED_VALUE"""),"Stijn Philips")</f>
        <v>Stijn Philips</v>
      </c>
      <c r="B291" s="22" t="str">
        <f>IFERROR(__xludf.DUMMYFUNCTION("""COMPUTED_VALUE"""),"stijn.philips@innovationquarter.nl")</f>
        <v>stijn.philips@innovationquarter.nl</v>
      </c>
      <c r="C291" s="22" t="str">
        <f>IFERROR(__xludf.DUMMYFUNCTION("""COMPUTED_VALUE"""),"UNIIQ")</f>
        <v>UNIIQ</v>
      </c>
      <c r="D291" s="22" t="str">
        <f>IFERROR(__xludf.DUMMYFUNCTION("""COMPUTED_VALUE"""),"Investment Manager")</f>
        <v>Investment Manager</v>
      </c>
      <c r="E291" s="22" t="str">
        <f>IFERROR(__xludf.DUMMYFUNCTION("""COMPUTED_VALUE"""),"Meet interesting investible start-ups")</f>
        <v>Meet interesting investible start-ups</v>
      </c>
      <c r="F291" s="22" t="str">
        <f>IFERROR(__xludf.DUMMYFUNCTION("""COMPUTED_VALUE"""),"MedTech")</f>
        <v>MedTech</v>
      </c>
      <c r="H291" s="22" t="str">
        <f>VLOOKUP(B291,'new total list'!E:E,1,false)</f>
        <v>#N/A</v>
      </c>
      <c r="I291" s="22" t="str">
        <f>vlookup(A291,'new total list'!B:B,1,false)</f>
        <v>#N/A</v>
      </c>
      <c r="K291" s="14" t="str">
        <f t="shared" si="1"/>
        <v>Marked</v>
      </c>
      <c r="L291" s="7" t="s">
        <v>925</v>
      </c>
    </row>
    <row r="292">
      <c r="A292" s="22" t="str">
        <f>IFERROR(__xludf.DUMMYFUNCTION("""COMPUTED_VALUE"""),"Wouter Devos")</f>
        <v>Wouter Devos</v>
      </c>
      <c r="B292" s="22" t="str">
        <f>IFERROR(__xludf.DUMMYFUNCTION("""COMPUTED_VALUE"""),"wouter.devos11@gmail.com")</f>
        <v>wouter.devos11@gmail.com</v>
      </c>
      <c r="C292" s="22" t="str">
        <f>IFERROR(__xludf.DUMMYFUNCTION("""COMPUTED_VALUE"""),"Innovation Quarter")</f>
        <v>Innovation Quarter</v>
      </c>
      <c r="D292" s="22" t="str">
        <f>IFERROR(__xludf.DUMMYFUNCTION("""COMPUTED_VALUE"""),"Investment Analyst")</f>
        <v>Investment Analyst</v>
      </c>
      <c r="E292" s="22" t="str">
        <f>IFERROR(__xludf.DUMMYFUNCTION("""COMPUTED_VALUE"""),"Finding interesting companies that could be potential leads for our fund.")</f>
        <v>Finding interesting companies that could be potential leads for our fund.</v>
      </c>
      <c r="F292" s="22" t="str">
        <f>IFERROR(__xludf.DUMMYFUNCTION("""COMPUTED_VALUE"""),"​Future of Compute")</f>
        <v>​Future of Compute</v>
      </c>
      <c r="H292" s="22" t="str">
        <f>VLOOKUP(B292,'new total list'!E:E,1,false)</f>
        <v>#N/A</v>
      </c>
      <c r="I292" s="22" t="str">
        <f>vlookup(A292,'new total list'!B:B,1,false)</f>
        <v>#N/A</v>
      </c>
      <c r="K292" s="14" t="str">
        <f t="shared" si="1"/>
        <v>Marked</v>
      </c>
      <c r="L292" s="7" t="s">
        <v>925</v>
      </c>
    </row>
    <row r="293">
      <c r="A293" s="22" t="str">
        <f>IFERROR(__xludf.DUMMYFUNCTION("""COMPUTED_VALUE"""),"Viktor")</f>
        <v>Viktor</v>
      </c>
      <c r="B293" s="22" t="str">
        <f>IFERROR(__xludf.DUMMYFUNCTION("""COMPUTED_VALUE"""),"viktor_jansen@hotmail.com")</f>
        <v>viktor_jansen@hotmail.com</v>
      </c>
      <c r="C293" s="22" t="str">
        <f>IFERROR(__xludf.DUMMYFUNCTION("""COMPUTED_VALUE"""),"VCM Holding BV")</f>
        <v>VCM Holding BV</v>
      </c>
      <c r="D293" s="22" t="str">
        <f>IFERROR(__xludf.DUMMYFUNCTION("""COMPUTED_VALUE"""),"Business analist")</f>
        <v>Business analist</v>
      </c>
      <c r="E293" s="22" t="str">
        <f>IFERROR(__xludf.DUMMYFUNCTION("""COMPUTED_VALUE"""),"Select investing opportunities")</f>
        <v>Select investing opportunities</v>
      </c>
      <c r="F293" s="22" t="str">
        <f>IFERROR(__xludf.DUMMYFUNCTION("""COMPUTED_VALUE"""),"Energy")</f>
        <v>Energy</v>
      </c>
      <c r="H293" s="22" t="str">
        <f>VLOOKUP(B293,'new total list'!E:E,1,false)</f>
        <v>#N/A</v>
      </c>
      <c r="I293" s="22" t="str">
        <f>vlookup(A293,'new total list'!B:B,1,false)</f>
        <v>#N/A</v>
      </c>
      <c r="K293" s="14" t="str">
        <f t="shared" si="1"/>
        <v>Marked</v>
      </c>
      <c r="L293" s="7" t="s">
        <v>1264</v>
      </c>
    </row>
    <row r="294">
      <c r="A294" s="22" t="str">
        <f>IFERROR(__xludf.DUMMYFUNCTION("""COMPUTED_VALUE"""),"Sven Feddema")</f>
        <v>Sven Feddema</v>
      </c>
      <c r="B294" s="22" t="str">
        <f>IFERROR(__xludf.DUMMYFUNCTION("""COMPUTED_VALUE"""),"s.feddema@moore-drv.nl")</f>
        <v>s.feddema@moore-drv.nl</v>
      </c>
      <c r="C294" s="22" t="str">
        <f>IFERROR(__xludf.DUMMYFUNCTION("""COMPUTED_VALUE"""),"Moore DRV")</f>
        <v>Moore DRV</v>
      </c>
      <c r="D294" s="22" t="str">
        <f>IFERROR(__xludf.DUMMYFUNCTION("""COMPUTED_VALUE"""),"Relatiebeheerder MKB")</f>
        <v>Relatiebeheerder MKB</v>
      </c>
      <c r="E294" s="22" t="str">
        <f>IFERROR(__xludf.DUMMYFUNCTION("""COMPUTED_VALUE"""),"Get in touch with the start-ups.")</f>
        <v>Get in touch with the start-ups.</v>
      </c>
      <c r="F294" s="22" t="str">
        <f>IFERROR(__xludf.DUMMYFUNCTION("""COMPUTED_VALUE"""),"Maritime")</f>
        <v>Maritime</v>
      </c>
      <c r="H294" s="22" t="str">
        <f>VLOOKUP(B294,'new total list'!E:E,1,false)</f>
        <v>#N/A</v>
      </c>
      <c r="I294" s="22" t="str">
        <f>vlookup(A294,'new total list'!B:B,1,false)</f>
        <v>#N/A</v>
      </c>
      <c r="K294" s="14" t="str">
        <f t="shared" si="1"/>
        <v>Marked</v>
      </c>
      <c r="L294" s="7" t="s">
        <v>1481</v>
      </c>
    </row>
    <row r="295">
      <c r="A295" s="22" t="str">
        <f>IFERROR(__xludf.DUMMYFUNCTION("""COMPUTED_VALUE"""),"Fabian Brink")</f>
        <v>Fabian Brink</v>
      </c>
      <c r="B295" s="22" t="str">
        <f>IFERROR(__xludf.DUMMYFUNCTION("""COMPUTED_VALUE"""),"f.brink@moore-drv.nl")</f>
        <v>f.brink@moore-drv.nl</v>
      </c>
      <c r="C295" s="22" t="str">
        <f>IFERROR(__xludf.DUMMYFUNCTION("""COMPUTED_VALUE"""),"Moore DRV")</f>
        <v>Moore DRV</v>
      </c>
      <c r="D295" s="22" t="str">
        <f>IFERROR(__xludf.DUMMYFUNCTION("""COMPUTED_VALUE"""),"Medewerker subsidie en innovatie")</f>
        <v>Medewerker subsidie en innovatie</v>
      </c>
      <c r="E295" s="22" t="str">
        <f>IFERROR(__xludf.DUMMYFUNCTION("""COMPUTED_VALUE"""),"Get in touch with the start-ups.")</f>
        <v>Get in touch with the start-ups.</v>
      </c>
      <c r="F295" s="22" t="str">
        <f>IFERROR(__xludf.DUMMYFUNCTION("""COMPUTED_VALUE"""),"Maritime")</f>
        <v>Maritime</v>
      </c>
      <c r="H295" s="22" t="str">
        <f>VLOOKUP(B295,'new total list'!E:E,1,false)</f>
        <v>#N/A</v>
      </c>
      <c r="I295" s="22" t="str">
        <f>vlookup(A295,'new total list'!B:B,1,false)</f>
        <v>#N/A</v>
      </c>
      <c r="K295" s="14" t="str">
        <f t="shared" si="1"/>
        <v>Marked</v>
      </c>
      <c r="L295" s="7" t="s">
        <v>1481</v>
      </c>
    </row>
    <row r="296">
      <c r="A296" s="22" t="str">
        <f>IFERROR(__xludf.DUMMYFUNCTION("""COMPUTED_VALUE"""),"Frank van Beek")</f>
        <v>Frank van Beek</v>
      </c>
      <c r="B296" s="22" t="str">
        <f>IFERROR(__xludf.DUMMYFUNCTION("""COMPUTED_VALUE"""),"frank@init-power.com")</f>
        <v>frank@init-power.com</v>
      </c>
      <c r="C296" s="22" t="str">
        <f>IFERROR(__xludf.DUMMYFUNCTION("""COMPUTED_VALUE"""),"Init Power BV")</f>
        <v>Init Power BV</v>
      </c>
      <c r="D296" s="22" t="str">
        <f>IFERROR(__xludf.DUMMYFUNCTION("""COMPUTED_VALUE"""),"Investment Manager")</f>
        <v>Investment Manager</v>
      </c>
      <c r="E296" s="22" t="str">
        <f>IFERROR(__xludf.DUMMYFUNCTION("""COMPUTED_VALUE"""),"Network and scout for Angel/Seed investment opportunities")</f>
        <v>Network and scout for Angel/Seed investment opportunities</v>
      </c>
      <c r="F296" s="22" t="str">
        <f>IFERROR(__xludf.DUMMYFUNCTION("""COMPUTED_VALUE"""),"Energy")</f>
        <v>Energy</v>
      </c>
      <c r="H296" s="22" t="str">
        <f>VLOOKUP(B296,'new total list'!E:E,1,false)</f>
        <v>#N/A</v>
      </c>
      <c r="I296" s="22" t="str">
        <f>vlookup(A296,'new total list'!B:B,1,false)</f>
        <v>#N/A</v>
      </c>
      <c r="K296" s="14" t="str">
        <f t="shared" si="1"/>
        <v>Marked</v>
      </c>
      <c r="L296" s="7" t="s">
        <v>925</v>
      </c>
    </row>
    <row r="297">
      <c r="A297" s="22" t="str">
        <f>IFERROR(__xludf.DUMMYFUNCTION("""COMPUTED_VALUE"""),"Isidora Sidorovska")</f>
        <v>Isidora Sidorovska</v>
      </c>
      <c r="B297" s="22" t="str">
        <f>IFERROR(__xludf.DUMMYFUNCTION("""COMPUTED_VALUE"""),"sidorovska@rsm.nl")</f>
        <v>sidorovska@rsm.nl</v>
      </c>
      <c r="C297" s="22" t="str">
        <f>IFERROR(__xludf.DUMMYFUNCTION("""COMPUTED_VALUE"""),"Erasmus University")</f>
        <v>Erasmus University</v>
      </c>
      <c r="D297" s="22" t="str">
        <f>IFERROR(__xludf.DUMMYFUNCTION("""COMPUTED_VALUE"""),"Lecturer")</f>
        <v>Lecturer</v>
      </c>
      <c r="E297" s="22" t="str">
        <f>IFERROR(__xludf.DUMMYFUNCTION("""COMPUTED_VALUE"""),"Familiarize myself with these organizations and their stories and challenges.")</f>
        <v>Familiarize myself with these organizations and their stories and challenges.</v>
      </c>
      <c r="F297" s="22" t="str">
        <f>IFERROR(__xludf.DUMMYFUNCTION("""COMPUTED_VALUE"""),"MedTech")</f>
        <v>MedTech</v>
      </c>
      <c r="H297" s="22" t="str">
        <f>VLOOKUP(B297,'new total list'!E:E,1,false)</f>
        <v>#N/A</v>
      </c>
      <c r="I297" s="22" t="str">
        <f>vlookup(A297,'new total list'!B:B,1,false)</f>
        <v>#N/A</v>
      </c>
      <c r="K297" s="14" t="str">
        <f t="shared" si="1"/>
        <v>Marked</v>
      </c>
    </row>
    <row r="298">
      <c r="A298" s="22" t="str">
        <f>IFERROR(__xludf.DUMMYFUNCTION("""COMPUTED_VALUE"""),"saha satvati")</f>
        <v>saha satvati</v>
      </c>
      <c r="B298" s="22" t="str">
        <f>IFERROR(__xludf.DUMMYFUNCTION("""COMPUTED_VALUE"""),"sahasatvati73@gmail.com")</f>
        <v>sahasatvati73@gmail.com</v>
      </c>
      <c r="C298" s="22" t="str">
        <f>IFERROR(__xludf.DUMMYFUNCTION("""COMPUTED_VALUE"""),"Erasmus MC")</f>
        <v>Erasmus MC</v>
      </c>
      <c r="D298" s="22" t="str">
        <f>IFERROR(__xludf.DUMMYFUNCTION("""COMPUTED_VALUE"""),"Project manager")</f>
        <v>Project manager</v>
      </c>
      <c r="E298" s="22" t="str">
        <f>IFERROR(__xludf.DUMMYFUNCTION("""COMPUTED_VALUE"""),"learning from startups experiences")</f>
        <v>learning from startups experiences</v>
      </c>
      <c r="F298" s="22" t="str">
        <f>IFERROR(__xludf.DUMMYFUNCTION("""COMPUTED_VALUE"""),"MedTech")</f>
        <v>MedTech</v>
      </c>
      <c r="H298" s="22" t="str">
        <f>VLOOKUP(B298,'new total list'!E:E,1,false)</f>
        <v>#N/A</v>
      </c>
      <c r="I298" s="22" t="str">
        <f>vlookup(A298,'new total list'!B:B,1,false)</f>
        <v>#N/A</v>
      </c>
      <c r="K298" s="14" t="str">
        <f t="shared" si="1"/>
        <v>Marked</v>
      </c>
    </row>
    <row r="299">
      <c r="A299" s="22" t="str">
        <f>IFERROR(__xludf.DUMMYFUNCTION("""COMPUTED_VALUE"""),"Ernst Galutschek")</f>
        <v>Ernst Galutschek</v>
      </c>
      <c r="B299" s="22" t="str">
        <f>IFERROR(__xludf.DUMMYFUNCTION("""COMPUTED_VALUE"""),"ernst.galutschek@asml.com")</f>
        <v>ernst.galutschek@asml.com</v>
      </c>
      <c r="C299" s="22" t="str">
        <f>IFERROR(__xludf.DUMMYFUNCTION("""COMPUTED_VALUE"""),"ASML")</f>
        <v>ASML</v>
      </c>
      <c r="D299" s="22" t="str">
        <f>IFERROR(__xludf.DUMMYFUNCTION("""COMPUTED_VALUE"""),"Project Lead")</f>
        <v>Project Lead</v>
      </c>
      <c r="E299" s="22" t="str">
        <f>IFERROR(__xludf.DUMMYFUNCTION("""COMPUTED_VALUE"""),"Inspiration for new business opportunities.")</f>
        <v>Inspiration for new business opportunities.</v>
      </c>
      <c r="F299" s="22" t="str">
        <f>IFERROR(__xludf.DUMMYFUNCTION("""COMPUTED_VALUE"""),"Maritime")</f>
        <v>Maritime</v>
      </c>
      <c r="H299" s="22" t="str">
        <f>VLOOKUP(B299,'new total list'!E:E,1,false)</f>
        <v>#N/A</v>
      </c>
      <c r="I299" s="22" t="str">
        <f>vlookup(A299,'new total list'!B:B,1,false)</f>
        <v>#N/A</v>
      </c>
      <c r="K299" s="14" t="str">
        <f t="shared" si="1"/>
        <v>Marked</v>
      </c>
      <c r="L299" s="7" t="s">
        <v>925</v>
      </c>
    </row>
    <row r="300">
      <c r="A300" s="22" t="str">
        <f>IFERROR(__xludf.DUMMYFUNCTION("""COMPUTED_VALUE"""),"Cara Pizzato")</f>
        <v>Cara Pizzato</v>
      </c>
      <c r="B300" s="22" t="str">
        <f>IFERROR(__xludf.DUMMYFUNCTION("""COMPUTED_VALUE"""),"cara.pizzato@cic.com")</f>
        <v>cara.pizzato@cic.com</v>
      </c>
      <c r="C300" s="22" t="str">
        <f>IFERROR(__xludf.DUMMYFUNCTION("""COMPUTED_VALUE"""),"CIC Rotterdam")</f>
        <v>CIC Rotterdam</v>
      </c>
      <c r="D300" s="22" t="str">
        <f>IFERROR(__xludf.DUMMYFUNCTION("""COMPUTED_VALUE"""),"Ecosystem Lead")</f>
        <v>Ecosystem Lead</v>
      </c>
      <c r="E300" s="22" t="str">
        <f>IFERROR(__xludf.DUMMYFUNCTION("""COMPUTED_VALUE"""),"Inspiration")</f>
        <v>Inspiration</v>
      </c>
      <c r="F300" s="22" t="str">
        <f>IFERROR(__xludf.DUMMYFUNCTION("""COMPUTED_VALUE"""),"MedTech")</f>
        <v>MedTech</v>
      </c>
      <c r="H300" s="22" t="str">
        <f>VLOOKUP(B300,'new total list'!E:E,1,false)</f>
        <v>#N/A</v>
      </c>
      <c r="I300" s="22" t="str">
        <f>vlookup(A300,'new total list'!B:B,1,false)</f>
        <v>#N/A</v>
      </c>
      <c r="K300" s="14" t="str">
        <f t="shared" si="1"/>
        <v>Marked</v>
      </c>
      <c r="L300" s="7" t="s">
        <v>925</v>
      </c>
    </row>
    <row r="301">
      <c r="A301" s="22" t="str">
        <f>IFERROR(__xludf.DUMMYFUNCTION("""COMPUTED_VALUE"""),"Lars Crama")</f>
        <v>Lars Crama</v>
      </c>
      <c r="B301" s="22" t="str">
        <f>IFERROR(__xludf.DUMMYFUNCTION("""COMPUTED_VALUE"""),"lars.crama@innovationquarter.nl")</f>
        <v>lars.crama@innovationquarter.nl</v>
      </c>
      <c r="C301" s="22" t="str">
        <f>IFERROR(__xludf.DUMMYFUNCTION("""COMPUTED_VALUE"""),"InnovationQuarter")</f>
        <v>InnovationQuarter</v>
      </c>
      <c r="D301" s="22" t="str">
        <f>IFERROR(__xludf.DUMMYFUNCTION("""COMPUTED_VALUE"""),"Director")</f>
        <v>Director</v>
      </c>
      <c r="E301" s="22" t="str">
        <f>IFERROR(__xludf.DUMMYFUNCTION("""COMPUTED_VALUE"""),"Lars zal vanwege zijn agenda aansluiten bij de netwerkborrel")</f>
        <v>Lars zal vanwege zijn agenda aansluiten bij de netwerkborrel</v>
      </c>
      <c r="F301" s="22" t="str">
        <f>IFERROR(__xludf.DUMMYFUNCTION("""COMPUTED_VALUE"""),"Energy")</f>
        <v>Energy</v>
      </c>
      <c r="H301" s="22" t="str">
        <f>VLOOKUP(B301,'new total list'!E:E,1,false)</f>
        <v>Lars.crama@innovationquarter.nl</v>
      </c>
      <c r="I301" s="22" t="str">
        <f>vlookup(A301,'new total list'!B:B,1,false)</f>
        <v>Lars Crama</v>
      </c>
      <c r="K301" s="14" t="str">
        <f t="shared" si="1"/>
        <v/>
      </c>
    </row>
    <row r="302">
      <c r="A302" s="22" t="str">
        <f>IFERROR(__xludf.DUMMYFUNCTION("""COMPUTED_VALUE"""),"Jelle Roozenburg")</f>
        <v>Jelle Roozenburg</v>
      </c>
      <c r="B302" s="22" t="str">
        <f>IFERROR(__xludf.DUMMYFUNCTION("""COMPUTED_VALUE"""),"jelle@aanmelder.nl")</f>
        <v>jelle@aanmelder.nl</v>
      </c>
      <c r="C302" s="45" t="str">
        <f>IFERROR(__xludf.DUMMYFUNCTION("""COMPUTED_VALUE"""),"aanmelder.nl")</f>
        <v>aanmelder.nl</v>
      </c>
      <c r="D302" s="22" t="str">
        <f>IFERROR(__xludf.DUMMYFUNCTION("""COMPUTED_VALUE"""),"CoFounder")</f>
        <v>CoFounder</v>
      </c>
      <c r="E302" s="22" t="str">
        <f>IFERROR(__xludf.DUMMYFUNCTION("""COMPUTED_VALUE"""),"Get inspired by new entrepreneurship")</f>
        <v>Get inspired by new entrepreneurship</v>
      </c>
      <c r="F302" s="22" t="str">
        <f>IFERROR(__xludf.DUMMYFUNCTION("""COMPUTED_VALUE"""),"Cyber")</f>
        <v>Cyber</v>
      </c>
      <c r="H302" s="22" t="str">
        <f>VLOOKUP(B302,'new total list'!E:E,1,false)</f>
        <v>jelle@aanmelder.nl</v>
      </c>
      <c r="I302" s="22" t="str">
        <f>vlookup(A302,'new total list'!B:B,1,false)</f>
        <v>Jelle Roozenburg</v>
      </c>
      <c r="K302" s="14" t="str">
        <f t="shared" si="1"/>
        <v/>
      </c>
    </row>
    <row r="303">
      <c r="A303" s="22" t="str">
        <f>IFERROR(__xludf.DUMMYFUNCTION("""COMPUTED_VALUE"""),"Koos Habte")</f>
        <v>Koos Habte</v>
      </c>
      <c r="B303" s="22" t="str">
        <f>IFERROR(__xludf.DUMMYFUNCTION("""COMPUTED_VALUE"""),"koos.habte@insyght.io")</f>
        <v>koos.habte@insyght.io</v>
      </c>
      <c r="C303" s="22" t="str">
        <f>IFERROR(__xludf.DUMMYFUNCTION("""COMPUTED_VALUE"""),"Insyght")</f>
        <v>Insyght</v>
      </c>
      <c r="D303" s="22" t="str">
        <f>IFERROR(__xludf.DUMMYFUNCTION("""COMPUTED_VALUE"""),"Founder")</f>
        <v>Founder</v>
      </c>
      <c r="E303" s="22" t="str">
        <f>IFERROR(__xludf.DUMMYFUNCTION("""COMPUTED_VALUE"""),"Meet people and hear interesting stories")</f>
        <v>Meet people and hear interesting stories</v>
      </c>
      <c r="F303" s="22" t="str">
        <f>IFERROR(__xludf.DUMMYFUNCTION("""COMPUTED_VALUE"""),"Dual Use")</f>
        <v>Dual Use</v>
      </c>
      <c r="H303" s="22" t="str">
        <f>VLOOKUP(B303,'new total list'!E:E,1,false)</f>
        <v>#N/A</v>
      </c>
      <c r="I303" s="22" t="str">
        <f>vlookup(A303,'new total list'!B:B,1,false)</f>
        <v>#N/A</v>
      </c>
      <c r="K303" s="14" t="str">
        <f t="shared" si="1"/>
        <v>Marked</v>
      </c>
    </row>
    <row r="304">
      <c r="A304" s="22" t="str">
        <f>IFERROR(__xludf.DUMMYFUNCTION("""COMPUTED_VALUE"""),"Michael Devid")</f>
        <v>Michael Devid</v>
      </c>
      <c r="B304" s="22" t="str">
        <f>IFERROR(__xludf.DUMMYFUNCTION("""COMPUTED_VALUE"""),"michael.devid@insyght.io")</f>
        <v>michael.devid@insyght.io</v>
      </c>
      <c r="C304" s="22" t="str">
        <f>IFERROR(__xludf.DUMMYFUNCTION("""COMPUTED_VALUE"""),"Insyght")</f>
        <v>Insyght</v>
      </c>
      <c r="D304" s="22" t="str">
        <f>IFERROR(__xludf.DUMMYFUNCTION("""COMPUTED_VALUE"""),"Founder")</f>
        <v>Founder</v>
      </c>
      <c r="E304" s="22" t="str">
        <f>IFERROR(__xludf.DUMMYFUNCTION("""COMPUTED_VALUE"""),"Meet people")</f>
        <v>Meet people</v>
      </c>
      <c r="F304" s="22" t="str">
        <f>IFERROR(__xludf.DUMMYFUNCTION("""COMPUTED_VALUE"""),"Energy")</f>
        <v>Energy</v>
      </c>
      <c r="H304" s="22" t="str">
        <f>VLOOKUP(B304,'new total list'!E:E,1,false)</f>
        <v>#N/A</v>
      </c>
      <c r="I304" s="22" t="str">
        <f>vlookup(A304,'new total list'!B:B,1,false)</f>
        <v>#N/A</v>
      </c>
      <c r="K304" s="14" t="str">
        <f t="shared" si="1"/>
        <v>Marked</v>
      </c>
    </row>
    <row r="305">
      <c r="A305" s="22" t="str">
        <f>IFERROR(__xludf.DUMMYFUNCTION("""COMPUTED_VALUE"""),"Seljan Abbas")</f>
        <v>Seljan Abbas</v>
      </c>
      <c r="B305" s="22" t="str">
        <f>IFERROR(__xludf.DUMMYFUNCTION("""COMPUTED_VALUE"""),"abbas@ece.nl")</f>
        <v>abbas@ece.nl</v>
      </c>
      <c r="C305" s="22" t="str">
        <f>IFERROR(__xludf.DUMMYFUNCTION("""COMPUTED_VALUE"""),"Erasmus Centre for Entrepreneurship")</f>
        <v>Erasmus Centre for Entrepreneurship</v>
      </c>
      <c r="D305" s="22" t="str">
        <f>IFERROR(__xludf.DUMMYFUNCTION("""COMPUTED_VALUE"""),"Programme Manager")</f>
        <v>Programme Manager</v>
      </c>
      <c r="E305" s="22" t="str">
        <f>IFERROR(__xludf.DUMMYFUNCTION("""COMPUTED_VALUE"""),"Talk to startups about the ecosystem")</f>
        <v>Talk to startups about the ecosystem</v>
      </c>
      <c r="F305" s="22" t="str">
        <f>IFERROR(__xludf.DUMMYFUNCTION("""COMPUTED_VALUE"""),"Energy")</f>
        <v>Energy</v>
      </c>
      <c r="H305" s="22" t="str">
        <f>VLOOKUP(B305,'new total list'!E:E,1,false)</f>
        <v>#N/A</v>
      </c>
      <c r="I305" s="22" t="str">
        <f>vlookup(A305,'new total list'!B:B,1,false)</f>
        <v>#N/A</v>
      </c>
      <c r="K305" s="14" t="str">
        <f t="shared" si="1"/>
        <v>Marked</v>
      </c>
      <c r="L305" s="7" t="s">
        <v>1608</v>
      </c>
    </row>
    <row r="306">
      <c r="A306" s="22" t="str">
        <f>IFERROR(__xludf.DUMMYFUNCTION("""COMPUTED_VALUE"""),"Jack Hayton")</f>
        <v>Jack Hayton</v>
      </c>
      <c r="B306" s="22" t="str">
        <f>IFERROR(__xludf.DUMMYFUNCTION("""COMPUTED_VALUE"""),"jack@aerogriduav.com")</f>
        <v>jack@aerogriduav.com</v>
      </c>
      <c r="C306" s="22" t="str">
        <f>IFERROR(__xludf.DUMMYFUNCTION("""COMPUTED_VALUE"""),"AerogridUAV")</f>
        <v>AerogridUAV</v>
      </c>
      <c r="D306" s="22" t="str">
        <f>IFERROR(__xludf.DUMMYFUNCTION("""COMPUTED_VALUE"""),"CEO")</f>
        <v>CEO</v>
      </c>
      <c r="E306" s="22" t="str">
        <f>IFERROR(__xludf.DUMMYFUNCTION("""COMPUTED_VALUE"""),"Networking")</f>
        <v>Networking</v>
      </c>
      <c r="F306" s="22" t="str">
        <f>IFERROR(__xludf.DUMMYFUNCTION("""COMPUTED_VALUE"""),"Investors")</f>
        <v>Investors</v>
      </c>
      <c r="H306" s="22" t="str">
        <f>VLOOKUP(B306,'new total list'!E:E,1,false)</f>
        <v>jack@aerogriduav.com</v>
      </c>
      <c r="I306" s="22" t="str">
        <f>vlookup(A306,'new total list'!B:B,1,false)</f>
        <v>Jack Hayton</v>
      </c>
      <c r="K306" s="14" t="str">
        <f t="shared" si="1"/>
        <v/>
      </c>
    </row>
    <row r="307">
      <c r="A307" s="22" t="str">
        <f>IFERROR(__xludf.DUMMYFUNCTION("""COMPUTED_VALUE"""),"Jaron Weishut")</f>
        <v>Jaron Weishut</v>
      </c>
      <c r="B307" s="22" t="str">
        <f>IFERROR(__xludf.DUMMYFUNCTION("""COMPUTED_VALUE"""),"jaron@nexero.nl")</f>
        <v>jaron@nexero.nl</v>
      </c>
      <c r="C307" s="22" t="str">
        <f>IFERROR(__xludf.DUMMYFUNCTION("""COMPUTED_VALUE"""),"Nexero")</f>
        <v>Nexero</v>
      </c>
      <c r="D307" s="22" t="str">
        <f>IFERROR(__xludf.DUMMYFUNCTION("""COMPUTED_VALUE"""),"Partner")</f>
        <v>Partner</v>
      </c>
      <c r="E307" s="22" t="str">
        <f>IFERROR(__xludf.DUMMYFUNCTION("""COMPUTED_VALUE"""),"Meeting startups")</f>
        <v>Meeting startups</v>
      </c>
      <c r="F307" s="22" t="str">
        <f>IFERROR(__xludf.DUMMYFUNCTION("""COMPUTED_VALUE"""),"Energy")</f>
        <v>Energy</v>
      </c>
      <c r="H307" s="22" t="str">
        <f>VLOOKUP(B307,'new total list'!E:E,1,false)</f>
        <v>#N/A</v>
      </c>
      <c r="I307" s="22" t="str">
        <f>vlookup(A307,'new total list'!B:B,1,false)</f>
        <v>#N/A</v>
      </c>
      <c r="K307" s="14" t="str">
        <f t="shared" si="1"/>
        <v>Marked</v>
      </c>
      <c r="L307" s="7" t="s">
        <v>1618</v>
      </c>
    </row>
    <row r="308">
      <c r="A308" s="22" t="str">
        <f>IFERROR(__xludf.DUMMYFUNCTION("""COMPUTED_VALUE"""),"Diego Iacopetta")</f>
        <v>Diego Iacopetta</v>
      </c>
      <c r="B308" s="22" t="str">
        <f>IFERROR(__xludf.DUMMYFUNCTION("""COMPUTED_VALUE"""),"diego.iacopetta@querymachines.com")</f>
        <v>diego.iacopetta@querymachines.com</v>
      </c>
      <c r="C308" s="22" t="str">
        <f>IFERROR(__xludf.DUMMYFUNCTION("""COMPUTED_VALUE"""),"Query Machines")</f>
        <v>Query Machines</v>
      </c>
      <c r="D308" s="22" t="str">
        <f>IFERROR(__xludf.DUMMYFUNCTION("""COMPUTED_VALUE"""),"Co-Founder")</f>
        <v>Co-Founder</v>
      </c>
      <c r="E308" s="22" t="str">
        <f>IFERROR(__xludf.DUMMYFUNCTION("""COMPUTED_VALUE"""),"To pitch and show off our technology")</f>
        <v>To pitch and show off our technology</v>
      </c>
      <c r="F308" s="22" t="str">
        <f>IFERROR(__xludf.DUMMYFUNCTION("""COMPUTED_VALUE"""),"​Future of Compute")</f>
        <v>​Future of Compute</v>
      </c>
      <c r="H308" s="22" t="str">
        <f>VLOOKUP(B308,'new total list'!E:E,1,false)</f>
        <v>#N/A</v>
      </c>
      <c r="I308" s="22" t="str">
        <f>vlookup(A308,'new total list'!B:B,1,false)</f>
        <v>#N/A</v>
      </c>
      <c r="K308" s="14" t="str">
        <f t="shared" si="1"/>
        <v>Marked</v>
      </c>
      <c r="L308" s="7" t="s">
        <v>1368</v>
      </c>
    </row>
    <row r="309">
      <c r="A309" s="22" t="str">
        <f>IFERROR(__xludf.DUMMYFUNCTION("""COMPUTED_VALUE"""),"Elisabeth Minnemann")</f>
        <v>Elisabeth Minnemann</v>
      </c>
      <c r="B309" s="22" t="str">
        <f>IFERROR(__xludf.DUMMYFUNCTION("""COMPUTED_VALUE"""),"e.minnemann@hhs.nl")</f>
        <v>e.minnemann@hhs.nl</v>
      </c>
      <c r="C309" s="22" t="str">
        <f>IFERROR(__xludf.DUMMYFUNCTION("""COMPUTED_VALUE"""),"De Haagse Hogeschool/The Hague University of Applied Sciences")</f>
        <v>De Haagse Hogeschool/The Hague University of Applied Sciences</v>
      </c>
      <c r="D309" s="22" t="str">
        <f>IFERROR(__xludf.DUMMYFUNCTION("""COMPUTED_VALUE"""),"Chair of the Executive Board")</f>
        <v>Chair of the Executive Board</v>
      </c>
      <c r="E309" s="22" t="str">
        <f>IFERROR(__xludf.DUMMYFUNCTION("""COMPUTED_VALUE"""),"T.b.d.")</f>
        <v>T.b.d.</v>
      </c>
      <c r="F309" s="22" t="str">
        <f>IFERROR(__xludf.DUMMYFUNCTION("""COMPUTED_VALUE"""),"Cyber")</f>
        <v>Cyber</v>
      </c>
      <c r="H309" s="22" t="str">
        <f>VLOOKUP(B309,'new total list'!E:E,1,false)</f>
        <v>e.minnemann@hhs.nl</v>
      </c>
      <c r="I309" s="22" t="str">
        <f>vlookup(A309,'new total list'!B:B,1,false)</f>
        <v>Elisabeth Minnemann</v>
      </c>
      <c r="K309" s="14" t="str">
        <f t="shared" si="1"/>
        <v/>
      </c>
    </row>
    <row r="310">
      <c r="A310" s="22" t="str">
        <f>IFERROR(__xludf.DUMMYFUNCTION("""COMPUTED_VALUE"""),"bart boogaard")</f>
        <v>bart boogaard</v>
      </c>
      <c r="B310" s="22" t="str">
        <f>IFERROR(__xludf.DUMMYFUNCTION("""COMPUTED_VALUE"""),"bart.boogaard@invest-nl.nl")</f>
        <v>bart.boogaard@invest-nl.nl</v>
      </c>
      <c r="C310" s="22" t="str">
        <f>IFERROR(__xludf.DUMMYFUNCTION("""COMPUTED_VALUE"""),"Invest-NL")</f>
        <v>Invest-NL</v>
      </c>
      <c r="D310" s="22" t="str">
        <f>IFERROR(__xludf.DUMMYFUNCTION("""COMPUTED_VALUE"""),"Investment Manager")</f>
        <v>Investment Manager</v>
      </c>
      <c r="E310" s="22" t="str">
        <f>IFERROR(__xludf.DUMMYFUNCTION("""COMPUTED_VALUE"""),"Meet new start-ups")</f>
        <v>Meet new start-ups</v>
      </c>
      <c r="F310" s="22" t="str">
        <f>IFERROR(__xludf.DUMMYFUNCTION("""COMPUTED_VALUE"""),"Energy")</f>
        <v>Energy</v>
      </c>
      <c r="H310" s="22" t="str">
        <f>VLOOKUP(B310,'new total list'!E:E,1,false)</f>
        <v>#N/A</v>
      </c>
      <c r="I310" s="22" t="str">
        <f>vlookup(A310,'new total list'!B:B,1,false)</f>
        <v>#N/A</v>
      </c>
      <c r="K310" s="14" t="str">
        <f t="shared" si="1"/>
        <v>Marked</v>
      </c>
      <c r="L310" s="7" t="s">
        <v>925</v>
      </c>
    </row>
    <row r="311">
      <c r="A311" s="22" t="str">
        <f>IFERROR(__xludf.DUMMYFUNCTION("""COMPUTED_VALUE"""),"Steven van Houwelingen")</f>
        <v>Steven van Houwelingen</v>
      </c>
      <c r="B311" s="22" t="str">
        <f>IFERROR(__xludf.DUMMYFUNCTION("""COMPUTED_VALUE"""),"steven@glassfrogventures.com")</f>
        <v>steven@glassfrogventures.com</v>
      </c>
      <c r="C311" s="22" t="str">
        <f>IFERROR(__xludf.DUMMYFUNCTION("""COMPUTED_VALUE"""),"Glass Frog Ventures")</f>
        <v>Glass Frog Ventures</v>
      </c>
      <c r="D311" s="22" t="str">
        <f>IFERROR(__xludf.DUMMYFUNCTION("""COMPUTED_VALUE"""),"Partner")</f>
        <v>Partner</v>
      </c>
      <c r="E311" s="22" t="str">
        <f>IFERROR(__xludf.DUMMYFUNCTION("""COMPUTED_VALUE"""),"Dealflow")</f>
        <v>Dealflow</v>
      </c>
      <c r="F311" s="22" t="str">
        <f>IFERROR(__xludf.DUMMYFUNCTION("""COMPUTED_VALUE"""),"Energy")</f>
        <v>Energy</v>
      </c>
      <c r="H311" s="22" t="str">
        <f>VLOOKUP(B311,'new total list'!E:E,1,false)</f>
        <v>#N/A</v>
      </c>
      <c r="I311" s="22" t="str">
        <f>vlookup(A311,'new total list'!B:B,1,false)</f>
        <v>#N/A</v>
      </c>
      <c r="K311" s="14" t="str">
        <f t="shared" si="1"/>
        <v>Marked</v>
      </c>
      <c r="L311" s="7" t="s">
        <v>925</v>
      </c>
    </row>
    <row r="312">
      <c r="A312" s="22" t="str">
        <f>IFERROR(__xludf.DUMMYFUNCTION("""COMPUTED_VALUE"""),"Benno Tieke")</f>
        <v>Benno Tieke</v>
      </c>
      <c r="B312" s="22" t="str">
        <f>IFERROR(__xludf.DUMMYFUNCTION("""COMPUTED_VALUE"""),"benno.tieke@gmail.com")</f>
        <v>benno.tieke@gmail.com</v>
      </c>
      <c r="C312" s="22" t="str">
        <f>IFERROR(__xludf.DUMMYFUNCTION("""COMPUTED_VALUE"""),"BT ScaleUp Partners")</f>
        <v>BT ScaleUp Partners</v>
      </c>
      <c r="D312" s="22" t="str">
        <f>IFERROR(__xludf.DUMMYFUNCTION("""COMPUTED_VALUE"""),"Founder")</f>
        <v>Founder</v>
      </c>
      <c r="E312" s="22" t="str">
        <f>IFERROR(__xludf.DUMMYFUNCTION("""COMPUTED_VALUE"""),"Overview Yes!Delft Portfolio")</f>
        <v>Overview Yes!Delft Portfolio</v>
      </c>
      <c r="F312" s="22" t="str">
        <f>IFERROR(__xludf.DUMMYFUNCTION("""COMPUTED_VALUE"""),"Networking")</f>
        <v>Networking</v>
      </c>
      <c r="H312" s="22" t="str">
        <f>VLOOKUP(B312,'new total list'!E:E,1,false)</f>
        <v>benno.tieke@gmail.com</v>
      </c>
      <c r="I312" s="22" t="str">
        <f>vlookup(A312,'new total list'!B:B,1,false)</f>
        <v>Benno Tieke</v>
      </c>
      <c r="K312" s="14" t="str">
        <f t="shared" si="1"/>
        <v/>
      </c>
    </row>
    <row r="313">
      <c r="A313" s="22" t="str">
        <f>IFERROR(__xludf.DUMMYFUNCTION("""COMPUTED_VALUE"""),"John -")</f>
        <v>John -</v>
      </c>
      <c r="B313" s="22" t="str">
        <f>IFERROR(__xludf.DUMMYFUNCTION("""COMPUTED_VALUE"""),"john.tillema@gmail.com")</f>
        <v>john.tillema@gmail.com</v>
      </c>
      <c r="C313" s="22" t="str">
        <f>IFERROR(__xludf.DUMMYFUNCTION("""COMPUTED_VALUE"""),"-")</f>
        <v>-</v>
      </c>
      <c r="D313" s="22" t="str">
        <f>IFERROR(__xludf.DUMMYFUNCTION("""COMPUTED_VALUE"""),"-")</f>
        <v>-</v>
      </c>
      <c r="E313" s="22" t="str">
        <f>IFERROR(__xludf.DUMMYFUNCTION("""COMPUTED_VALUE"""),"Investment / coaching / advisory board opportunities")</f>
        <v>Investment / coaching / advisory board opportunities</v>
      </c>
      <c r="F313" s="22" t="str">
        <f>IFERROR(__xludf.DUMMYFUNCTION("""COMPUTED_VALUE"""),"Energy")</f>
        <v>Energy</v>
      </c>
      <c r="H313" s="22" t="str">
        <f>VLOOKUP(B313,'new total list'!E:E,1,false)</f>
        <v>#N/A</v>
      </c>
      <c r="I313" s="22" t="str">
        <f>vlookup(A313,'new total list'!B:B,1,false)</f>
        <v>#N/A</v>
      </c>
      <c r="K313" s="14" t="str">
        <f t="shared" si="1"/>
        <v>Marked</v>
      </c>
      <c r="L313" s="7" t="s">
        <v>1633</v>
      </c>
    </row>
    <row r="314">
      <c r="A314" s="22" t="str">
        <f>IFERROR(__xludf.DUMMYFUNCTION("""COMPUTED_VALUE"""),"Thijs van Klaveren")</f>
        <v>Thijs van Klaveren</v>
      </c>
      <c r="B314" s="22" t="str">
        <f>IFERROR(__xludf.DUMMYFUNCTION("""COMPUTED_VALUE"""),"thijs.vanklaveren@innovationquarter.nl")</f>
        <v>thijs.vanklaveren@innovationquarter.nl</v>
      </c>
      <c r="C314" s="22" t="str">
        <f>IFERROR(__xludf.DUMMYFUNCTION("""COMPUTED_VALUE"""),"UNIIQ")</f>
        <v>UNIIQ</v>
      </c>
      <c r="D314" s="22" t="str">
        <f>IFERROR(__xludf.DUMMYFUNCTION("""COMPUTED_VALUE"""),"Investment Analyst")</f>
        <v>Investment Analyst</v>
      </c>
      <c r="E314" s="22" t="str">
        <f>IFERROR(__xludf.DUMMYFUNCTION("""COMPUTED_VALUE"""),"Networking")</f>
        <v>Networking</v>
      </c>
      <c r="F314" s="22" t="str">
        <f>IFERROR(__xludf.DUMMYFUNCTION("""COMPUTED_VALUE"""),"​Future of Compute")</f>
        <v>​Future of Compute</v>
      </c>
      <c r="H314" s="22" t="str">
        <f>VLOOKUP(B314,'new total list'!E:E,1,false)</f>
        <v>#N/A</v>
      </c>
      <c r="I314" s="22" t="str">
        <f>vlookup(A314,'new total list'!B:B,1,false)</f>
        <v>#N/A</v>
      </c>
      <c r="K314" s="14" t="str">
        <f t="shared" si="1"/>
        <v>Marked</v>
      </c>
      <c r="L314" s="7" t="s">
        <v>925</v>
      </c>
    </row>
    <row r="315">
      <c r="A315" s="22" t="str">
        <f>IFERROR(__xludf.DUMMYFUNCTION("""COMPUTED_VALUE"""),"Gerard Klok")</f>
        <v>Gerard Klok</v>
      </c>
      <c r="B315" s="22" t="str">
        <f>IFERROR(__xludf.DUMMYFUNCTION("""COMPUTED_VALUE"""),"g.klok@sinko-consultants.com")</f>
        <v>g.klok@sinko-consultants.com</v>
      </c>
      <c r="C315" s="22" t="str">
        <f>IFERROR(__xludf.DUMMYFUNCTION("""COMPUTED_VALUE"""),"Sinko Innovation and Development")</f>
        <v>Sinko Innovation and Development</v>
      </c>
      <c r="D315" s="22" t="str">
        <f>IFERROR(__xludf.DUMMYFUNCTION("""COMPUTED_VALUE"""),"Digital Transformation Consultant")</f>
        <v>Digital Transformation Consultant</v>
      </c>
      <c r="E315" s="22" t="str">
        <f>IFERROR(__xludf.DUMMYFUNCTION("""COMPUTED_VALUE"""),"align with startup companies to support these companies in creating business opportunities and to assist creating an ecosystem")</f>
        <v>align with startup companies to support these companies in creating business opportunities and to assist creating an ecosystem</v>
      </c>
      <c r="F315" s="22" t="str">
        <f>IFERROR(__xludf.DUMMYFUNCTION("""COMPUTED_VALUE"""),"Energy")</f>
        <v>Energy</v>
      </c>
      <c r="H315" s="22" t="str">
        <f>VLOOKUP(B315,'new total list'!E:E,1,false)</f>
        <v>#N/A</v>
      </c>
      <c r="I315" s="22" t="str">
        <f>vlookup(A315,'new total list'!B:B,1,false)</f>
        <v>#N/A</v>
      </c>
      <c r="K315" s="14" t="str">
        <f t="shared" si="1"/>
        <v>Marked</v>
      </c>
      <c r="L315" s="7" t="s">
        <v>1639</v>
      </c>
    </row>
    <row r="316">
      <c r="A316" s="22" t="str">
        <f>IFERROR(__xludf.DUMMYFUNCTION("""COMPUTED_VALUE"""),"jan-willem.deutekom@thaumatec.com")</f>
        <v>jan-willem.deutekom@thaumatec.com</v>
      </c>
      <c r="B316" s="22" t="str">
        <f>IFERROR(__xludf.DUMMYFUNCTION("""COMPUTED_VALUE"""),"jan-willem.deutekom@thaumatec.com")</f>
        <v>jan-willem.deutekom@thaumatec.com</v>
      </c>
      <c r="C316" s="22" t="str">
        <f>IFERROR(__xludf.DUMMYFUNCTION("""COMPUTED_VALUE"""),"Thaumatec Techgroup")</f>
        <v>Thaumatec Techgroup</v>
      </c>
      <c r="D316" s="22" t="str">
        <f>IFERROR(__xludf.DUMMYFUNCTION("""COMPUTED_VALUE"""),"Board Member")</f>
        <v>Board Member</v>
      </c>
      <c r="E316" s="22" t="str">
        <f>IFERROR(__xludf.DUMMYFUNCTION("""COMPUTED_VALUE"""),"see how the start ups have developed")</f>
        <v>see how the start ups have developed</v>
      </c>
      <c r="F316" s="22" t="str">
        <f>IFERROR(__xludf.DUMMYFUNCTION("""COMPUTED_VALUE"""),"MedTech")</f>
        <v>MedTech</v>
      </c>
      <c r="H316" s="22" t="str">
        <f>VLOOKUP(B316,'new total list'!E:E,1,false)</f>
        <v>jan-willem.deutekom@thaumatec.com</v>
      </c>
      <c r="I316" s="22" t="str">
        <f>vlookup(A316,'new total list'!B:B,1,false)</f>
        <v>#N/A</v>
      </c>
      <c r="K316" s="14" t="str">
        <f t="shared" si="1"/>
        <v/>
      </c>
    </row>
    <row r="317">
      <c r="A317" s="22" t="str">
        <f>IFERROR(__xludf.DUMMYFUNCTION("""COMPUTED_VALUE"""),"Koos Habte")</f>
        <v>Koos Habte</v>
      </c>
      <c r="B317" s="22" t="str">
        <f>IFERROR(__xludf.DUMMYFUNCTION("""COMPUTED_VALUE"""),"koos.habte@insyght.io")</f>
        <v>koos.habte@insyght.io</v>
      </c>
      <c r="C317" s="22" t="str">
        <f>IFERROR(__xludf.DUMMYFUNCTION("""COMPUTED_VALUE"""),"Insyght")</f>
        <v>Insyght</v>
      </c>
      <c r="D317" s="22" t="str">
        <f>IFERROR(__xludf.DUMMYFUNCTION("""COMPUTED_VALUE"""),"Founder")</f>
        <v>Founder</v>
      </c>
      <c r="E317" s="22" t="str">
        <f>IFERROR(__xludf.DUMMYFUNCTION("""COMPUTED_VALUE"""),"Meet people / learn more about startup scene at yesdelft")</f>
        <v>Meet people / learn more about startup scene at yesdelft</v>
      </c>
      <c r="F317" s="22" t="str">
        <f>IFERROR(__xludf.DUMMYFUNCTION("""COMPUTED_VALUE"""),"Cyber")</f>
        <v>Cyber</v>
      </c>
      <c r="H317" s="22" t="str">
        <f>VLOOKUP(B317,'new total list'!E:E,1,false)</f>
        <v>#N/A</v>
      </c>
      <c r="I317" s="22" t="str">
        <f>vlookup(A317,'new total list'!B:B,1,false)</f>
        <v>#N/A</v>
      </c>
      <c r="K317" s="14" t="str">
        <f t="shared" si="1"/>
        <v>Marked</v>
      </c>
    </row>
    <row r="318">
      <c r="A318" s="22"/>
      <c r="B318" s="22"/>
      <c r="C318" s="22"/>
      <c r="D318" s="22"/>
      <c r="E318" s="22"/>
      <c r="F318" s="22"/>
      <c r="H318" s="22" t="str">
        <f>VLOOKUP(B318,'new total list'!E:E,1,false)</f>
        <v>#N/A</v>
      </c>
      <c r="I318" s="22" t="str">
        <f>vlookup(A318,'new total list'!B:B,1,false)</f>
        <v>#N/A</v>
      </c>
      <c r="K318" s="14" t="str">
        <f t="shared" si="1"/>
        <v>Marked</v>
      </c>
    </row>
    <row r="319">
      <c r="A319" s="22"/>
      <c r="B319" s="22"/>
      <c r="C319" s="22"/>
      <c r="D319" s="22"/>
      <c r="E319" s="22"/>
      <c r="F319" s="22"/>
      <c r="H319" s="22" t="str">
        <f>VLOOKUP(B319,'new total list'!E:E,1,false)</f>
        <v>#N/A</v>
      </c>
      <c r="I319" s="22" t="str">
        <f>vlookup(A319,'new total list'!B:B,1,false)</f>
        <v>#N/A</v>
      </c>
      <c r="K319" s="14" t="str">
        <f t="shared" si="1"/>
        <v>Marked</v>
      </c>
    </row>
    <row r="320">
      <c r="A320" s="22"/>
      <c r="B320" s="22"/>
      <c r="C320" s="22"/>
      <c r="D320" s="22"/>
      <c r="E320" s="22"/>
      <c r="F320" s="22"/>
      <c r="H320" s="22" t="str">
        <f>VLOOKUP(B320,'new total list'!E:E,1,false)</f>
        <v>#N/A</v>
      </c>
      <c r="I320" s="22" t="str">
        <f>vlookup(A320,'new total list'!B:B,1,false)</f>
        <v>#N/A</v>
      </c>
      <c r="K320" s="14" t="str">
        <f t="shared" si="1"/>
        <v>Marked</v>
      </c>
    </row>
    <row r="321">
      <c r="A321" s="22"/>
      <c r="B321" s="22"/>
      <c r="C321" s="22"/>
      <c r="D321" s="22"/>
      <c r="E321" s="22"/>
      <c r="F321" s="22"/>
      <c r="H321" s="22" t="str">
        <f>VLOOKUP(B321,'new total list'!E:E,1,false)</f>
        <v>#N/A</v>
      </c>
      <c r="I321" s="22" t="str">
        <f>vlookup(A321,'new total list'!B:B,1,false)</f>
        <v>#N/A</v>
      </c>
      <c r="K321" s="14" t="str">
        <f t="shared" si="1"/>
        <v>Marked</v>
      </c>
    </row>
    <row r="322">
      <c r="A322" s="22"/>
      <c r="B322" s="22"/>
      <c r="C322" s="22"/>
      <c r="D322" s="22"/>
      <c r="E322" s="22"/>
      <c r="F322" s="22"/>
      <c r="H322" s="22" t="str">
        <f>VLOOKUP(B322,'new total list'!E:E,1,false)</f>
        <v>#N/A</v>
      </c>
      <c r="I322" s="22" t="str">
        <f>vlookup(A322,'new total list'!B:B,1,false)</f>
        <v>#N/A</v>
      </c>
      <c r="K322" s="14" t="str">
        <f t="shared" si="1"/>
        <v>Marked</v>
      </c>
    </row>
    <row r="323">
      <c r="A323" s="22"/>
      <c r="B323" s="22"/>
      <c r="C323" s="22"/>
      <c r="D323" s="22"/>
      <c r="E323" s="22"/>
      <c r="F323" s="22"/>
      <c r="H323" s="22" t="str">
        <f>VLOOKUP(B323,'new total list'!E:E,1,false)</f>
        <v>#N/A</v>
      </c>
      <c r="I323" s="22" t="str">
        <f>vlookup(A323,'new total list'!B:B,1,false)</f>
        <v>#N/A</v>
      </c>
      <c r="K323" s="14" t="str">
        <f t="shared" si="1"/>
        <v>Marked</v>
      </c>
    </row>
    <row r="324">
      <c r="A324" s="22"/>
      <c r="B324" s="22"/>
      <c r="C324" s="22"/>
      <c r="D324" s="22"/>
      <c r="E324" s="22"/>
      <c r="F324" s="22"/>
      <c r="H324" s="22" t="str">
        <f>VLOOKUP(B324,'new total list'!E:E,1,false)</f>
        <v>#N/A</v>
      </c>
      <c r="I324" s="22" t="str">
        <f>vlookup(A324,'new total list'!B:B,1,false)</f>
        <v>#N/A</v>
      </c>
      <c r="K324" s="14" t="str">
        <f t="shared" si="1"/>
        <v>Marked</v>
      </c>
    </row>
    <row r="325">
      <c r="A325" s="22"/>
      <c r="B325" s="22"/>
      <c r="C325" s="22"/>
      <c r="D325" s="22"/>
      <c r="E325" s="22"/>
      <c r="F325" s="22"/>
      <c r="H325" s="22" t="str">
        <f>VLOOKUP(B325,'new total list'!E:E,1,false)</f>
        <v>#N/A</v>
      </c>
      <c r="I325" s="22" t="str">
        <f>vlookup(A325,'new total list'!B:B,1,false)</f>
        <v>#N/A</v>
      </c>
      <c r="K325" s="14" t="str">
        <f t="shared" si="1"/>
        <v>Marked</v>
      </c>
    </row>
    <row r="326">
      <c r="A326" s="22"/>
      <c r="B326" s="22"/>
      <c r="C326" s="22"/>
      <c r="D326" s="22"/>
      <c r="E326" s="22"/>
      <c r="F326" s="22"/>
      <c r="H326" s="22" t="str">
        <f>VLOOKUP(B326,'new total list'!E:E,1,false)</f>
        <v>#N/A</v>
      </c>
      <c r="I326" s="22" t="str">
        <f>vlookup(A326,'new total list'!B:B,1,false)</f>
        <v>#N/A</v>
      </c>
      <c r="K326" s="14" t="str">
        <f t="shared" si="1"/>
        <v>Marked</v>
      </c>
    </row>
    <row r="327">
      <c r="A327" s="22"/>
      <c r="B327" s="22"/>
      <c r="C327" s="22"/>
      <c r="D327" s="22"/>
      <c r="E327" s="22"/>
      <c r="F327" s="22"/>
      <c r="H327" s="22" t="str">
        <f>VLOOKUP(B327,'new total list'!E:E,1,false)</f>
        <v>#N/A</v>
      </c>
      <c r="I327" s="22" t="str">
        <f>vlookup(A327,'new total list'!B:B,1,false)</f>
        <v>#N/A</v>
      </c>
      <c r="K327" s="14" t="str">
        <f t="shared" si="1"/>
        <v>Marked</v>
      </c>
    </row>
    <row r="328">
      <c r="A328" s="22"/>
      <c r="B328" s="22"/>
      <c r="C328" s="22"/>
      <c r="D328" s="22"/>
      <c r="E328" s="22"/>
      <c r="F328" s="22"/>
      <c r="H328" s="22" t="str">
        <f>VLOOKUP(B328,'new total list'!E:E,1,false)</f>
        <v>#N/A</v>
      </c>
      <c r="I328" s="22" t="str">
        <f>vlookup(A328,'new total list'!B:B,1,false)</f>
        <v>#N/A</v>
      </c>
      <c r="K328" s="14" t="str">
        <f t="shared" si="1"/>
        <v>Marked</v>
      </c>
    </row>
    <row r="329">
      <c r="A329" s="22"/>
      <c r="B329" s="22"/>
      <c r="C329" s="22"/>
      <c r="D329" s="22"/>
      <c r="E329" s="22"/>
      <c r="F329" s="22"/>
      <c r="H329" s="22" t="str">
        <f>VLOOKUP(B329,'new total list'!E:E,1,false)</f>
        <v>#N/A</v>
      </c>
      <c r="I329" s="22" t="str">
        <f>vlookup(A329,'new total list'!B:B,1,false)</f>
        <v>#N/A</v>
      </c>
      <c r="K329" s="14" t="str">
        <f t="shared" si="1"/>
        <v>Marked</v>
      </c>
    </row>
    <row r="330">
      <c r="A330" s="22"/>
      <c r="B330" s="22"/>
      <c r="C330" s="22"/>
      <c r="D330" s="22"/>
      <c r="E330" s="22"/>
      <c r="F330" s="22"/>
      <c r="H330" s="22" t="str">
        <f>VLOOKUP(B330,'new total list'!E:E,1,false)</f>
        <v>#N/A</v>
      </c>
      <c r="I330" s="22" t="str">
        <f>vlookup(A330,'new total list'!B:B,1,false)</f>
        <v>#N/A</v>
      </c>
    </row>
    <row r="331">
      <c r="A331" s="22"/>
      <c r="B331" s="22"/>
      <c r="C331" s="22"/>
      <c r="D331" s="22"/>
      <c r="E331" s="22"/>
      <c r="F331" s="22"/>
      <c r="H331" s="22" t="str">
        <f>VLOOKUP(B331,'new total list'!E:E,1,false)</f>
        <v>#N/A</v>
      </c>
      <c r="I331" s="22" t="str">
        <f>vlookup(A331,'new total list'!B:B,1,false)</f>
        <v>#N/A</v>
      </c>
    </row>
    <row r="332">
      <c r="A332" s="22"/>
      <c r="B332" s="22"/>
      <c r="C332" s="22"/>
      <c r="D332" s="22"/>
      <c r="E332" s="22"/>
      <c r="F332" s="22"/>
      <c r="H332" s="22" t="str">
        <f>VLOOKUP(B332,'new total list'!E:E,1,false)</f>
        <v>#N/A</v>
      </c>
      <c r="I332" s="22" t="str">
        <f>vlookup(A332,'new total list'!B:B,1,false)</f>
        <v>#N/A</v>
      </c>
    </row>
    <row r="333">
      <c r="A333" s="22"/>
      <c r="B333" s="22"/>
      <c r="C333" s="22"/>
      <c r="D333" s="22"/>
      <c r="E333" s="22"/>
      <c r="F333" s="22"/>
      <c r="H333" s="22" t="str">
        <f>VLOOKUP(B333,'new total list'!E:E,1,false)</f>
        <v>#N/A</v>
      </c>
      <c r="I333" s="22" t="str">
        <f>vlookup(A333,'new total list'!B:B,1,false)</f>
        <v>#N/A</v>
      </c>
    </row>
    <row r="334">
      <c r="A334" s="22"/>
      <c r="B334" s="22"/>
      <c r="C334" s="22"/>
      <c r="D334" s="22"/>
      <c r="E334" s="22"/>
      <c r="F334" s="22"/>
    </row>
    <row r="335">
      <c r="A335" s="22"/>
      <c r="B335" s="22"/>
      <c r="C335" s="22"/>
      <c r="D335" s="22"/>
      <c r="E335" s="22"/>
      <c r="F335" s="22"/>
    </row>
    <row r="336">
      <c r="A336" s="22"/>
      <c r="B336" s="22"/>
      <c r="C336" s="22"/>
      <c r="D336" s="22"/>
      <c r="E336" s="22"/>
      <c r="F336" s="22"/>
    </row>
    <row r="337">
      <c r="A337" s="22"/>
      <c r="B337" s="22"/>
      <c r="C337" s="22"/>
      <c r="D337" s="22"/>
      <c r="E337" s="22"/>
      <c r="F337" s="22"/>
    </row>
    <row r="338">
      <c r="A338" s="22"/>
      <c r="B338" s="22"/>
      <c r="C338" s="22"/>
      <c r="D338" s="22"/>
      <c r="E338" s="22"/>
      <c r="F338" s="22"/>
    </row>
    <row r="339">
      <c r="A339" s="22"/>
      <c r="B339" s="22"/>
      <c r="C339" s="22"/>
      <c r="D339" s="22"/>
      <c r="E339" s="22"/>
      <c r="F339" s="22"/>
    </row>
    <row r="340">
      <c r="A340" s="22"/>
      <c r="B340" s="22"/>
      <c r="C340" s="22"/>
      <c r="D340" s="22"/>
      <c r="E340" s="22"/>
      <c r="F340" s="22"/>
    </row>
    <row r="341">
      <c r="A341" s="22"/>
      <c r="B341" s="22"/>
      <c r="C341" s="22"/>
      <c r="D341" s="22"/>
      <c r="E341" s="22"/>
      <c r="F341" s="22"/>
    </row>
    <row r="342">
      <c r="A342" s="22"/>
      <c r="B342" s="22"/>
      <c r="C342" s="22"/>
      <c r="D342" s="22"/>
      <c r="E342" s="22"/>
      <c r="F342" s="22"/>
    </row>
    <row r="343">
      <c r="A343" s="22"/>
      <c r="B343" s="22"/>
      <c r="C343" s="22"/>
      <c r="D343" s="22"/>
      <c r="E343" s="22"/>
      <c r="F343" s="22"/>
    </row>
    <row r="344">
      <c r="A344" s="22"/>
      <c r="B344" s="22"/>
      <c r="C344" s="22"/>
      <c r="D344" s="22"/>
      <c r="E344" s="22"/>
      <c r="F344" s="22"/>
    </row>
    <row r="345">
      <c r="A345" s="22"/>
      <c r="B345" s="22"/>
      <c r="C345" s="22"/>
      <c r="D345" s="22"/>
      <c r="E345" s="22"/>
      <c r="F345" s="22"/>
    </row>
    <row r="346">
      <c r="A346" s="22"/>
      <c r="B346" s="22"/>
      <c r="C346" s="22"/>
      <c r="D346" s="22"/>
      <c r="E346" s="22"/>
      <c r="F346" s="22"/>
    </row>
    <row r="347">
      <c r="A347" s="22"/>
      <c r="B347" s="22"/>
      <c r="C347" s="22"/>
      <c r="D347" s="22"/>
      <c r="E347" s="22"/>
      <c r="F347" s="22"/>
    </row>
    <row r="348">
      <c r="A348" s="22"/>
      <c r="B348" s="22"/>
      <c r="C348" s="22"/>
      <c r="D348" s="22"/>
      <c r="E348" s="22"/>
      <c r="F348" s="22"/>
    </row>
    <row r="349">
      <c r="A349" s="22"/>
      <c r="B349" s="22"/>
      <c r="C349" s="22"/>
      <c r="D349" s="22"/>
      <c r="E349" s="22"/>
      <c r="F349" s="22"/>
    </row>
    <row r="350">
      <c r="A350" s="22"/>
      <c r="B350" s="22"/>
      <c r="C350" s="22"/>
      <c r="D350" s="22"/>
      <c r="E350" s="22"/>
      <c r="F350" s="22"/>
    </row>
    <row r="351">
      <c r="A351" s="22"/>
      <c r="B351" s="22"/>
      <c r="C351" s="22"/>
      <c r="D351" s="22"/>
      <c r="E351" s="22"/>
      <c r="F351" s="22"/>
    </row>
    <row r="352">
      <c r="A352" s="22"/>
      <c r="B352" s="22"/>
      <c r="C352" s="22"/>
      <c r="D352" s="22"/>
      <c r="E352" s="22"/>
      <c r="F352" s="22"/>
    </row>
    <row r="353">
      <c r="A353" s="22"/>
      <c r="B353" s="22"/>
      <c r="C353" s="22"/>
      <c r="D353" s="22"/>
      <c r="E353" s="22"/>
      <c r="F353" s="22"/>
    </row>
    <row r="354">
      <c r="A354" s="22"/>
      <c r="B354" s="22"/>
      <c r="C354" s="22"/>
      <c r="D354" s="22"/>
      <c r="E354" s="22"/>
      <c r="F354" s="22"/>
    </row>
    <row r="355">
      <c r="A355" s="22"/>
      <c r="B355" s="22"/>
      <c r="C355" s="22"/>
      <c r="D355" s="22"/>
      <c r="E355" s="22"/>
      <c r="F355" s="22"/>
    </row>
    <row r="356">
      <c r="A356" s="22"/>
      <c r="B356" s="22"/>
      <c r="C356" s="22"/>
      <c r="D356" s="22"/>
      <c r="E356" s="22"/>
      <c r="F356" s="22"/>
    </row>
    <row r="357">
      <c r="A357" s="22"/>
      <c r="B357" s="22"/>
      <c r="C357" s="22"/>
      <c r="D357" s="22"/>
      <c r="E357" s="22"/>
      <c r="F357" s="22"/>
    </row>
    <row r="358">
      <c r="A358" s="22"/>
      <c r="B358" s="22"/>
      <c r="C358" s="22"/>
      <c r="D358" s="22"/>
      <c r="E358" s="22"/>
      <c r="F358" s="22"/>
    </row>
    <row r="359">
      <c r="A359" s="22"/>
      <c r="B359" s="22"/>
      <c r="C359" s="22"/>
      <c r="D359" s="22"/>
      <c r="E359" s="22"/>
      <c r="F359" s="22"/>
    </row>
    <row r="360">
      <c r="A360" s="22"/>
      <c r="B360" s="22"/>
      <c r="C360" s="22"/>
      <c r="D360" s="22"/>
      <c r="E360" s="22"/>
      <c r="F360" s="22"/>
    </row>
    <row r="361">
      <c r="A361" s="22"/>
      <c r="B361" s="22"/>
      <c r="C361" s="22"/>
      <c r="D361" s="22"/>
      <c r="E361" s="22"/>
      <c r="F361" s="22"/>
    </row>
    <row r="362">
      <c r="A362" s="22"/>
      <c r="B362" s="22"/>
      <c r="C362" s="22"/>
      <c r="D362" s="22"/>
      <c r="E362" s="22"/>
      <c r="F362" s="22"/>
    </row>
    <row r="363">
      <c r="A363" s="22"/>
      <c r="B363" s="22"/>
      <c r="C363" s="22"/>
      <c r="D363" s="22"/>
      <c r="E363" s="22"/>
      <c r="F363" s="22"/>
    </row>
    <row r="364">
      <c r="A364" s="22"/>
      <c r="B364" s="22"/>
      <c r="C364" s="22"/>
      <c r="D364" s="22"/>
      <c r="E364" s="22"/>
      <c r="F364" s="22"/>
    </row>
    <row r="365">
      <c r="A365" s="22"/>
      <c r="B365" s="22"/>
      <c r="C365" s="22"/>
      <c r="D365" s="22"/>
      <c r="E365" s="22"/>
      <c r="F365" s="22"/>
    </row>
    <row r="366">
      <c r="A366" s="22"/>
      <c r="B366" s="22"/>
      <c r="C366" s="22"/>
      <c r="D366" s="22"/>
      <c r="E366" s="22"/>
      <c r="F366" s="22"/>
    </row>
    <row r="367">
      <c r="A367" s="22"/>
      <c r="B367" s="22"/>
      <c r="C367" s="22"/>
      <c r="D367" s="22"/>
      <c r="E367" s="22"/>
      <c r="F367" s="22"/>
    </row>
    <row r="368">
      <c r="A368" s="22"/>
      <c r="B368" s="22"/>
      <c r="C368" s="22"/>
      <c r="D368" s="22"/>
      <c r="E368" s="22"/>
      <c r="F368" s="22"/>
    </row>
    <row r="369">
      <c r="A369" s="22"/>
      <c r="B369" s="22"/>
      <c r="C369" s="22"/>
      <c r="D369" s="22"/>
      <c r="E369" s="22"/>
      <c r="F369" s="22"/>
    </row>
    <row r="370">
      <c r="A370" s="22"/>
      <c r="B370" s="22"/>
      <c r="C370" s="22"/>
      <c r="D370" s="22"/>
      <c r="E370" s="22"/>
      <c r="F370" s="22"/>
    </row>
    <row r="371">
      <c r="A371" s="22"/>
      <c r="B371" s="22"/>
      <c r="C371" s="22"/>
      <c r="D371" s="22"/>
      <c r="E371" s="22"/>
      <c r="F371" s="22"/>
    </row>
    <row r="372">
      <c r="A372" s="22"/>
      <c r="B372" s="22"/>
      <c r="C372" s="22"/>
      <c r="D372" s="22"/>
      <c r="E372" s="22"/>
      <c r="F372" s="22"/>
    </row>
    <row r="373">
      <c r="A373" s="22"/>
      <c r="B373" s="22"/>
      <c r="C373" s="22"/>
      <c r="D373" s="22"/>
      <c r="E373" s="22"/>
      <c r="F373" s="22"/>
    </row>
    <row r="374">
      <c r="A374" s="22"/>
      <c r="B374" s="22"/>
      <c r="C374" s="22"/>
      <c r="D374" s="22"/>
      <c r="E374" s="22"/>
      <c r="F374" s="22"/>
    </row>
    <row r="375">
      <c r="A375" s="22"/>
      <c r="B375" s="22"/>
      <c r="C375" s="22"/>
      <c r="D375" s="22"/>
      <c r="E375" s="22"/>
      <c r="F375" s="22"/>
    </row>
    <row r="376">
      <c r="A376" s="22"/>
      <c r="B376" s="22"/>
      <c r="C376" s="22"/>
      <c r="D376" s="22"/>
      <c r="E376" s="22"/>
      <c r="F376" s="22"/>
    </row>
    <row r="377">
      <c r="A377" s="22"/>
      <c r="B377" s="22"/>
      <c r="C377" s="22"/>
      <c r="D377" s="22"/>
      <c r="E377" s="22"/>
      <c r="F377" s="22"/>
    </row>
    <row r="378">
      <c r="A378" s="22"/>
      <c r="B378" s="22"/>
      <c r="C378" s="22"/>
      <c r="D378" s="22"/>
      <c r="E378" s="22"/>
      <c r="F378" s="22"/>
    </row>
    <row r="379">
      <c r="A379" s="22"/>
      <c r="B379" s="22"/>
      <c r="C379" s="22"/>
      <c r="D379" s="22"/>
      <c r="E379" s="22"/>
      <c r="F379" s="22"/>
    </row>
    <row r="380">
      <c r="A380" s="22"/>
      <c r="B380" s="22"/>
      <c r="C380" s="22"/>
      <c r="D380" s="22"/>
      <c r="E380" s="22"/>
      <c r="F380" s="22"/>
    </row>
    <row r="381">
      <c r="A381" s="22"/>
      <c r="B381" s="22"/>
      <c r="C381" s="22"/>
      <c r="D381" s="22"/>
      <c r="E381" s="22"/>
      <c r="F381" s="22"/>
    </row>
    <row r="382">
      <c r="A382" s="22"/>
      <c r="B382" s="22"/>
      <c r="C382" s="22"/>
      <c r="D382" s="22"/>
      <c r="E382" s="22"/>
      <c r="F382" s="22"/>
    </row>
    <row r="383">
      <c r="A383" s="22"/>
      <c r="B383" s="22"/>
      <c r="C383" s="22"/>
      <c r="D383" s="22"/>
      <c r="E383" s="22"/>
      <c r="F383" s="22"/>
    </row>
    <row r="384">
      <c r="A384" s="22"/>
      <c r="B384" s="22"/>
      <c r="C384" s="22"/>
      <c r="D384" s="22"/>
      <c r="E384" s="22"/>
      <c r="F384" s="22"/>
    </row>
    <row r="385">
      <c r="A385" s="22"/>
      <c r="B385" s="22"/>
      <c r="C385" s="22"/>
      <c r="D385" s="22"/>
      <c r="E385" s="22"/>
      <c r="F385" s="22"/>
    </row>
    <row r="386">
      <c r="A386" s="22"/>
      <c r="B386" s="22"/>
      <c r="C386" s="22"/>
      <c r="D386" s="22"/>
      <c r="E386" s="22"/>
      <c r="F386" s="22"/>
    </row>
    <row r="387">
      <c r="A387" s="22"/>
      <c r="B387" s="22"/>
      <c r="C387" s="22"/>
      <c r="D387" s="22"/>
      <c r="E387" s="22"/>
      <c r="F387" s="22"/>
    </row>
    <row r="388">
      <c r="A388" s="22"/>
      <c r="B388" s="22"/>
      <c r="C388" s="22"/>
      <c r="D388" s="22"/>
      <c r="E388" s="22"/>
      <c r="F388" s="22"/>
    </row>
    <row r="389">
      <c r="A389" s="22"/>
      <c r="B389" s="22"/>
      <c r="C389" s="22"/>
      <c r="D389" s="22"/>
      <c r="E389" s="22"/>
      <c r="F389" s="22"/>
    </row>
    <row r="390">
      <c r="A390" s="22"/>
      <c r="B390" s="22"/>
      <c r="C390" s="22"/>
      <c r="D390" s="22"/>
      <c r="E390" s="22"/>
      <c r="F390" s="22"/>
    </row>
    <row r="391">
      <c r="A391" s="22"/>
      <c r="B391" s="22"/>
      <c r="C391" s="22"/>
      <c r="D391" s="22"/>
      <c r="E391" s="22"/>
      <c r="F391" s="22"/>
    </row>
    <row r="392">
      <c r="A392" s="22"/>
      <c r="B392" s="22"/>
      <c r="C392" s="22"/>
      <c r="D392" s="22"/>
      <c r="E392" s="22"/>
      <c r="F392" s="22"/>
    </row>
    <row r="393">
      <c r="A393" s="22"/>
      <c r="B393" s="22"/>
      <c r="C393" s="22"/>
      <c r="D393" s="22"/>
      <c r="E393" s="22"/>
      <c r="F393" s="22"/>
    </row>
    <row r="394">
      <c r="A394" s="22"/>
      <c r="B394" s="22"/>
      <c r="C394" s="22"/>
      <c r="D394" s="22"/>
      <c r="E394" s="22"/>
      <c r="F394" s="22"/>
    </row>
    <row r="395">
      <c r="A395" s="22"/>
      <c r="B395" s="22"/>
      <c r="C395" s="22"/>
      <c r="D395" s="22"/>
      <c r="E395" s="22"/>
      <c r="F395" s="22"/>
    </row>
    <row r="396">
      <c r="A396" s="22"/>
      <c r="B396" s="22"/>
      <c r="C396" s="22"/>
      <c r="D396" s="22"/>
      <c r="E396" s="22"/>
      <c r="F396" s="22"/>
    </row>
    <row r="397">
      <c r="A397" s="22"/>
      <c r="B397" s="22"/>
      <c r="C397" s="22"/>
      <c r="D397" s="22"/>
      <c r="E397" s="22"/>
      <c r="F397" s="22"/>
    </row>
    <row r="398">
      <c r="A398" s="22"/>
      <c r="B398" s="22"/>
      <c r="C398" s="22"/>
      <c r="D398" s="22"/>
      <c r="E398" s="22"/>
      <c r="F398" s="22"/>
    </row>
    <row r="399">
      <c r="A399" s="22"/>
      <c r="B399" s="22"/>
      <c r="C399" s="22"/>
      <c r="D399" s="22"/>
      <c r="E399" s="22"/>
      <c r="F399" s="22"/>
    </row>
    <row r="400">
      <c r="A400" s="22"/>
      <c r="B400" s="22"/>
      <c r="C400" s="22"/>
      <c r="D400" s="22"/>
      <c r="E400" s="22"/>
      <c r="F400" s="22"/>
    </row>
    <row r="401">
      <c r="A401" s="22"/>
      <c r="B401" s="22"/>
      <c r="C401" s="22"/>
      <c r="D401" s="22"/>
      <c r="E401" s="22"/>
      <c r="F401" s="22"/>
    </row>
    <row r="402">
      <c r="A402" s="22"/>
      <c r="B402" s="22"/>
      <c r="C402" s="22"/>
      <c r="D402" s="22"/>
      <c r="E402" s="22"/>
      <c r="F402" s="22"/>
    </row>
    <row r="403">
      <c r="A403" s="22"/>
      <c r="B403" s="22"/>
      <c r="C403" s="22"/>
      <c r="D403" s="22"/>
      <c r="E403" s="22"/>
      <c r="F403" s="22"/>
    </row>
    <row r="404">
      <c r="A404" s="22"/>
      <c r="B404" s="22"/>
      <c r="C404" s="22"/>
      <c r="D404" s="22"/>
      <c r="E404" s="22"/>
      <c r="F404" s="22"/>
    </row>
    <row r="405">
      <c r="A405" s="22"/>
      <c r="B405" s="22"/>
      <c r="C405" s="22"/>
      <c r="D405" s="22"/>
      <c r="E405" s="22"/>
      <c r="F405" s="22"/>
    </row>
    <row r="406">
      <c r="A406" s="22"/>
      <c r="B406" s="22"/>
      <c r="C406" s="22"/>
      <c r="D406" s="22"/>
      <c r="E406" s="22"/>
      <c r="F406" s="22"/>
    </row>
    <row r="407">
      <c r="A407" s="22"/>
      <c r="B407" s="22"/>
      <c r="C407" s="22"/>
      <c r="D407" s="22"/>
      <c r="E407" s="22"/>
      <c r="F407" s="22"/>
    </row>
    <row r="408">
      <c r="A408" s="22"/>
      <c r="B408" s="22"/>
      <c r="C408" s="22"/>
      <c r="D408" s="22"/>
      <c r="E408" s="22"/>
      <c r="F408" s="22"/>
    </row>
    <row r="409">
      <c r="A409" s="22"/>
      <c r="B409" s="22"/>
      <c r="C409" s="22"/>
      <c r="D409" s="22"/>
      <c r="E409" s="22"/>
      <c r="F409" s="22"/>
    </row>
    <row r="410">
      <c r="A410" s="22"/>
      <c r="B410" s="22"/>
      <c r="C410" s="22"/>
      <c r="D410" s="22"/>
      <c r="E410" s="22"/>
      <c r="F410" s="22"/>
    </row>
    <row r="411">
      <c r="A411" s="22"/>
      <c r="B411" s="22"/>
      <c r="C411" s="22"/>
      <c r="D411" s="22"/>
      <c r="E411" s="22"/>
      <c r="F411" s="22"/>
    </row>
    <row r="412">
      <c r="A412" s="22"/>
      <c r="B412" s="22"/>
      <c r="C412" s="22"/>
      <c r="D412" s="22"/>
      <c r="E412" s="22"/>
      <c r="F412" s="22"/>
    </row>
    <row r="413">
      <c r="A413" s="22"/>
      <c r="B413" s="22"/>
      <c r="C413" s="22"/>
      <c r="D413" s="22"/>
      <c r="E413" s="22"/>
      <c r="F413" s="22"/>
    </row>
    <row r="414">
      <c r="A414" s="22"/>
      <c r="B414" s="22"/>
      <c r="C414" s="22"/>
      <c r="D414" s="22"/>
      <c r="E414" s="22"/>
      <c r="F414" s="22"/>
    </row>
    <row r="415">
      <c r="A415" s="22"/>
      <c r="B415" s="22"/>
      <c r="C415" s="22"/>
      <c r="D415" s="22"/>
      <c r="E415" s="22"/>
      <c r="F415" s="22"/>
    </row>
    <row r="416">
      <c r="A416" s="22"/>
      <c r="B416" s="22"/>
      <c r="C416" s="22"/>
      <c r="D416" s="22"/>
      <c r="E416" s="22"/>
      <c r="F416" s="22"/>
    </row>
    <row r="417">
      <c r="A417" s="22"/>
      <c r="B417" s="22"/>
      <c r="C417" s="22"/>
      <c r="D417" s="22"/>
      <c r="E417" s="22"/>
      <c r="F417" s="22"/>
    </row>
    <row r="418">
      <c r="A418" s="22"/>
      <c r="B418" s="22"/>
      <c r="C418" s="22"/>
      <c r="D418" s="22"/>
      <c r="E418" s="22"/>
      <c r="F418" s="22"/>
    </row>
    <row r="419">
      <c r="A419" s="22"/>
      <c r="B419" s="22"/>
      <c r="C419" s="22"/>
      <c r="D419" s="22"/>
      <c r="E419" s="22"/>
      <c r="F419" s="22"/>
    </row>
    <row r="420">
      <c r="A420" s="22"/>
      <c r="B420" s="22"/>
      <c r="C420" s="22"/>
      <c r="D420" s="22"/>
      <c r="E420" s="22"/>
      <c r="F420" s="22"/>
    </row>
    <row r="421">
      <c r="A421" s="22"/>
      <c r="B421" s="22"/>
      <c r="C421" s="22"/>
      <c r="D421" s="22"/>
      <c r="E421" s="22"/>
      <c r="F421" s="22"/>
    </row>
    <row r="422">
      <c r="A422" s="22"/>
      <c r="B422" s="22"/>
      <c r="C422" s="22"/>
      <c r="D422" s="22"/>
      <c r="E422" s="22"/>
      <c r="F422" s="22"/>
    </row>
    <row r="423">
      <c r="A423" s="22"/>
      <c r="B423" s="22"/>
      <c r="C423" s="22"/>
      <c r="D423" s="22"/>
      <c r="E423" s="22"/>
      <c r="F423" s="22"/>
    </row>
    <row r="424">
      <c r="A424" s="22"/>
      <c r="B424" s="22"/>
      <c r="C424" s="22"/>
      <c r="D424" s="22"/>
      <c r="E424" s="22"/>
      <c r="F424" s="22"/>
    </row>
    <row r="425">
      <c r="A425" s="22"/>
      <c r="B425" s="22"/>
      <c r="C425" s="22"/>
      <c r="D425" s="22"/>
      <c r="E425" s="22"/>
      <c r="F425" s="22"/>
    </row>
    <row r="426">
      <c r="A426" s="22"/>
      <c r="B426" s="22"/>
      <c r="C426" s="22"/>
      <c r="D426" s="22"/>
      <c r="E426" s="22"/>
      <c r="F426" s="22"/>
    </row>
    <row r="427">
      <c r="A427" s="22"/>
      <c r="B427" s="22"/>
      <c r="C427" s="22"/>
      <c r="D427" s="22"/>
      <c r="E427" s="22"/>
      <c r="F427" s="22"/>
    </row>
    <row r="428">
      <c r="A428" s="22"/>
      <c r="B428" s="22"/>
      <c r="C428" s="22"/>
      <c r="D428" s="22"/>
      <c r="E428" s="22"/>
      <c r="F428" s="22"/>
    </row>
    <row r="429">
      <c r="A429" s="22"/>
      <c r="B429" s="22"/>
      <c r="C429" s="22"/>
      <c r="D429" s="22"/>
      <c r="E429" s="22"/>
      <c r="F429" s="22"/>
    </row>
    <row r="430">
      <c r="A430" s="22"/>
      <c r="B430" s="22"/>
      <c r="C430" s="22"/>
      <c r="D430" s="22"/>
      <c r="E430" s="22"/>
      <c r="F430" s="22"/>
    </row>
    <row r="431">
      <c r="A431" s="22"/>
      <c r="B431" s="22"/>
      <c r="C431" s="22"/>
      <c r="D431" s="22"/>
      <c r="E431" s="22"/>
      <c r="F431" s="22"/>
    </row>
    <row r="432">
      <c r="A432" s="22"/>
      <c r="B432" s="22"/>
      <c r="C432" s="22"/>
      <c r="D432" s="22"/>
      <c r="E432" s="22"/>
      <c r="F432" s="22"/>
    </row>
    <row r="433">
      <c r="A433" s="22"/>
      <c r="B433" s="22"/>
      <c r="C433" s="22"/>
      <c r="D433" s="22"/>
      <c r="E433" s="22"/>
      <c r="F433" s="22"/>
    </row>
    <row r="434">
      <c r="A434" s="22"/>
      <c r="B434" s="22"/>
      <c r="C434" s="22"/>
      <c r="D434" s="22"/>
      <c r="E434" s="22"/>
      <c r="F434" s="22"/>
    </row>
    <row r="435">
      <c r="A435" s="22"/>
      <c r="B435" s="22"/>
      <c r="C435" s="22"/>
      <c r="D435" s="22"/>
      <c r="E435" s="22"/>
      <c r="F435" s="22"/>
    </row>
    <row r="436">
      <c r="A436" s="22"/>
      <c r="B436" s="22"/>
      <c r="C436" s="22"/>
      <c r="D436" s="22"/>
      <c r="E436" s="22"/>
      <c r="F436" s="22"/>
    </row>
    <row r="437">
      <c r="A437" s="22"/>
      <c r="B437" s="22"/>
      <c r="C437" s="22"/>
      <c r="D437" s="22"/>
      <c r="E437" s="22"/>
      <c r="F437" s="22"/>
    </row>
    <row r="438">
      <c r="A438" s="22"/>
      <c r="B438" s="22"/>
      <c r="C438" s="22"/>
      <c r="D438" s="22"/>
      <c r="E438" s="22"/>
      <c r="F438" s="22"/>
    </row>
    <row r="439">
      <c r="A439" s="22"/>
      <c r="B439" s="22"/>
      <c r="C439" s="22"/>
      <c r="D439" s="22"/>
      <c r="E439" s="22"/>
      <c r="F439" s="22"/>
    </row>
    <row r="440">
      <c r="A440" s="22"/>
      <c r="B440" s="22"/>
      <c r="C440" s="22"/>
      <c r="D440" s="22"/>
      <c r="E440" s="22"/>
      <c r="F440" s="22"/>
    </row>
    <row r="441">
      <c r="A441" s="22"/>
      <c r="B441" s="22"/>
      <c r="C441" s="22"/>
      <c r="D441" s="22"/>
      <c r="E441" s="22"/>
      <c r="F441" s="22"/>
    </row>
    <row r="442">
      <c r="A442" s="22"/>
      <c r="B442" s="22"/>
      <c r="C442" s="22"/>
      <c r="D442" s="22"/>
      <c r="E442" s="22"/>
      <c r="F442" s="22"/>
    </row>
    <row r="443">
      <c r="A443" s="22"/>
      <c r="B443" s="22"/>
      <c r="C443" s="22"/>
      <c r="D443" s="22"/>
      <c r="E443" s="22"/>
      <c r="F443" s="22"/>
    </row>
    <row r="444">
      <c r="A444" s="22"/>
      <c r="B444" s="22"/>
      <c r="C444" s="22"/>
      <c r="D444" s="22"/>
      <c r="E444" s="22"/>
      <c r="F444" s="22"/>
    </row>
    <row r="445">
      <c r="A445" s="22"/>
      <c r="B445" s="22"/>
      <c r="C445" s="22"/>
      <c r="D445" s="22"/>
      <c r="E445" s="22"/>
      <c r="F445" s="22"/>
    </row>
    <row r="446">
      <c r="A446" s="22"/>
      <c r="B446" s="22"/>
      <c r="C446" s="22"/>
      <c r="D446" s="22"/>
      <c r="E446" s="22"/>
      <c r="F446" s="22"/>
    </row>
    <row r="447">
      <c r="A447" s="22"/>
      <c r="B447" s="22"/>
      <c r="C447" s="22"/>
      <c r="D447" s="22"/>
      <c r="E447" s="22"/>
      <c r="F447" s="22"/>
    </row>
    <row r="448">
      <c r="A448" s="22"/>
      <c r="B448" s="22"/>
      <c r="C448" s="22"/>
      <c r="D448" s="22"/>
      <c r="E448" s="22"/>
      <c r="F448" s="22"/>
    </row>
    <row r="449">
      <c r="A449" s="22"/>
      <c r="B449" s="22"/>
      <c r="C449" s="22"/>
      <c r="D449" s="22"/>
      <c r="E449" s="22"/>
      <c r="F449" s="22"/>
    </row>
    <row r="450">
      <c r="A450" s="22"/>
      <c r="B450" s="22"/>
      <c r="C450" s="22"/>
      <c r="D450" s="22"/>
      <c r="E450" s="22"/>
      <c r="F450" s="22"/>
    </row>
    <row r="451">
      <c r="A451" s="22"/>
      <c r="B451" s="22"/>
      <c r="C451" s="22"/>
      <c r="D451" s="22"/>
      <c r="E451" s="22"/>
      <c r="F451" s="22"/>
    </row>
    <row r="452">
      <c r="A452" s="22"/>
      <c r="B452" s="22"/>
      <c r="C452" s="22"/>
      <c r="D452" s="22"/>
      <c r="E452" s="22"/>
      <c r="F452" s="22"/>
    </row>
    <row r="453">
      <c r="A453" s="22"/>
      <c r="B453" s="22"/>
      <c r="C453" s="22"/>
      <c r="D453" s="22"/>
      <c r="E453" s="22"/>
      <c r="F453" s="22"/>
    </row>
    <row r="454">
      <c r="A454" s="22"/>
      <c r="B454" s="22"/>
      <c r="C454" s="22"/>
      <c r="D454" s="22"/>
      <c r="E454" s="22"/>
      <c r="F454" s="22"/>
    </row>
    <row r="455">
      <c r="A455" s="22"/>
      <c r="B455" s="22"/>
      <c r="C455" s="22"/>
      <c r="D455" s="22"/>
      <c r="E455" s="22"/>
      <c r="F455" s="22"/>
    </row>
    <row r="456">
      <c r="A456" s="22"/>
      <c r="B456" s="22"/>
      <c r="C456" s="22"/>
      <c r="D456" s="22"/>
      <c r="E456" s="22"/>
      <c r="F456" s="22"/>
    </row>
    <row r="457">
      <c r="A457" s="22"/>
      <c r="B457" s="22"/>
      <c r="C457" s="22"/>
      <c r="D457" s="22"/>
      <c r="E457" s="22"/>
      <c r="F457" s="22"/>
    </row>
    <row r="458">
      <c r="A458" s="22"/>
      <c r="B458" s="22"/>
      <c r="C458" s="22"/>
      <c r="D458" s="22"/>
      <c r="E458" s="22"/>
      <c r="F458" s="22"/>
    </row>
    <row r="459">
      <c r="A459" s="22"/>
      <c r="B459" s="22"/>
      <c r="C459" s="22"/>
      <c r="D459" s="22"/>
      <c r="E459" s="22"/>
      <c r="F459" s="22"/>
    </row>
    <row r="460">
      <c r="A460" s="22"/>
      <c r="B460" s="22"/>
      <c r="C460" s="22"/>
      <c r="D460" s="22"/>
      <c r="E460" s="22"/>
      <c r="F460" s="22"/>
    </row>
    <row r="461">
      <c r="A461" s="22"/>
      <c r="B461" s="22"/>
      <c r="C461" s="22"/>
      <c r="D461" s="22"/>
      <c r="E461" s="22"/>
      <c r="F461" s="22"/>
    </row>
    <row r="462">
      <c r="A462" s="22"/>
      <c r="B462" s="22"/>
      <c r="C462" s="22"/>
      <c r="D462" s="22"/>
      <c r="E462" s="22"/>
      <c r="F462" s="22"/>
    </row>
    <row r="463">
      <c r="A463" s="22"/>
      <c r="B463" s="22"/>
      <c r="C463" s="22"/>
      <c r="D463" s="22"/>
      <c r="E463" s="22"/>
      <c r="F463" s="22"/>
    </row>
    <row r="464">
      <c r="A464" s="22"/>
      <c r="B464" s="22"/>
      <c r="C464" s="22"/>
      <c r="D464" s="22"/>
      <c r="E464" s="22"/>
      <c r="F464" s="22"/>
    </row>
    <row r="465">
      <c r="A465" s="22"/>
      <c r="B465" s="22"/>
      <c r="C465" s="22"/>
      <c r="D465" s="22"/>
      <c r="E465" s="22"/>
      <c r="F465" s="22"/>
    </row>
    <row r="466">
      <c r="A466" s="22"/>
      <c r="B466" s="22"/>
      <c r="C466" s="22"/>
      <c r="D466" s="22"/>
      <c r="E466" s="22"/>
      <c r="F466" s="22"/>
    </row>
    <row r="467">
      <c r="A467" s="22"/>
      <c r="B467" s="22"/>
      <c r="C467" s="22"/>
      <c r="D467" s="22"/>
      <c r="E467" s="22"/>
      <c r="F467" s="22"/>
    </row>
    <row r="468">
      <c r="A468" s="22"/>
      <c r="B468" s="22"/>
      <c r="C468" s="22"/>
      <c r="D468" s="22"/>
      <c r="E468" s="22"/>
      <c r="F468" s="22"/>
    </row>
    <row r="469">
      <c r="A469" s="22"/>
      <c r="B469" s="22"/>
      <c r="C469" s="22"/>
      <c r="D469" s="22"/>
      <c r="E469" s="22"/>
      <c r="F469" s="22"/>
    </row>
    <row r="470">
      <c r="A470" s="22"/>
      <c r="B470" s="22"/>
      <c r="C470" s="22"/>
      <c r="D470" s="22"/>
      <c r="E470" s="22"/>
      <c r="F470" s="22"/>
    </row>
    <row r="471">
      <c r="A471" s="22"/>
      <c r="B471" s="22"/>
      <c r="C471" s="22"/>
      <c r="D471" s="22"/>
      <c r="E471" s="22"/>
      <c r="F471" s="22"/>
    </row>
    <row r="472">
      <c r="A472" s="22"/>
      <c r="B472" s="22"/>
      <c r="C472" s="22"/>
      <c r="D472" s="22"/>
      <c r="E472" s="22"/>
      <c r="F472" s="22"/>
    </row>
    <row r="473">
      <c r="A473" s="22"/>
      <c r="B473" s="22"/>
      <c r="C473" s="22"/>
      <c r="D473" s="22"/>
      <c r="E473" s="22"/>
      <c r="F473" s="22"/>
    </row>
    <row r="474">
      <c r="A474" s="22"/>
      <c r="B474" s="22"/>
      <c r="C474" s="22"/>
      <c r="D474" s="22"/>
      <c r="E474" s="22"/>
      <c r="F474" s="22"/>
    </row>
    <row r="475">
      <c r="A475" s="22"/>
      <c r="B475" s="22"/>
      <c r="C475" s="22"/>
      <c r="D475" s="22"/>
      <c r="E475" s="22"/>
      <c r="F475" s="22"/>
    </row>
    <row r="476">
      <c r="A476" s="22"/>
      <c r="B476" s="22"/>
      <c r="C476" s="22"/>
      <c r="D476" s="22"/>
      <c r="E476" s="22"/>
      <c r="F476" s="22"/>
    </row>
    <row r="477">
      <c r="A477" s="22"/>
      <c r="B477" s="22"/>
      <c r="C477" s="22"/>
      <c r="D477" s="22"/>
      <c r="E477" s="22"/>
      <c r="F477" s="22"/>
    </row>
    <row r="478">
      <c r="A478" s="22"/>
      <c r="B478" s="22"/>
      <c r="C478" s="22"/>
      <c r="D478" s="22"/>
      <c r="E478" s="22"/>
      <c r="F478" s="22"/>
    </row>
    <row r="479">
      <c r="A479" s="22"/>
      <c r="B479" s="22"/>
      <c r="C479" s="22"/>
      <c r="D479" s="22"/>
      <c r="E479" s="22"/>
      <c r="F479" s="22"/>
    </row>
    <row r="480">
      <c r="A480" s="22"/>
      <c r="B480" s="22"/>
      <c r="C480" s="22"/>
      <c r="D480" s="22"/>
      <c r="E480" s="22"/>
      <c r="F480" s="22"/>
    </row>
    <row r="481">
      <c r="A481" s="22"/>
      <c r="B481" s="22"/>
      <c r="C481" s="22"/>
      <c r="D481" s="22"/>
      <c r="E481" s="22"/>
      <c r="F481" s="22"/>
    </row>
    <row r="482">
      <c r="A482" s="22"/>
      <c r="B482" s="22"/>
      <c r="C482" s="22"/>
      <c r="D482" s="22"/>
      <c r="E482" s="22"/>
      <c r="F482" s="22"/>
    </row>
    <row r="483">
      <c r="A483" s="22"/>
      <c r="B483" s="22"/>
      <c r="C483" s="22"/>
      <c r="D483" s="22"/>
      <c r="E483" s="22"/>
      <c r="F483" s="22"/>
    </row>
    <row r="484">
      <c r="A484" s="22"/>
      <c r="B484" s="22"/>
      <c r="C484" s="22"/>
      <c r="D484" s="22"/>
      <c r="E484" s="22"/>
      <c r="F484" s="22"/>
    </row>
    <row r="485">
      <c r="A485" s="22"/>
      <c r="B485" s="22"/>
      <c r="C485" s="22"/>
      <c r="D485" s="22"/>
      <c r="E485" s="22"/>
      <c r="F485" s="22"/>
    </row>
    <row r="486">
      <c r="A486" s="22"/>
      <c r="B486" s="22"/>
      <c r="C486" s="22"/>
      <c r="D486" s="22"/>
      <c r="E486" s="22"/>
      <c r="F486" s="22"/>
    </row>
    <row r="487">
      <c r="A487" s="22"/>
      <c r="B487" s="22"/>
      <c r="C487" s="22"/>
      <c r="D487" s="22"/>
      <c r="E487" s="22"/>
      <c r="F487" s="22"/>
    </row>
    <row r="488">
      <c r="A488" s="22"/>
      <c r="B488" s="22"/>
      <c r="C488" s="22"/>
      <c r="D488" s="22"/>
      <c r="E488" s="22"/>
      <c r="F488" s="22"/>
    </row>
    <row r="489">
      <c r="A489" s="22"/>
      <c r="B489" s="22"/>
      <c r="C489" s="22"/>
      <c r="D489" s="22"/>
      <c r="E489" s="22"/>
      <c r="F489" s="22"/>
    </row>
    <row r="490">
      <c r="A490" s="22"/>
      <c r="B490" s="22"/>
      <c r="C490" s="22"/>
      <c r="D490" s="22"/>
      <c r="E490" s="22"/>
      <c r="F490" s="22"/>
    </row>
    <row r="491">
      <c r="A491" s="22"/>
      <c r="B491" s="22"/>
      <c r="C491" s="22"/>
      <c r="D491" s="22"/>
      <c r="E491" s="22"/>
      <c r="F491" s="22"/>
    </row>
    <row r="492">
      <c r="A492" s="22"/>
      <c r="B492" s="22"/>
      <c r="C492" s="22"/>
      <c r="D492" s="22"/>
      <c r="E492" s="22"/>
      <c r="F492" s="22"/>
    </row>
    <row r="493">
      <c r="A493" s="22"/>
      <c r="B493" s="22"/>
      <c r="C493" s="22"/>
      <c r="D493" s="22"/>
      <c r="E493" s="22"/>
      <c r="F493" s="22"/>
    </row>
    <row r="494">
      <c r="A494" s="22"/>
      <c r="B494" s="22"/>
      <c r="C494" s="22"/>
      <c r="D494" s="22"/>
      <c r="E494" s="22"/>
      <c r="F494" s="22"/>
    </row>
    <row r="495">
      <c r="A495" s="22"/>
      <c r="B495" s="22"/>
      <c r="C495" s="22"/>
      <c r="D495" s="22"/>
      <c r="E495" s="22"/>
      <c r="F495" s="22"/>
    </row>
    <row r="496">
      <c r="A496" s="22"/>
      <c r="B496" s="22"/>
      <c r="C496" s="22"/>
      <c r="D496" s="22"/>
      <c r="E496" s="22"/>
      <c r="F496" s="22"/>
    </row>
    <row r="497">
      <c r="A497" s="22"/>
      <c r="B497" s="22"/>
      <c r="C497" s="22"/>
      <c r="D497" s="22"/>
      <c r="E497" s="22"/>
      <c r="F497" s="22"/>
    </row>
    <row r="498">
      <c r="A498" s="22"/>
      <c r="B498" s="22"/>
      <c r="C498" s="22"/>
      <c r="D498" s="22"/>
      <c r="E498" s="22"/>
      <c r="F498" s="22"/>
    </row>
    <row r="499">
      <c r="A499" s="22"/>
      <c r="B499" s="22"/>
      <c r="C499" s="22"/>
      <c r="D499" s="22"/>
      <c r="E499" s="22"/>
      <c r="F499" s="22"/>
    </row>
    <row r="500">
      <c r="A500" s="22"/>
      <c r="B500" s="22"/>
      <c r="C500" s="22"/>
      <c r="D500" s="22"/>
      <c r="E500" s="22"/>
      <c r="F500" s="22"/>
    </row>
    <row r="501">
      <c r="A501" s="22"/>
      <c r="B501" s="22"/>
      <c r="C501" s="22"/>
      <c r="D501" s="22"/>
      <c r="E501" s="22"/>
      <c r="F501" s="22"/>
    </row>
    <row r="502">
      <c r="A502" s="22"/>
      <c r="B502" s="22"/>
      <c r="C502" s="22"/>
      <c r="D502" s="22"/>
      <c r="E502" s="22"/>
      <c r="F502" s="22"/>
    </row>
    <row r="503">
      <c r="A503" s="22"/>
      <c r="B503" s="22"/>
      <c r="C503" s="22"/>
      <c r="D503" s="22"/>
      <c r="E503" s="22"/>
      <c r="F503" s="22"/>
    </row>
    <row r="504">
      <c r="A504" s="22"/>
      <c r="B504" s="22"/>
      <c r="C504" s="22"/>
      <c r="D504" s="22"/>
      <c r="E504" s="22"/>
      <c r="F504" s="22"/>
    </row>
    <row r="505">
      <c r="A505" s="22"/>
      <c r="B505" s="22"/>
      <c r="C505" s="22"/>
      <c r="D505" s="22"/>
      <c r="E505" s="22"/>
      <c r="F505" s="22"/>
    </row>
    <row r="506">
      <c r="A506" s="22"/>
      <c r="B506" s="22"/>
      <c r="C506" s="22"/>
      <c r="D506" s="22"/>
      <c r="E506" s="22"/>
      <c r="F506" s="22"/>
    </row>
    <row r="507">
      <c r="A507" s="22"/>
      <c r="B507" s="22"/>
      <c r="C507" s="22"/>
      <c r="D507" s="22"/>
      <c r="E507" s="22"/>
      <c r="F507" s="22"/>
    </row>
    <row r="508">
      <c r="A508" s="22"/>
      <c r="B508" s="22"/>
      <c r="C508" s="22"/>
      <c r="D508" s="22"/>
      <c r="E508" s="22"/>
      <c r="F508" s="22"/>
    </row>
    <row r="509">
      <c r="A509" s="22"/>
      <c r="B509" s="22"/>
      <c r="C509" s="22"/>
      <c r="D509" s="22"/>
      <c r="E509" s="22"/>
      <c r="F509" s="22"/>
    </row>
    <row r="510">
      <c r="A510" s="22"/>
      <c r="B510" s="22"/>
      <c r="C510" s="22"/>
      <c r="D510" s="22"/>
      <c r="E510" s="22"/>
      <c r="F510" s="22"/>
    </row>
    <row r="511">
      <c r="A511" s="22"/>
      <c r="B511" s="22"/>
      <c r="C511" s="22"/>
      <c r="D511" s="22"/>
      <c r="E511" s="22"/>
      <c r="F511" s="22"/>
    </row>
    <row r="512">
      <c r="A512" s="22"/>
      <c r="B512" s="22"/>
      <c r="C512" s="22"/>
      <c r="D512" s="22"/>
      <c r="E512" s="22"/>
      <c r="F512" s="22"/>
    </row>
    <row r="513">
      <c r="A513" s="22"/>
      <c r="B513" s="22"/>
      <c r="C513" s="22"/>
      <c r="D513" s="22"/>
      <c r="E513" s="22"/>
      <c r="F513" s="22"/>
    </row>
    <row r="514">
      <c r="A514" s="22"/>
      <c r="B514" s="22"/>
      <c r="C514" s="22"/>
      <c r="D514" s="22"/>
      <c r="E514" s="22"/>
      <c r="F514" s="22"/>
    </row>
    <row r="515">
      <c r="A515" s="22"/>
      <c r="B515" s="22"/>
      <c r="C515" s="22"/>
      <c r="D515" s="22"/>
      <c r="E515" s="22"/>
      <c r="F515" s="22"/>
    </row>
    <row r="516">
      <c r="A516" s="22"/>
      <c r="B516" s="22"/>
      <c r="C516" s="22"/>
      <c r="D516" s="22"/>
      <c r="E516" s="22"/>
      <c r="F516" s="22"/>
    </row>
    <row r="517">
      <c r="A517" s="22"/>
      <c r="B517" s="22"/>
      <c r="C517" s="22"/>
      <c r="D517" s="22"/>
      <c r="E517" s="22"/>
      <c r="F517" s="22"/>
    </row>
    <row r="518">
      <c r="A518" s="22"/>
      <c r="B518" s="22"/>
      <c r="C518" s="22"/>
      <c r="D518" s="22"/>
      <c r="E518" s="22"/>
      <c r="F518" s="22"/>
    </row>
    <row r="519">
      <c r="A519" s="22"/>
      <c r="B519" s="22"/>
      <c r="C519" s="22"/>
      <c r="D519" s="22"/>
      <c r="E519" s="22"/>
      <c r="F519" s="22"/>
    </row>
    <row r="520">
      <c r="A520" s="22"/>
      <c r="B520" s="22"/>
      <c r="C520" s="22"/>
      <c r="D520" s="22"/>
      <c r="E520" s="22"/>
      <c r="F520" s="22"/>
    </row>
    <row r="521">
      <c r="A521" s="22"/>
      <c r="B521" s="22"/>
      <c r="C521" s="22"/>
      <c r="D521" s="22"/>
      <c r="E521" s="22"/>
      <c r="F521" s="22"/>
    </row>
    <row r="522">
      <c r="A522" s="22"/>
      <c r="B522" s="22"/>
      <c r="C522" s="22"/>
      <c r="D522" s="22"/>
      <c r="E522" s="22"/>
      <c r="F522" s="22"/>
    </row>
    <row r="523">
      <c r="A523" s="22"/>
      <c r="B523" s="22"/>
      <c r="C523" s="22"/>
      <c r="D523" s="22"/>
      <c r="E523" s="22"/>
      <c r="F523" s="22"/>
    </row>
    <row r="524">
      <c r="A524" s="22"/>
      <c r="B524" s="22"/>
      <c r="C524" s="22"/>
      <c r="D524" s="22"/>
      <c r="E524" s="22"/>
      <c r="F524" s="22"/>
    </row>
    <row r="525">
      <c r="A525" s="22"/>
      <c r="B525" s="22"/>
      <c r="C525" s="22"/>
      <c r="D525" s="22"/>
      <c r="E525" s="22"/>
      <c r="F525" s="22"/>
    </row>
    <row r="526">
      <c r="A526" s="22"/>
      <c r="B526" s="22"/>
      <c r="C526" s="22"/>
      <c r="D526" s="22"/>
      <c r="E526" s="22"/>
      <c r="F526" s="22"/>
    </row>
    <row r="527">
      <c r="A527" s="22"/>
      <c r="B527" s="22"/>
      <c r="C527" s="22"/>
      <c r="D527" s="22"/>
      <c r="E527" s="22"/>
      <c r="F527" s="22"/>
    </row>
    <row r="528">
      <c r="A528" s="22"/>
      <c r="B528" s="22"/>
      <c r="C528" s="22"/>
      <c r="D528" s="22"/>
      <c r="E528" s="22"/>
      <c r="F528" s="22"/>
    </row>
    <row r="529">
      <c r="A529" s="22"/>
      <c r="B529" s="22"/>
      <c r="C529" s="22"/>
      <c r="D529" s="22"/>
      <c r="E529" s="22"/>
      <c r="F529" s="22"/>
    </row>
    <row r="530">
      <c r="A530" s="22"/>
      <c r="B530" s="22"/>
      <c r="C530" s="22"/>
      <c r="D530" s="22"/>
      <c r="E530" s="22"/>
      <c r="F530" s="22"/>
    </row>
    <row r="531">
      <c r="A531" s="22"/>
      <c r="B531" s="22"/>
      <c r="C531" s="22"/>
      <c r="D531" s="22"/>
      <c r="E531" s="22"/>
      <c r="F531" s="22"/>
    </row>
    <row r="532">
      <c r="A532" s="22"/>
      <c r="B532" s="22"/>
      <c r="C532" s="22"/>
      <c r="D532" s="22"/>
      <c r="E532" s="22"/>
      <c r="F532" s="22"/>
    </row>
    <row r="533">
      <c r="A533" s="22"/>
      <c r="B533" s="22"/>
      <c r="C533" s="22"/>
      <c r="D533" s="22"/>
      <c r="E533" s="22"/>
      <c r="F533" s="22"/>
    </row>
    <row r="534">
      <c r="A534" s="22"/>
      <c r="B534" s="22"/>
      <c r="C534" s="22"/>
      <c r="D534" s="22"/>
      <c r="E534" s="22"/>
      <c r="F534" s="22"/>
    </row>
    <row r="535">
      <c r="A535" s="22"/>
      <c r="B535" s="22"/>
      <c r="C535" s="22"/>
      <c r="D535" s="22"/>
      <c r="E535" s="22"/>
      <c r="F535" s="22"/>
    </row>
    <row r="536">
      <c r="A536" s="22"/>
      <c r="B536" s="22"/>
      <c r="C536" s="22"/>
      <c r="D536" s="22"/>
      <c r="E536" s="22"/>
      <c r="F536" s="22"/>
    </row>
    <row r="537">
      <c r="A537" s="22"/>
      <c r="B537" s="22"/>
      <c r="C537" s="22"/>
      <c r="D537" s="22"/>
      <c r="E537" s="22"/>
      <c r="F537" s="22"/>
    </row>
    <row r="538">
      <c r="A538" s="22"/>
      <c r="B538" s="22"/>
      <c r="C538" s="22"/>
      <c r="D538" s="22"/>
      <c r="E538" s="22"/>
      <c r="F538" s="22"/>
    </row>
    <row r="539">
      <c r="A539" s="22"/>
      <c r="B539" s="22"/>
      <c r="C539" s="22"/>
      <c r="D539" s="22"/>
      <c r="E539" s="22"/>
      <c r="F539" s="22"/>
    </row>
    <row r="540">
      <c r="A540" s="22"/>
      <c r="B540" s="22"/>
      <c r="C540" s="22"/>
      <c r="D540" s="22"/>
      <c r="E540" s="22"/>
      <c r="F540" s="22"/>
    </row>
    <row r="541">
      <c r="A541" s="22"/>
      <c r="B541" s="22"/>
      <c r="C541" s="22"/>
      <c r="D541" s="22"/>
      <c r="E541" s="22"/>
      <c r="F541" s="22"/>
    </row>
    <row r="542">
      <c r="A542" s="22"/>
      <c r="B542" s="22"/>
      <c r="C542" s="22"/>
      <c r="D542" s="22"/>
      <c r="E542" s="22"/>
      <c r="F542" s="22"/>
    </row>
    <row r="543">
      <c r="A543" s="22"/>
      <c r="B543" s="22"/>
      <c r="C543" s="22"/>
      <c r="D543" s="22"/>
      <c r="E543" s="22"/>
      <c r="F543" s="22"/>
    </row>
    <row r="544">
      <c r="A544" s="22"/>
      <c r="B544" s="22"/>
      <c r="C544" s="22"/>
      <c r="D544" s="22"/>
      <c r="E544" s="22"/>
      <c r="F544" s="22"/>
    </row>
    <row r="545">
      <c r="A545" s="22"/>
      <c r="B545" s="22"/>
      <c r="C545" s="22"/>
      <c r="D545" s="22"/>
      <c r="E545" s="22"/>
      <c r="F545" s="22"/>
    </row>
    <row r="546">
      <c r="A546" s="22"/>
      <c r="B546" s="22"/>
      <c r="C546" s="22"/>
      <c r="D546" s="22"/>
      <c r="E546" s="22"/>
      <c r="F546" s="22"/>
    </row>
    <row r="547">
      <c r="A547" s="22"/>
      <c r="B547" s="22"/>
      <c r="C547" s="22"/>
      <c r="D547" s="22"/>
      <c r="E547" s="22"/>
      <c r="F547" s="22"/>
    </row>
    <row r="548">
      <c r="A548" s="22"/>
      <c r="B548" s="22"/>
      <c r="C548" s="22"/>
      <c r="D548" s="22"/>
      <c r="E548" s="22"/>
      <c r="F548" s="22"/>
    </row>
    <row r="549">
      <c r="A549" s="22"/>
      <c r="B549" s="22"/>
      <c r="C549" s="22"/>
      <c r="D549" s="22"/>
      <c r="E549" s="22"/>
      <c r="F549" s="22"/>
    </row>
    <row r="550">
      <c r="A550" s="22"/>
      <c r="B550" s="22"/>
      <c r="C550" s="22"/>
      <c r="D550" s="22"/>
      <c r="E550" s="22"/>
      <c r="F550" s="22"/>
    </row>
    <row r="551">
      <c r="A551" s="22"/>
      <c r="B551" s="22"/>
      <c r="C551" s="22"/>
      <c r="D551" s="22"/>
      <c r="E551" s="22"/>
      <c r="F551" s="22"/>
    </row>
    <row r="552">
      <c r="A552" s="22"/>
      <c r="B552" s="22"/>
      <c r="C552" s="22"/>
      <c r="D552" s="22"/>
      <c r="E552" s="22"/>
      <c r="F552" s="22"/>
    </row>
    <row r="553">
      <c r="A553" s="22"/>
      <c r="B553" s="22"/>
      <c r="C553" s="22"/>
      <c r="D553" s="22"/>
      <c r="E553" s="22"/>
      <c r="F553" s="22"/>
    </row>
    <row r="554">
      <c r="A554" s="22"/>
      <c r="B554" s="22"/>
      <c r="C554" s="22"/>
      <c r="D554" s="22"/>
      <c r="E554" s="22"/>
      <c r="F554" s="22"/>
    </row>
    <row r="555">
      <c r="A555" s="22"/>
      <c r="B555" s="22"/>
      <c r="C555" s="22"/>
      <c r="D555" s="22"/>
      <c r="E555" s="22"/>
      <c r="F555" s="22"/>
    </row>
    <row r="556">
      <c r="A556" s="22"/>
      <c r="B556" s="22"/>
      <c r="C556" s="22"/>
      <c r="D556" s="22"/>
      <c r="E556" s="22"/>
      <c r="F556" s="22"/>
    </row>
    <row r="557">
      <c r="A557" s="22"/>
      <c r="B557" s="22"/>
      <c r="C557" s="22"/>
      <c r="D557" s="22"/>
      <c r="E557" s="22"/>
      <c r="F557" s="22"/>
    </row>
    <row r="558">
      <c r="A558" s="22"/>
      <c r="B558" s="22"/>
      <c r="C558" s="22"/>
      <c r="D558" s="22"/>
      <c r="E558" s="22"/>
      <c r="F558" s="22"/>
    </row>
    <row r="559">
      <c r="A559" s="22"/>
      <c r="B559" s="22"/>
      <c r="C559" s="22"/>
      <c r="D559" s="22"/>
      <c r="E559" s="22"/>
      <c r="F559" s="22"/>
    </row>
    <row r="560">
      <c r="A560" s="22"/>
      <c r="B560" s="22"/>
      <c r="C560" s="22"/>
      <c r="D560" s="22"/>
      <c r="E560" s="22"/>
      <c r="F560" s="22"/>
    </row>
    <row r="561">
      <c r="A561" s="22"/>
      <c r="B561" s="22"/>
      <c r="C561" s="22"/>
      <c r="D561" s="22"/>
      <c r="E561" s="22"/>
      <c r="F561" s="22"/>
    </row>
    <row r="562">
      <c r="A562" s="22"/>
      <c r="B562" s="22"/>
      <c r="C562" s="22"/>
      <c r="D562" s="22"/>
      <c r="E562" s="22"/>
      <c r="F562" s="22"/>
    </row>
    <row r="563">
      <c r="A563" s="22"/>
      <c r="B563" s="22"/>
      <c r="C563" s="22"/>
      <c r="D563" s="22"/>
      <c r="E563" s="22"/>
      <c r="F563" s="22"/>
    </row>
    <row r="564">
      <c r="A564" s="22"/>
      <c r="B564" s="22"/>
      <c r="C564" s="22"/>
      <c r="D564" s="22"/>
      <c r="E564" s="22"/>
      <c r="F564" s="22"/>
    </row>
    <row r="565">
      <c r="A565" s="22"/>
      <c r="B565" s="22"/>
      <c r="C565" s="22"/>
      <c r="D565" s="22"/>
      <c r="E565" s="22"/>
      <c r="F565" s="22"/>
    </row>
    <row r="566">
      <c r="A566" s="22"/>
      <c r="B566" s="22"/>
      <c r="C566" s="22"/>
      <c r="D566" s="22"/>
      <c r="E566" s="22"/>
      <c r="F566" s="22"/>
    </row>
    <row r="567">
      <c r="A567" s="22"/>
      <c r="B567" s="22"/>
      <c r="C567" s="22"/>
      <c r="D567" s="22"/>
      <c r="E567" s="22"/>
      <c r="F567" s="22"/>
    </row>
    <row r="568">
      <c r="A568" s="22"/>
      <c r="B568" s="22"/>
      <c r="C568" s="22"/>
      <c r="D568" s="22"/>
      <c r="E568" s="22"/>
      <c r="F568" s="22"/>
    </row>
    <row r="569">
      <c r="A569" s="22"/>
      <c r="B569" s="22"/>
      <c r="C569" s="22"/>
      <c r="D569" s="22"/>
      <c r="E569" s="22"/>
      <c r="F569" s="22"/>
    </row>
    <row r="570">
      <c r="A570" s="22"/>
      <c r="B570" s="22"/>
      <c r="C570" s="22"/>
      <c r="D570" s="22"/>
      <c r="E570" s="22"/>
      <c r="F570" s="22"/>
    </row>
    <row r="571">
      <c r="A571" s="22"/>
      <c r="B571" s="22"/>
      <c r="C571" s="22"/>
      <c r="D571" s="22"/>
      <c r="E571" s="22"/>
      <c r="F571" s="22"/>
    </row>
    <row r="572">
      <c r="A572" s="22"/>
      <c r="B572" s="22"/>
      <c r="C572" s="22"/>
      <c r="D572" s="22"/>
      <c r="E572" s="22"/>
      <c r="F572" s="22"/>
    </row>
    <row r="573">
      <c r="A573" s="22"/>
      <c r="B573" s="22"/>
      <c r="C573" s="22"/>
      <c r="D573" s="22"/>
      <c r="E573" s="22"/>
      <c r="F573" s="22"/>
    </row>
    <row r="574">
      <c r="A574" s="22"/>
      <c r="B574" s="22"/>
      <c r="C574" s="22"/>
      <c r="D574" s="22"/>
      <c r="E574" s="22"/>
      <c r="F574" s="22"/>
    </row>
    <row r="575">
      <c r="A575" s="22"/>
      <c r="B575" s="22"/>
      <c r="C575" s="22"/>
      <c r="D575" s="22"/>
      <c r="E575" s="22"/>
      <c r="F575" s="22"/>
    </row>
    <row r="576">
      <c r="A576" s="22"/>
      <c r="B576" s="22"/>
      <c r="C576" s="22"/>
      <c r="D576" s="22"/>
      <c r="E576" s="22"/>
      <c r="F576" s="22"/>
    </row>
    <row r="577">
      <c r="A577" s="22"/>
      <c r="B577" s="22"/>
      <c r="C577" s="22"/>
      <c r="D577" s="22"/>
      <c r="E577" s="22"/>
      <c r="F577" s="22"/>
    </row>
    <row r="578">
      <c r="A578" s="22"/>
      <c r="B578" s="22"/>
      <c r="C578" s="22"/>
      <c r="D578" s="22"/>
      <c r="E578" s="22"/>
      <c r="F578" s="22"/>
    </row>
    <row r="579">
      <c r="A579" s="22"/>
      <c r="B579" s="22"/>
      <c r="C579" s="22"/>
      <c r="D579" s="22"/>
      <c r="E579" s="22"/>
      <c r="F579" s="22"/>
    </row>
    <row r="580">
      <c r="A580" s="22"/>
      <c r="B580" s="22"/>
      <c r="C580" s="22"/>
      <c r="D580" s="22"/>
      <c r="E580" s="22"/>
      <c r="F580" s="22"/>
    </row>
    <row r="581">
      <c r="A581" s="22"/>
      <c r="B581" s="22"/>
      <c r="C581" s="22"/>
      <c r="D581" s="22"/>
      <c r="E581" s="22"/>
      <c r="F581" s="22"/>
    </row>
    <row r="582">
      <c r="A582" s="22"/>
      <c r="B582" s="22"/>
      <c r="C582" s="22"/>
      <c r="D582" s="22"/>
      <c r="E582" s="22"/>
      <c r="F582" s="22"/>
    </row>
    <row r="583">
      <c r="A583" s="22"/>
      <c r="B583" s="22"/>
      <c r="C583" s="22"/>
      <c r="D583" s="22"/>
      <c r="E583" s="22"/>
      <c r="F583" s="22"/>
    </row>
    <row r="584">
      <c r="A584" s="22"/>
      <c r="B584" s="22"/>
      <c r="C584" s="22"/>
      <c r="D584" s="22"/>
      <c r="E584" s="22"/>
      <c r="F584" s="22"/>
    </row>
    <row r="585">
      <c r="A585" s="22"/>
      <c r="B585" s="22"/>
      <c r="C585" s="22"/>
      <c r="D585" s="22"/>
      <c r="E585" s="22"/>
      <c r="F585" s="22"/>
    </row>
    <row r="586">
      <c r="A586" s="22"/>
      <c r="B586" s="22"/>
      <c r="C586" s="22"/>
      <c r="D586" s="22"/>
      <c r="E586" s="22"/>
      <c r="F586" s="22"/>
    </row>
    <row r="587">
      <c r="A587" s="22"/>
      <c r="B587" s="22"/>
      <c r="C587" s="22"/>
      <c r="D587" s="22"/>
      <c r="E587" s="22"/>
      <c r="F587" s="22"/>
    </row>
    <row r="588">
      <c r="A588" s="22"/>
      <c r="B588" s="22"/>
      <c r="C588" s="22"/>
      <c r="D588" s="22"/>
      <c r="E588" s="22"/>
      <c r="F588" s="22"/>
    </row>
    <row r="589">
      <c r="A589" s="22"/>
      <c r="B589" s="22"/>
      <c r="C589" s="22"/>
      <c r="D589" s="22"/>
      <c r="E589" s="22"/>
      <c r="F589" s="22"/>
    </row>
    <row r="590">
      <c r="A590" s="22"/>
      <c r="B590" s="22"/>
      <c r="C590" s="22"/>
      <c r="D590" s="22"/>
      <c r="E590" s="22"/>
      <c r="F590" s="22"/>
    </row>
    <row r="591">
      <c r="A591" s="22"/>
      <c r="B591" s="22"/>
      <c r="C591" s="22"/>
      <c r="D591" s="22"/>
      <c r="E591" s="22"/>
      <c r="F591" s="22"/>
    </row>
    <row r="592">
      <c r="A592" s="22"/>
      <c r="B592" s="22"/>
      <c r="C592" s="22"/>
      <c r="D592" s="22"/>
      <c r="E592" s="22"/>
      <c r="F592" s="22"/>
    </row>
    <row r="593">
      <c r="A593" s="22"/>
      <c r="B593" s="22"/>
      <c r="C593" s="22"/>
      <c r="D593" s="22"/>
      <c r="E593" s="22"/>
      <c r="F593" s="22"/>
    </row>
    <row r="594">
      <c r="A594" s="22"/>
      <c r="B594" s="22"/>
      <c r="C594" s="22"/>
      <c r="D594" s="22"/>
      <c r="E594" s="22"/>
      <c r="F594" s="22"/>
    </row>
    <row r="595">
      <c r="A595" s="22"/>
      <c r="B595" s="22"/>
      <c r="C595" s="22"/>
      <c r="D595" s="22"/>
      <c r="E595" s="22"/>
      <c r="F595" s="22"/>
    </row>
    <row r="596">
      <c r="A596" s="22"/>
      <c r="B596" s="22"/>
      <c r="C596" s="22"/>
      <c r="D596" s="22"/>
      <c r="E596" s="22"/>
      <c r="F596" s="22"/>
    </row>
    <row r="597">
      <c r="A597" s="22"/>
      <c r="B597" s="22"/>
      <c r="C597" s="22"/>
      <c r="D597" s="22"/>
      <c r="E597" s="22"/>
      <c r="F597" s="22"/>
    </row>
    <row r="598">
      <c r="A598" s="22"/>
      <c r="B598" s="22"/>
      <c r="C598" s="22"/>
      <c r="D598" s="22"/>
      <c r="E598" s="22"/>
      <c r="F598" s="22"/>
    </row>
    <row r="599">
      <c r="A599" s="22"/>
      <c r="B599" s="22"/>
      <c r="C599" s="22"/>
      <c r="D599" s="22"/>
      <c r="E599" s="22"/>
      <c r="F599" s="22"/>
    </row>
    <row r="600">
      <c r="A600" s="22"/>
      <c r="B600" s="22"/>
      <c r="C600" s="22"/>
      <c r="D600" s="22"/>
      <c r="E600" s="22"/>
      <c r="F600" s="22"/>
    </row>
    <row r="601">
      <c r="A601" s="22"/>
      <c r="B601" s="22"/>
      <c r="C601" s="22"/>
      <c r="D601" s="22"/>
      <c r="E601" s="22"/>
      <c r="F601" s="22"/>
    </row>
    <row r="602">
      <c r="A602" s="22"/>
      <c r="B602" s="22"/>
      <c r="C602" s="22"/>
      <c r="D602" s="22"/>
      <c r="E602" s="22"/>
      <c r="F602" s="22"/>
    </row>
    <row r="603">
      <c r="A603" s="22"/>
      <c r="B603" s="22"/>
      <c r="C603" s="22"/>
      <c r="D603" s="22"/>
      <c r="E603" s="22"/>
      <c r="F603" s="22"/>
    </row>
    <row r="604">
      <c r="A604" s="22"/>
      <c r="B604" s="22"/>
      <c r="C604" s="22"/>
      <c r="D604" s="22"/>
      <c r="E604" s="22"/>
      <c r="F604" s="22"/>
    </row>
    <row r="605">
      <c r="A605" s="22"/>
      <c r="B605" s="22"/>
      <c r="C605" s="22"/>
      <c r="D605" s="22"/>
      <c r="E605" s="22"/>
      <c r="F605" s="22"/>
    </row>
    <row r="606">
      <c r="A606" s="22"/>
      <c r="B606" s="22"/>
      <c r="C606" s="22"/>
      <c r="D606" s="22"/>
      <c r="E606" s="22"/>
      <c r="F606" s="22"/>
    </row>
    <row r="607">
      <c r="A607" s="22"/>
      <c r="B607" s="22"/>
      <c r="C607" s="22"/>
      <c r="D607" s="22"/>
      <c r="E607" s="22"/>
      <c r="F607" s="22"/>
    </row>
    <row r="608">
      <c r="A608" s="22"/>
      <c r="B608" s="22"/>
      <c r="C608" s="22"/>
      <c r="D608" s="22"/>
      <c r="E608" s="22"/>
      <c r="F608" s="22"/>
    </row>
    <row r="609">
      <c r="A609" s="22"/>
      <c r="B609" s="22"/>
      <c r="C609" s="22"/>
      <c r="D609" s="22"/>
      <c r="E609" s="22"/>
      <c r="F609" s="22"/>
    </row>
    <row r="610">
      <c r="A610" s="22"/>
      <c r="B610" s="22"/>
      <c r="C610" s="22"/>
      <c r="D610" s="22"/>
      <c r="E610" s="22"/>
      <c r="F610" s="22"/>
    </row>
    <row r="611">
      <c r="A611" s="22"/>
      <c r="B611" s="22"/>
      <c r="C611" s="22"/>
      <c r="D611" s="22"/>
      <c r="E611" s="22"/>
      <c r="F611" s="22"/>
    </row>
    <row r="612">
      <c r="A612" s="22"/>
      <c r="B612" s="22"/>
      <c r="C612" s="22"/>
      <c r="D612" s="22"/>
      <c r="E612" s="22"/>
      <c r="F612" s="22"/>
    </row>
    <row r="613">
      <c r="A613" s="22"/>
      <c r="B613" s="22"/>
      <c r="C613" s="22"/>
      <c r="D613" s="22"/>
      <c r="E613" s="22"/>
      <c r="F613" s="22"/>
    </row>
    <row r="614">
      <c r="A614" s="22"/>
      <c r="B614" s="22"/>
      <c r="C614" s="22"/>
      <c r="D614" s="22"/>
      <c r="E614" s="22"/>
      <c r="F614" s="22"/>
    </row>
    <row r="615">
      <c r="A615" s="22"/>
      <c r="B615" s="22"/>
      <c r="C615" s="22"/>
      <c r="D615" s="22"/>
      <c r="E615" s="22"/>
      <c r="F615" s="22"/>
    </row>
    <row r="616">
      <c r="A616" s="22"/>
      <c r="B616" s="22"/>
      <c r="C616" s="22"/>
      <c r="D616" s="22"/>
      <c r="E616" s="22"/>
      <c r="F616" s="22"/>
    </row>
    <row r="617">
      <c r="A617" s="22"/>
      <c r="B617" s="22"/>
      <c r="C617" s="22"/>
      <c r="D617" s="22"/>
      <c r="E617" s="22"/>
      <c r="F617" s="22"/>
    </row>
    <row r="618">
      <c r="A618" s="22"/>
      <c r="B618" s="22"/>
      <c r="C618" s="22"/>
      <c r="D618" s="22"/>
      <c r="E618" s="22"/>
      <c r="F618" s="22"/>
    </row>
    <row r="619">
      <c r="A619" s="22"/>
      <c r="B619" s="22"/>
      <c r="C619" s="22"/>
      <c r="D619" s="22"/>
      <c r="E619" s="22"/>
      <c r="F619" s="22"/>
    </row>
    <row r="620">
      <c r="A620" s="22"/>
      <c r="B620" s="22"/>
      <c r="C620" s="22"/>
      <c r="D620" s="22"/>
      <c r="E620" s="22"/>
      <c r="F620" s="22"/>
    </row>
    <row r="621">
      <c r="A621" s="22"/>
      <c r="B621" s="22"/>
      <c r="C621" s="22"/>
      <c r="D621" s="22"/>
      <c r="E621" s="22"/>
      <c r="F621" s="22"/>
    </row>
    <row r="622">
      <c r="A622" s="22"/>
      <c r="B622" s="22"/>
      <c r="C622" s="22"/>
      <c r="D622" s="22"/>
      <c r="E622" s="22"/>
      <c r="F622" s="22"/>
    </row>
    <row r="623">
      <c r="A623" s="22"/>
      <c r="B623" s="22"/>
      <c r="C623" s="22"/>
      <c r="D623" s="22"/>
      <c r="E623" s="22"/>
      <c r="F623" s="22"/>
    </row>
    <row r="624">
      <c r="A624" s="22"/>
      <c r="B624" s="22"/>
      <c r="C624" s="22"/>
      <c r="D624" s="22"/>
      <c r="E624" s="22"/>
      <c r="F624" s="22"/>
    </row>
    <row r="625">
      <c r="A625" s="22"/>
      <c r="B625" s="22"/>
      <c r="C625" s="22"/>
      <c r="D625" s="22"/>
      <c r="E625" s="22"/>
      <c r="F625" s="22"/>
    </row>
    <row r="626">
      <c r="A626" s="22"/>
      <c r="B626" s="22"/>
      <c r="C626" s="22"/>
      <c r="D626" s="22"/>
      <c r="E626" s="22"/>
      <c r="F626" s="22"/>
    </row>
    <row r="627">
      <c r="A627" s="22"/>
      <c r="B627" s="22"/>
      <c r="C627" s="22"/>
      <c r="D627" s="22"/>
      <c r="E627" s="22"/>
      <c r="F627" s="22"/>
    </row>
    <row r="628">
      <c r="A628" s="22"/>
      <c r="B628" s="22"/>
      <c r="C628" s="22"/>
      <c r="D628" s="22"/>
      <c r="E628" s="22"/>
      <c r="F628" s="22"/>
    </row>
    <row r="629">
      <c r="A629" s="22"/>
      <c r="B629" s="22"/>
      <c r="C629" s="22"/>
      <c r="D629" s="22"/>
      <c r="E629" s="22"/>
      <c r="F629" s="22"/>
    </row>
    <row r="630">
      <c r="A630" s="22"/>
      <c r="B630" s="22"/>
      <c r="C630" s="22"/>
      <c r="D630" s="22"/>
      <c r="E630" s="22"/>
      <c r="F630" s="22"/>
    </row>
    <row r="631">
      <c r="A631" s="22"/>
      <c r="B631" s="22"/>
      <c r="C631" s="22"/>
      <c r="D631" s="22"/>
      <c r="E631" s="22"/>
      <c r="F631" s="22"/>
    </row>
    <row r="632">
      <c r="A632" s="22"/>
      <c r="B632" s="22"/>
      <c r="C632" s="22"/>
      <c r="D632" s="22"/>
      <c r="E632" s="22"/>
      <c r="F632" s="22"/>
    </row>
    <row r="633">
      <c r="A633" s="22"/>
      <c r="B633" s="22"/>
      <c r="C633" s="22"/>
      <c r="D633" s="22"/>
      <c r="E633" s="22"/>
      <c r="F633" s="22"/>
    </row>
    <row r="634">
      <c r="A634" s="22"/>
      <c r="B634" s="22"/>
      <c r="C634" s="22"/>
      <c r="D634" s="22"/>
      <c r="E634" s="22"/>
      <c r="F634" s="22"/>
    </row>
    <row r="635">
      <c r="A635" s="22"/>
      <c r="B635" s="22"/>
      <c r="C635" s="22"/>
      <c r="D635" s="22"/>
      <c r="E635" s="22"/>
      <c r="F635" s="22"/>
    </row>
    <row r="636">
      <c r="A636" s="22"/>
      <c r="B636" s="22"/>
      <c r="C636" s="22"/>
      <c r="D636" s="22"/>
      <c r="E636" s="22"/>
      <c r="F636" s="22"/>
    </row>
    <row r="637">
      <c r="A637" s="22"/>
      <c r="B637" s="22"/>
      <c r="C637" s="22"/>
      <c r="D637" s="22"/>
      <c r="E637" s="22"/>
      <c r="F637" s="22"/>
    </row>
    <row r="638">
      <c r="A638" s="22"/>
      <c r="B638" s="22"/>
      <c r="C638" s="22"/>
      <c r="D638" s="22"/>
      <c r="E638" s="22"/>
      <c r="F638" s="22"/>
    </row>
    <row r="639">
      <c r="A639" s="22"/>
      <c r="B639" s="22"/>
      <c r="C639" s="22"/>
      <c r="D639" s="22"/>
      <c r="E639" s="22"/>
      <c r="F639" s="22"/>
    </row>
    <row r="640">
      <c r="A640" s="22"/>
      <c r="B640" s="22"/>
      <c r="C640" s="22"/>
      <c r="D640" s="22"/>
      <c r="E640" s="22"/>
      <c r="F640" s="22"/>
    </row>
    <row r="641">
      <c r="A641" s="22"/>
      <c r="B641" s="22"/>
      <c r="C641" s="22"/>
      <c r="D641" s="22"/>
      <c r="E641" s="22"/>
      <c r="F641" s="22"/>
    </row>
    <row r="642">
      <c r="A642" s="22"/>
      <c r="B642" s="22"/>
      <c r="C642" s="22"/>
      <c r="D642" s="22"/>
      <c r="E642" s="22"/>
      <c r="F642" s="22"/>
    </row>
    <row r="643">
      <c r="A643" s="22"/>
      <c r="B643" s="22"/>
      <c r="C643" s="22"/>
      <c r="D643" s="22"/>
      <c r="E643" s="22"/>
      <c r="F643" s="22"/>
    </row>
    <row r="644">
      <c r="A644" s="22"/>
      <c r="B644" s="22"/>
      <c r="C644" s="22"/>
      <c r="D644" s="22"/>
      <c r="E644" s="22"/>
      <c r="F644" s="22"/>
    </row>
    <row r="645">
      <c r="A645" s="22"/>
      <c r="B645" s="22"/>
      <c r="C645" s="22"/>
      <c r="D645" s="22"/>
      <c r="E645" s="22"/>
      <c r="F645" s="22"/>
    </row>
    <row r="646">
      <c r="A646" s="22"/>
      <c r="B646" s="22"/>
      <c r="C646" s="22"/>
      <c r="D646" s="22"/>
      <c r="E646" s="22"/>
      <c r="F646" s="22"/>
    </row>
    <row r="647">
      <c r="A647" s="22"/>
      <c r="B647" s="22"/>
      <c r="C647" s="22"/>
      <c r="D647" s="22"/>
      <c r="E647" s="22"/>
      <c r="F647" s="22"/>
    </row>
    <row r="648">
      <c r="A648" s="22"/>
      <c r="B648" s="22"/>
      <c r="C648" s="22"/>
      <c r="D648" s="22"/>
      <c r="E648" s="22"/>
      <c r="F648" s="22"/>
    </row>
    <row r="649">
      <c r="A649" s="22"/>
      <c r="B649" s="22"/>
      <c r="C649" s="22"/>
      <c r="D649" s="22"/>
      <c r="E649" s="22"/>
      <c r="F649" s="22"/>
    </row>
    <row r="650">
      <c r="A650" s="22"/>
      <c r="B650" s="22"/>
      <c r="C650" s="22"/>
      <c r="D650" s="22"/>
      <c r="E650" s="22"/>
      <c r="F650" s="22"/>
    </row>
    <row r="651">
      <c r="A651" s="22"/>
      <c r="B651" s="22"/>
      <c r="C651" s="22"/>
      <c r="D651" s="22"/>
      <c r="E651" s="22"/>
      <c r="F651" s="22"/>
    </row>
    <row r="652">
      <c r="A652" s="22"/>
      <c r="B652" s="22"/>
      <c r="C652" s="22"/>
      <c r="D652" s="22"/>
      <c r="E652" s="22"/>
      <c r="F652" s="22"/>
    </row>
    <row r="653">
      <c r="A653" s="22"/>
      <c r="B653" s="22"/>
      <c r="C653" s="22"/>
      <c r="D653" s="22"/>
      <c r="E653" s="22"/>
      <c r="F653" s="22"/>
    </row>
    <row r="654">
      <c r="A654" s="22"/>
      <c r="B654" s="22"/>
      <c r="C654" s="22"/>
      <c r="D654" s="22"/>
      <c r="E654" s="22"/>
      <c r="F654" s="22"/>
    </row>
    <row r="655">
      <c r="A655" s="22"/>
      <c r="B655" s="22"/>
      <c r="C655" s="22"/>
      <c r="D655" s="22"/>
      <c r="E655" s="22"/>
      <c r="F655" s="22"/>
    </row>
    <row r="656">
      <c r="A656" s="22"/>
      <c r="B656" s="22"/>
      <c r="C656" s="22"/>
      <c r="D656" s="22"/>
      <c r="E656" s="22"/>
      <c r="F656" s="22"/>
    </row>
    <row r="657">
      <c r="A657" s="22"/>
      <c r="B657" s="22"/>
      <c r="C657" s="22"/>
      <c r="D657" s="22"/>
      <c r="E657" s="22"/>
      <c r="F657" s="22"/>
    </row>
    <row r="658">
      <c r="A658" s="22"/>
      <c r="B658" s="22"/>
      <c r="C658" s="22"/>
      <c r="D658" s="22"/>
      <c r="E658" s="22"/>
      <c r="F658" s="22"/>
    </row>
    <row r="659">
      <c r="A659" s="22"/>
      <c r="B659" s="22"/>
      <c r="C659" s="22"/>
      <c r="D659" s="22"/>
      <c r="E659" s="22"/>
      <c r="F659" s="22"/>
    </row>
    <row r="660">
      <c r="A660" s="22"/>
      <c r="B660" s="22"/>
      <c r="C660" s="22"/>
      <c r="D660" s="22"/>
      <c r="E660" s="22"/>
      <c r="F660" s="22"/>
    </row>
    <row r="661">
      <c r="A661" s="22"/>
      <c r="B661" s="22"/>
      <c r="C661" s="22"/>
      <c r="D661" s="22"/>
      <c r="E661" s="22"/>
      <c r="F661" s="22"/>
    </row>
    <row r="662">
      <c r="A662" s="22"/>
      <c r="B662" s="22"/>
      <c r="C662" s="22"/>
      <c r="D662" s="22"/>
      <c r="E662" s="22"/>
      <c r="F662" s="22"/>
    </row>
    <row r="663">
      <c r="A663" s="22"/>
      <c r="B663" s="22"/>
      <c r="C663" s="22"/>
      <c r="D663" s="22"/>
      <c r="E663" s="22"/>
      <c r="F663" s="22"/>
    </row>
    <row r="664">
      <c r="A664" s="22"/>
      <c r="B664" s="22"/>
      <c r="C664" s="22"/>
      <c r="D664" s="22"/>
      <c r="E664" s="22"/>
      <c r="F664" s="22"/>
    </row>
    <row r="665">
      <c r="A665" s="22"/>
      <c r="B665" s="22"/>
      <c r="C665" s="22"/>
      <c r="D665" s="22"/>
      <c r="E665" s="22"/>
      <c r="F665" s="22"/>
    </row>
    <row r="666">
      <c r="A666" s="22"/>
      <c r="B666" s="22"/>
      <c r="C666" s="22"/>
      <c r="D666" s="22"/>
      <c r="E666" s="22"/>
      <c r="F666" s="22"/>
    </row>
    <row r="667">
      <c r="A667" s="22"/>
      <c r="B667" s="22"/>
      <c r="C667" s="22"/>
      <c r="D667" s="22"/>
      <c r="E667" s="22"/>
      <c r="F667" s="22"/>
    </row>
    <row r="668">
      <c r="A668" s="22"/>
      <c r="B668" s="22"/>
      <c r="C668" s="22"/>
      <c r="D668" s="22"/>
      <c r="E668" s="22"/>
      <c r="F668" s="22"/>
    </row>
    <row r="669">
      <c r="A669" s="22"/>
      <c r="B669" s="22"/>
      <c r="C669" s="22"/>
      <c r="D669" s="22"/>
      <c r="E669" s="22"/>
      <c r="F669" s="22"/>
    </row>
    <row r="670">
      <c r="A670" s="22"/>
      <c r="B670" s="22"/>
      <c r="C670" s="22"/>
      <c r="D670" s="22"/>
      <c r="E670" s="22"/>
      <c r="F670" s="22"/>
    </row>
    <row r="671">
      <c r="A671" s="22"/>
      <c r="B671" s="22"/>
      <c r="C671" s="22"/>
      <c r="D671" s="22"/>
      <c r="E671" s="22"/>
      <c r="F671" s="22"/>
    </row>
    <row r="672">
      <c r="A672" s="22"/>
      <c r="B672" s="22"/>
      <c r="C672" s="22"/>
      <c r="D672" s="22"/>
      <c r="E672" s="22"/>
      <c r="F672" s="22"/>
    </row>
    <row r="673">
      <c r="A673" s="22"/>
      <c r="B673" s="22"/>
      <c r="C673" s="22"/>
      <c r="D673" s="22"/>
      <c r="E673" s="22"/>
      <c r="F673" s="22"/>
    </row>
    <row r="674">
      <c r="A674" s="22"/>
      <c r="B674" s="22"/>
      <c r="C674" s="22"/>
      <c r="D674" s="22"/>
      <c r="E674" s="22"/>
      <c r="F674" s="22"/>
    </row>
    <row r="675">
      <c r="A675" s="22"/>
      <c r="B675" s="22"/>
      <c r="C675" s="22"/>
      <c r="D675" s="22"/>
      <c r="E675" s="22"/>
      <c r="F675" s="22"/>
    </row>
    <row r="676">
      <c r="A676" s="22"/>
      <c r="B676" s="22"/>
      <c r="C676" s="22"/>
      <c r="D676" s="22"/>
      <c r="E676" s="22"/>
      <c r="F676" s="22"/>
    </row>
    <row r="677">
      <c r="A677" s="22"/>
      <c r="B677" s="22"/>
      <c r="C677" s="22"/>
      <c r="D677" s="22"/>
      <c r="E677" s="22"/>
      <c r="F677" s="22"/>
    </row>
    <row r="678">
      <c r="A678" s="22"/>
      <c r="B678" s="22"/>
      <c r="C678" s="22"/>
      <c r="D678" s="22"/>
      <c r="E678" s="22"/>
      <c r="F678" s="22"/>
    </row>
    <row r="679">
      <c r="A679" s="22"/>
      <c r="B679" s="22"/>
      <c r="C679" s="22"/>
      <c r="D679" s="22"/>
      <c r="E679" s="22"/>
      <c r="F679" s="22"/>
    </row>
    <row r="680">
      <c r="A680" s="22"/>
      <c r="B680" s="22"/>
      <c r="C680" s="22"/>
      <c r="D680" s="22"/>
      <c r="E680" s="22"/>
      <c r="F680" s="22"/>
    </row>
    <row r="681">
      <c r="A681" s="22"/>
      <c r="B681" s="22"/>
      <c r="C681" s="22"/>
      <c r="D681" s="22"/>
      <c r="E681" s="22"/>
      <c r="F681" s="22"/>
    </row>
    <row r="682">
      <c r="A682" s="22"/>
      <c r="B682" s="22"/>
      <c r="C682" s="22"/>
      <c r="D682" s="22"/>
      <c r="E682" s="22"/>
      <c r="F682" s="22"/>
    </row>
    <row r="683">
      <c r="A683" s="22"/>
      <c r="B683" s="22"/>
      <c r="C683" s="22"/>
      <c r="D683" s="22"/>
      <c r="E683" s="22"/>
      <c r="F683" s="22"/>
    </row>
    <row r="684">
      <c r="A684" s="22"/>
      <c r="B684" s="22"/>
      <c r="C684" s="22"/>
      <c r="D684" s="22"/>
      <c r="E684" s="22"/>
      <c r="F684" s="22"/>
    </row>
    <row r="685">
      <c r="A685" s="22"/>
      <c r="B685" s="22"/>
      <c r="C685" s="22"/>
      <c r="D685" s="22"/>
      <c r="E685" s="22"/>
      <c r="F685" s="22"/>
    </row>
    <row r="686">
      <c r="A686" s="22"/>
      <c r="B686" s="22"/>
      <c r="C686" s="22"/>
      <c r="D686" s="22"/>
      <c r="E686" s="22"/>
      <c r="F686" s="22"/>
    </row>
    <row r="687">
      <c r="A687" s="22"/>
      <c r="B687" s="22"/>
      <c r="C687" s="22"/>
      <c r="D687" s="22"/>
      <c r="E687" s="22"/>
      <c r="F687" s="22"/>
    </row>
    <row r="688">
      <c r="A688" s="22"/>
      <c r="B688" s="22"/>
      <c r="C688" s="22"/>
      <c r="D688" s="22"/>
      <c r="E688" s="22"/>
      <c r="F688" s="22"/>
    </row>
    <row r="689">
      <c r="A689" s="22"/>
      <c r="B689" s="22"/>
      <c r="C689" s="22"/>
      <c r="D689" s="22"/>
      <c r="E689" s="22"/>
      <c r="F689" s="22"/>
    </row>
    <row r="690">
      <c r="A690" s="22"/>
      <c r="B690" s="22"/>
      <c r="C690" s="22"/>
      <c r="D690" s="22"/>
      <c r="E690" s="22"/>
      <c r="F690" s="22"/>
    </row>
    <row r="691">
      <c r="A691" s="22"/>
      <c r="B691" s="22"/>
      <c r="C691" s="22"/>
      <c r="D691" s="22"/>
      <c r="E691" s="22"/>
      <c r="F691" s="22"/>
    </row>
    <row r="692">
      <c r="A692" s="22"/>
      <c r="B692" s="22"/>
      <c r="C692" s="22"/>
      <c r="D692" s="22"/>
      <c r="E692" s="22"/>
      <c r="F692" s="22"/>
    </row>
    <row r="693">
      <c r="A693" s="22"/>
      <c r="B693" s="22"/>
      <c r="C693" s="22"/>
      <c r="D693" s="22"/>
      <c r="E693" s="22"/>
      <c r="F693" s="22"/>
    </row>
    <row r="694">
      <c r="A694" s="22"/>
      <c r="B694" s="22"/>
      <c r="C694" s="22"/>
      <c r="D694" s="22"/>
      <c r="E694" s="22"/>
      <c r="F694" s="22"/>
    </row>
    <row r="695">
      <c r="A695" s="22"/>
      <c r="B695" s="22"/>
      <c r="C695" s="22"/>
      <c r="D695" s="22"/>
      <c r="E695" s="22"/>
      <c r="F695" s="22"/>
    </row>
    <row r="696">
      <c r="A696" s="22"/>
      <c r="B696" s="22"/>
      <c r="C696" s="22"/>
      <c r="D696" s="22"/>
      <c r="E696" s="22"/>
      <c r="F696" s="22"/>
    </row>
    <row r="697">
      <c r="A697" s="22"/>
      <c r="B697" s="22"/>
      <c r="C697" s="22"/>
      <c r="D697" s="22"/>
      <c r="E697" s="22"/>
      <c r="F697" s="22"/>
    </row>
    <row r="698">
      <c r="A698" s="22"/>
      <c r="B698" s="22"/>
      <c r="C698" s="22"/>
      <c r="D698" s="22"/>
      <c r="E698" s="22"/>
      <c r="F698" s="22"/>
    </row>
    <row r="699">
      <c r="A699" s="22"/>
      <c r="B699" s="22"/>
      <c r="C699" s="22"/>
      <c r="D699" s="22"/>
      <c r="E699" s="22"/>
      <c r="F699" s="22"/>
    </row>
    <row r="700">
      <c r="A700" s="22"/>
      <c r="B700" s="22"/>
      <c r="C700" s="22"/>
      <c r="D700" s="22"/>
      <c r="E700" s="22"/>
      <c r="F700" s="22"/>
    </row>
    <row r="701">
      <c r="A701" s="22"/>
      <c r="B701" s="22"/>
      <c r="C701" s="22"/>
      <c r="D701" s="22"/>
      <c r="E701" s="22"/>
      <c r="F701" s="22"/>
    </row>
    <row r="702">
      <c r="A702" s="22"/>
      <c r="B702" s="22"/>
      <c r="C702" s="22"/>
      <c r="D702" s="22"/>
      <c r="E702" s="22"/>
      <c r="F702" s="22"/>
    </row>
    <row r="703">
      <c r="A703" s="22"/>
      <c r="B703" s="22"/>
      <c r="C703" s="22"/>
      <c r="D703" s="22"/>
      <c r="E703" s="22"/>
      <c r="F703" s="22"/>
    </row>
    <row r="704">
      <c r="A704" s="22"/>
      <c r="B704" s="22"/>
      <c r="C704" s="22"/>
      <c r="D704" s="22"/>
      <c r="E704" s="22"/>
      <c r="F704" s="22"/>
    </row>
    <row r="705">
      <c r="A705" s="22"/>
      <c r="B705" s="22"/>
      <c r="C705" s="22"/>
      <c r="D705" s="22"/>
      <c r="E705" s="22"/>
      <c r="F705" s="22"/>
    </row>
    <row r="706">
      <c r="A706" s="22"/>
      <c r="B706" s="22"/>
      <c r="C706" s="22"/>
      <c r="D706" s="22"/>
      <c r="E706" s="22"/>
      <c r="F706" s="22"/>
    </row>
    <row r="707">
      <c r="A707" s="22"/>
      <c r="B707" s="22"/>
      <c r="C707" s="22"/>
      <c r="D707" s="22"/>
      <c r="E707" s="22"/>
      <c r="F707" s="22"/>
    </row>
    <row r="708">
      <c r="A708" s="22"/>
      <c r="B708" s="22"/>
      <c r="C708" s="22"/>
      <c r="D708" s="22"/>
      <c r="E708" s="22"/>
      <c r="F708" s="22"/>
    </row>
    <row r="709">
      <c r="A709" s="22"/>
      <c r="B709" s="22"/>
      <c r="C709" s="22"/>
      <c r="D709" s="22"/>
      <c r="E709" s="22"/>
      <c r="F709" s="22"/>
    </row>
    <row r="710">
      <c r="A710" s="22"/>
      <c r="B710" s="22"/>
      <c r="C710" s="22"/>
      <c r="D710" s="22"/>
      <c r="E710" s="22"/>
      <c r="F710" s="22"/>
    </row>
    <row r="711">
      <c r="A711" s="22"/>
      <c r="B711" s="22"/>
      <c r="C711" s="22"/>
      <c r="D711" s="22"/>
      <c r="E711" s="22"/>
      <c r="F711" s="22"/>
    </row>
    <row r="712">
      <c r="A712" s="22"/>
      <c r="B712" s="22"/>
      <c r="C712" s="22"/>
      <c r="D712" s="22"/>
      <c r="E712" s="22"/>
      <c r="F712" s="22"/>
    </row>
    <row r="713">
      <c r="A713" s="22"/>
      <c r="B713" s="22"/>
      <c r="C713" s="22"/>
      <c r="D713" s="22"/>
      <c r="E713" s="22"/>
      <c r="F713" s="22"/>
    </row>
    <row r="714">
      <c r="A714" s="22"/>
      <c r="B714" s="22"/>
      <c r="C714" s="22"/>
      <c r="D714" s="22"/>
      <c r="E714" s="22"/>
      <c r="F714" s="22"/>
    </row>
    <row r="715">
      <c r="A715" s="22"/>
      <c r="B715" s="22"/>
      <c r="C715" s="22"/>
      <c r="D715" s="22"/>
      <c r="E715" s="22"/>
      <c r="F715" s="22"/>
    </row>
    <row r="716">
      <c r="A716" s="22"/>
      <c r="B716" s="22"/>
      <c r="C716" s="22"/>
      <c r="D716" s="22"/>
      <c r="E716" s="22"/>
      <c r="F716" s="22"/>
    </row>
    <row r="717">
      <c r="A717" s="22"/>
      <c r="B717" s="22"/>
      <c r="C717" s="22"/>
      <c r="D717" s="22"/>
      <c r="E717" s="22"/>
      <c r="F717" s="22"/>
    </row>
    <row r="718">
      <c r="A718" s="22"/>
      <c r="B718" s="22"/>
      <c r="C718" s="22"/>
      <c r="D718" s="22"/>
      <c r="E718" s="22"/>
      <c r="F718" s="22"/>
    </row>
    <row r="719">
      <c r="A719" s="22"/>
      <c r="B719" s="22"/>
      <c r="C719" s="22"/>
      <c r="D719" s="22"/>
      <c r="E719" s="22"/>
      <c r="F719" s="22"/>
    </row>
    <row r="720">
      <c r="A720" s="22"/>
      <c r="B720" s="22"/>
      <c r="C720" s="22"/>
      <c r="D720" s="22"/>
      <c r="E720" s="22"/>
      <c r="F720" s="22"/>
    </row>
    <row r="721">
      <c r="A721" s="22"/>
      <c r="B721" s="22"/>
      <c r="C721" s="22"/>
      <c r="D721" s="22"/>
      <c r="E721" s="22"/>
      <c r="F721" s="22"/>
    </row>
    <row r="722">
      <c r="A722" s="22"/>
      <c r="B722" s="22"/>
      <c r="C722" s="22"/>
      <c r="D722" s="22"/>
      <c r="E722" s="22"/>
      <c r="F722" s="22"/>
    </row>
    <row r="723">
      <c r="A723" s="22"/>
      <c r="B723" s="22"/>
      <c r="C723" s="22"/>
      <c r="D723" s="22"/>
      <c r="E723" s="22"/>
      <c r="F723" s="22"/>
    </row>
    <row r="724">
      <c r="A724" s="22"/>
      <c r="B724" s="22"/>
      <c r="C724" s="22"/>
      <c r="D724" s="22"/>
      <c r="E724" s="22"/>
      <c r="F724" s="22"/>
    </row>
    <row r="725">
      <c r="A725" s="22"/>
      <c r="B725" s="22"/>
      <c r="C725" s="22"/>
      <c r="D725" s="22"/>
      <c r="E725" s="22"/>
      <c r="F725" s="22"/>
    </row>
    <row r="726">
      <c r="A726" s="22"/>
      <c r="B726" s="22"/>
      <c r="C726" s="22"/>
      <c r="D726" s="22"/>
      <c r="E726" s="22"/>
      <c r="F726" s="22"/>
    </row>
    <row r="727">
      <c r="A727" s="22"/>
      <c r="B727" s="22"/>
      <c r="C727" s="22"/>
      <c r="D727" s="22"/>
      <c r="E727" s="22"/>
      <c r="F727" s="22"/>
    </row>
    <row r="728">
      <c r="A728" s="22"/>
      <c r="B728" s="22"/>
      <c r="C728" s="22"/>
      <c r="D728" s="22"/>
      <c r="E728" s="22"/>
      <c r="F728" s="22"/>
    </row>
    <row r="729">
      <c r="A729" s="22"/>
      <c r="B729" s="22"/>
      <c r="C729" s="22"/>
      <c r="D729" s="22"/>
      <c r="E729" s="22"/>
      <c r="F729" s="22"/>
    </row>
    <row r="730">
      <c r="A730" s="22"/>
      <c r="B730" s="22"/>
      <c r="C730" s="22"/>
      <c r="D730" s="22"/>
      <c r="E730" s="22"/>
      <c r="F730" s="22"/>
    </row>
    <row r="731">
      <c r="A731" s="22"/>
      <c r="B731" s="22"/>
      <c r="C731" s="22"/>
      <c r="D731" s="22"/>
      <c r="E731" s="22"/>
      <c r="F731" s="22"/>
    </row>
    <row r="732">
      <c r="A732" s="22"/>
      <c r="B732" s="22"/>
      <c r="C732" s="22"/>
      <c r="D732" s="22"/>
      <c r="E732" s="22"/>
      <c r="F732" s="22"/>
    </row>
    <row r="733">
      <c r="A733" s="22"/>
      <c r="B733" s="22"/>
      <c r="C733" s="22"/>
      <c r="D733" s="22"/>
      <c r="E733" s="22"/>
      <c r="F733" s="22"/>
    </row>
    <row r="734">
      <c r="A734" s="22"/>
      <c r="B734" s="22"/>
      <c r="C734" s="22"/>
      <c r="D734" s="22"/>
      <c r="E734" s="22"/>
      <c r="F734" s="22"/>
    </row>
    <row r="735">
      <c r="A735" s="22"/>
      <c r="B735" s="22"/>
      <c r="C735" s="22"/>
      <c r="D735" s="22"/>
      <c r="E735" s="22"/>
      <c r="F735" s="22"/>
    </row>
    <row r="736">
      <c r="A736" s="22"/>
      <c r="B736" s="22"/>
      <c r="C736" s="22"/>
      <c r="D736" s="22"/>
      <c r="E736" s="22"/>
      <c r="F736" s="22"/>
    </row>
    <row r="737">
      <c r="A737" s="22"/>
      <c r="B737" s="22"/>
      <c r="C737" s="22"/>
      <c r="D737" s="22"/>
      <c r="E737" s="22"/>
      <c r="F737" s="22"/>
    </row>
    <row r="738">
      <c r="A738" s="22"/>
      <c r="B738" s="22"/>
      <c r="C738" s="22"/>
      <c r="D738" s="22"/>
      <c r="E738" s="22"/>
      <c r="F738" s="22"/>
    </row>
    <row r="739">
      <c r="A739" s="22"/>
      <c r="B739" s="22"/>
      <c r="C739" s="22"/>
      <c r="D739" s="22"/>
      <c r="E739" s="22"/>
      <c r="F739" s="22"/>
    </row>
    <row r="740">
      <c r="A740" s="22"/>
      <c r="B740" s="22"/>
      <c r="C740" s="22"/>
      <c r="D740" s="22"/>
      <c r="E740" s="22"/>
      <c r="F740" s="22"/>
    </row>
    <row r="741">
      <c r="A741" s="22"/>
      <c r="B741" s="22"/>
      <c r="C741" s="22"/>
      <c r="D741" s="22"/>
      <c r="E741" s="22"/>
      <c r="F741" s="22"/>
    </row>
    <row r="742">
      <c r="A742" s="22"/>
      <c r="B742" s="22"/>
      <c r="C742" s="22"/>
      <c r="D742" s="22"/>
      <c r="E742" s="22"/>
      <c r="F742" s="22"/>
    </row>
    <row r="743">
      <c r="A743" s="22"/>
      <c r="B743" s="22"/>
      <c r="C743" s="22"/>
      <c r="D743" s="22"/>
      <c r="E743" s="22"/>
      <c r="F743" s="22"/>
    </row>
    <row r="744">
      <c r="A744" s="22"/>
      <c r="B744" s="22"/>
      <c r="C744" s="22"/>
      <c r="D744" s="22"/>
      <c r="E744" s="22"/>
      <c r="F744" s="22"/>
    </row>
    <row r="745">
      <c r="A745" s="22"/>
      <c r="B745" s="22"/>
      <c r="C745" s="22"/>
      <c r="D745" s="22"/>
      <c r="E745" s="22"/>
      <c r="F745" s="22"/>
    </row>
    <row r="746">
      <c r="A746" s="22"/>
      <c r="B746" s="22"/>
      <c r="C746" s="22"/>
      <c r="D746" s="22"/>
      <c r="E746" s="22"/>
      <c r="F746" s="22"/>
    </row>
    <row r="747">
      <c r="A747" s="22"/>
      <c r="B747" s="22"/>
      <c r="C747" s="22"/>
      <c r="D747" s="22"/>
      <c r="E747" s="22"/>
      <c r="F747" s="22"/>
    </row>
    <row r="748">
      <c r="A748" s="22"/>
      <c r="B748" s="22"/>
      <c r="C748" s="22"/>
      <c r="D748" s="22"/>
      <c r="E748" s="22"/>
      <c r="F748" s="22"/>
    </row>
    <row r="749">
      <c r="A749" s="22"/>
      <c r="B749" s="22"/>
      <c r="C749" s="22"/>
      <c r="D749" s="22"/>
      <c r="E749" s="22"/>
      <c r="F749" s="22"/>
    </row>
    <row r="750">
      <c r="A750" s="22"/>
      <c r="B750" s="22"/>
      <c r="C750" s="22"/>
      <c r="D750" s="22"/>
      <c r="E750" s="22"/>
      <c r="F750" s="22"/>
    </row>
    <row r="751">
      <c r="A751" s="22"/>
      <c r="B751" s="22"/>
      <c r="C751" s="22"/>
      <c r="D751" s="22"/>
      <c r="E751" s="22"/>
      <c r="F751" s="22"/>
    </row>
    <row r="752">
      <c r="A752" s="22"/>
      <c r="B752" s="22"/>
      <c r="C752" s="22"/>
      <c r="D752" s="22"/>
      <c r="E752" s="22"/>
      <c r="F752" s="22"/>
    </row>
    <row r="753">
      <c r="A753" s="22"/>
      <c r="B753" s="22"/>
      <c r="C753" s="22"/>
      <c r="D753" s="22"/>
      <c r="E753" s="22"/>
      <c r="F753" s="22"/>
    </row>
    <row r="754">
      <c r="A754" s="22"/>
      <c r="B754" s="22"/>
      <c r="C754" s="22"/>
      <c r="D754" s="22"/>
      <c r="E754" s="22"/>
      <c r="F754" s="22"/>
    </row>
    <row r="755">
      <c r="A755" s="22"/>
      <c r="B755" s="22"/>
      <c r="C755" s="22"/>
      <c r="D755" s="22"/>
      <c r="E755" s="22"/>
      <c r="F755" s="22"/>
    </row>
    <row r="756">
      <c r="A756" s="22"/>
      <c r="B756" s="22"/>
      <c r="C756" s="22"/>
      <c r="D756" s="22"/>
      <c r="E756" s="22"/>
      <c r="F756" s="22"/>
    </row>
    <row r="757">
      <c r="A757" s="22"/>
      <c r="B757" s="22"/>
      <c r="C757" s="22"/>
      <c r="D757" s="22"/>
      <c r="E757" s="22"/>
      <c r="F757" s="22"/>
    </row>
    <row r="758">
      <c r="A758" s="22"/>
      <c r="B758" s="22"/>
      <c r="C758" s="22"/>
      <c r="D758" s="22"/>
      <c r="E758" s="22"/>
      <c r="F758" s="22"/>
    </row>
    <row r="759">
      <c r="A759" s="22"/>
      <c r="B759" s="22"/>
      <c r="C759" s="22"/>
      <c r="D759" s="22"/>
      <c r="E759" s="22"/>
      <c r="F759" s="22"/>
    </row>
    <row r="760">
      <c r="A760" s="22"/>
      <c r="B760" s="22"/>
      <c r="C760" s="22"/>
      <c r="D760" s="22"/>
      <c r="E760" s="22"/>
      <c r="F760" s="22"/>
    </row>
    <row r="761">
      <c r="A761" s="22"/>
      <c r="B761" s="22"/>
      <c r="C761" s="22"/>
      <c r="D761" s="22"/>
      <c r="E761" s="22"/>
      <c r="F761" s="22"/>
    </row>
    <row r="762">
      <c r="A762" s="22"/>
      <c r="B762" s="22"/>
      <c r="C762" s="22"/>
      <c r="D762" s="22"/>
      <c r="E762" s="22"/>
      <c r="F762" s="22"/>
    </row>
    <row r="763">
      <c r="A763" s="22"/>
      <c r="B763" s="22"/>
      <c r="C763" s="22"/>
      <c r="D763" s="22"/>
      <c r="E763" s="22"/>
      <c r="F763" s="22"/>
    </row>
    <row r="764">
      <c r="A764" s="22"/>
      <c r="B764" s="22"/>
      <c r="C764" s="22"/>
      <c r="D764" s="22"/>
      <c r="E764" s="22"/>
      <c r="F764" s="22"/>
    </row>
    <row r="765">
      <c r="A765" s="22"/>
      <c r="B765" s="22"/>
      <c r="C765" s="22"/>
      <c r="D765" s="22"/>
      <c r="E765" s="22"/>
      <c r="F765" s="22"/>
    </row>
    <row r="766">
      <c r="A766" s="22"/>
      <c r="B766" s="22"/>
      <c r="C766" s="22"/>
      <c r="D766" s="22"/>
      <c r="E766" s="22"/>
      <c r="F766" s="22"/>
    </row>
    <row r="767">
      <c r="A767" s="22"/>
      <c r="B767" s="22"/>
      <c r="C767" s="22"/>
      <c r="D767" s="22"/>
      <c r="E767" s="22"/>
      <c r="F767" s="22"/>
    </row>
    <row r="768">
      <c r="A768" s="22"/>
      <c r="B768" s="22"/>
      <c r="C768" s="22"/>
      <c r="D768" s="22"/>
      <c r="E768" s="22"/>
      <c r="F768" s="22"/>
    </row>
    <row r="769">
      <c r="A769" s="22"/>
      <c r="B769" s="22"/>
      <c r="C769" s="22"/>
      <c r="D769" s="22"/>
      <c r="E769" s="22"/>
      <c r="F769" s="22"/>
    </row>
    <row r="770">
      <c r="A770" s="22"/>
      <c r="B770" s="22"/>
      <c r="C770" s="22"/>
      <c r="D770" s="22"/>
      <c r="E770" s="22"/>
      <c r="F770" s="22"/>
    </row>
    <row r="771">
      <c r="A771" s="22"/>
      <c r="B771" s="22"/>
      <c r="C771" s="22"/>
      <c r="D771" s="22"/>
      <c r="E771" s="22"/>
      <c r="F771" s="22"/>
    </row>
    <row r="772">
      <c r="A772" s="22"/>
      <c r="B772" s="22"/>
      <c r="C772" s="22"/>
      <c r="D772" s="22"/>
      <c r="E772" s="22"/>
      <c r="F772" s="22"/>
    </row>
    <row r="773">
      <c r="A773" s="22"/>
      <c r="B773" s="22"/>
      <c r="C773" s="22"/>
      <c r="D773" s="22"/>
      <c r="E773" s="22"/>
      <c r="F773" s="22"/>
    </row>
    <row r="774">
      <c r="A774" s="22"/>
      <c r="B774" s="22"/>
      <c r="C774" s="22"/>
      <c r="D774" s="22"/>
      <c r="E774" s="22"/>
      <c r="F774" s="22"/>
    </row>
    <row r="775">
      <c r="A775" s="22"/>
      <c r="B775" s="22"/>
      <c r="C775" s="22"/>
      <c r="D775" s="22"/>
      <c r="E775" s="22"/>
      <c r="F775" s="22"/>
    </row>
    <row r="776">
      <c r="A776" s="22"/>
      <c r="B776" s="22"/>
      <c r="C776" s="22"/>
      <c r="D776" s="22"/>
      <c r="E776" s="22"/>
      <c r="F776" s="22"/>
    </row>
    <row r="777">
      <c r="A777" s="22"/>
      <c r="B777" s="22"/>
      <c r="C777" s="22"/>
      <c r="D777" s="22"/>
      <c r="E777" s="22"/>
      <c r="F777" s="22"/>
    </row>
    <row r="778">
      <c r="A778" s="22"/>
      <c r="B778" s="22"/>
      <c r="C778" s="22"/>
      <c r="D778" s="22"/>
      <c r="E778" s="22"/>
      <c r="F778" s="22"/>
    </row>
    <row r="779">
      <c r="A779" s="22"/>
      <c r="B779" s="22"/>
      <c r="C779" s="22"/>
      <c r="D779" s="22"/>
      <c r="E779" s="22"/>
      <c r="F779" s="22"/>
    </row>
    <row r="780">
      <c r="A780" s="22"/>
      <c r="B780" s="22"/>
      <c r="C780" s="22"/>
      <c r="D780" s="22"/>
      <c r="E780" s="22"/>
      <c r="F780" s="22"/>
    </row>
    <row r="781">
      <c r="A781" s="22"/>
      <c r="B781" s="22"/>
      <c r="C781" s="22"/>
      <c r="D781" s="22"/>
      <c r="E781" s="22"/>
      <c r="F781" s="22"/>
    </row>
    <row r="782">
      <c r="A782" s="22"/>
      <c r="B782" s="22"/>
      <c r="C782" s="22"/>
      <c r="D782" s="22"/>
      <c r="E782" s="22"/>
      <c r="F782" s="22"/>
    </row>
    <row r="783">
      <c r="A783" s="22"/>
      <c r="B783" s="22"/>
      <c r="C783" s="22"/>
      <c r="D783" s="22"/>
      <c r="E783" s="22"/>
      <c r="F783" s="22"/>
    </row>
    <row r="784">
      <c r="A784" s="22"/>
      <c r="B784" s="22"/>
      <c r="C784" s="22"/>
      <c r="D784" s="22"/>
      <c r="E784" s="22"/>
      <c r="F784" s="22"/>
    </row>
    <row r="785">
      <c r="A785" s="22"/>
      <c r="B785" s="22"/>
      <c r="C785" s="22"/>
      <c r="D785" s="22"/>
      <c r="E785" s="22"/>
      <c r="F785" s="22"/>
    </row>
    <row r="786">
      <c r="A786" s="22"/>
      <c r="B786" s="22"/>
      <c r="C786" s="22"/>
      <c r="D786" s="22"/>
      <c r="E786" s="22"/>
      <c r="F786" s="22"/>
    </row>
    <row r="787">
      <c r="A787" s="22"/>
      <c r="B787" s="22"/>
      <c r="C787" s="22"/>
      <c r="D787" s="22"/>
      <c r="E787" s="22"/>
      <c r="F787" s="22"/>
    </row>
    <row r="788">
      <c r="A788" s="22"/>
      <c r="B788" s="22"/>
      <c r="C788" s="22"/>
      <c r="D788" s="22"/>
      <c r="E788" s="22"/>
      <c r="F788" s="22"/>
    </row>
    <row r="789">
      <c r="A789" s="22"/>
      <c r="B789" s="22"/>
      <c r="C789" s="22"/>
      <c r="D789" s="22"/>
      <c r="E789" s="22"/>
      <c r="F789" s="22"/>
    </row>
    <row r="790">
      <c r="A790" s="22"/>
      <c r="B790" s="22"/>
      <c r="C790" s="22"/>
      <c r="D790" s="22"/>
      <c r="E790" s="22"/>
      <c r="F790" s="22"/>
    </row>
    <row r="791">
      <c r="A791" s="22"/>
      <c r="B791" s="22"/>
      <c r="C791" s="22"/>
      <c r="D791" s="22"/>
      <c r="E791" s="22"/>
      <c r="F791" s="22"/>
    </row>
    <row r="792">
      <c r="A792" s="22"/>
      <c r="B792" s="22"/>
      <c r="C792" s="22"/>
      <c r="D792" s="22"/>
      <c r="E792" s="22"/>
      <c r="F792" s="22"/>
    </row>
    <row r="793">
      <c r="A793" s="22"/>
      <c r="B793" s="22"/>
      <c r="C793" s="22"/>
      <c r="D793" s="22"/>
      <c r="E793" s="22"/>
      <c r="F793" s="22"/>
    </row>
    <row r="794">
      <c r="A794" s="22"/>
      <c r="B794" s="22"/>
      <c r="C794" s="22"/>
      <c r="D794" s="22"/>
      <c r="E794" s="22"/>
      <c r="F794" s="22"/>
    </row>
    <row r="795">
      <c r="A795" s="22"/>
      <c r="B795" s="22"/>
      <c r="C795" s="22"/>
      <c r="D795" s="22"/>
      <c r="E795" s="22"/>
      <c r="F795" s="22"/>
    </row>
    <row r="796">
      <c r="A796" s="22"/>
      <c r="B796" s="22"/>
      <c r="C796" s="22"/>
      <c r="D796" s="22"/>
      <c r="E796" s="22"/>
      <c r="F796" s="22"/>
    </row>
    <row r="797">
      <c r="A797" s="22"/>
      <c r="B797" s="22"/>
      <c r="C797" s="22"/>
      <c r="D797" s="22"/>
      <c r="E797" s="22"/>
      <c r="F797" s="22"/>
    </row>
    <row r="798">
      <c r="A798" s="22"/>
      <c r="B798" s="22"/>
      <c r="C798" s="22"/>
      <c r="D798" s="22"/>
      <c r="E798" s="22"/>
      <c r="F798" s="22"/>
    </row>
    <row r="799">
      <c r="A799" s="22"/>
      <c r="B799" s="22"/>
      <c r="C799" s="22"/>
      <c r="D799" s="22"/>
      <c r="E799" s="22"/>
      <c r="F799" s="22"/>
    </row>
    <row r="800">
      <c r="A800" s="22"/>
      <c r="B800" s="22"/>
      <c r="C800" s="22"/>
      <c r="D800" s="22"/>
      <c r="E800" s="22"/>
      <c r="F800" s="22"/>
    </row>
    <row r="801">
      <c r="A801" s="22"/>
      <c r="B801" s="22"/>
      <c r="C801" s="22"/>
      <c r="D801" s="22"/>
      <c r="E801" s="22"/>
      <c r="F801" s="22"/>
    </row>
    <row r="802">
      <c r="A802" s="22"/>
      <c r="B802" s="22"/>
      <c r="C802" s="22"/>
      <c r="D802" s="22"/>
      <c r="E802" s="22"/>
      <c r="F802" s="22"/>
    </row>
    <row r="803">
      <c r="A803" s="22"/>
      <c r="B803" s="22"/>
      <c r="C803" s="22"/>
      <c r="D803" s="22"/>
      <c r="E803" s="22"/>
      <c r="F803" s="22"/>
    </row>
    <row r="804">
      <c r="A804" s="22"/>
      <c r="B804" s="22"/>
      <c r="C804" s="22"/>
      <c r="D804" s="22"/>
      <c r="E804" s="22"/>
      <c r="F804" s="22"/>
    </row>
    <row r="805">
      <c r="A805" s="22"/>
      <c r="B805" s="22"/>
      <c r="C805" s="22"/>
      <c r="D805" s="22"/>
      <c r="E805" s="22"/>
      <c r="F805" s="22"/>
    </row>
    <row r="806">
      <c r="A806" s="22"/>
      <c r="B806" s="22"/>
      <c r="C806" s="22"/>
      <c r="D806" s="22"/>
      <c r="E806" s="22"/>
      <c r="F806" s="22"/>
    </row>
    <row r="807">
      <c r="A807" s="22"/>
      <c r="B807" s="22"/>
      <c r="C807" s="22"/>
      <c r="D807" s="22"/>
      <c r="E807" s="22"/>
      <c r="F807" s="22"/>
    </row>
    <row r="808">
      <c r="A808" s="22"/>
      <c r="B808" s="22"/>
      <c r="C808" s="22"/>
      <c r="D808" s="22"/>
      <c r="E808" s="22"/>
      <c r="F808" s="22"/>
    </row>
    <row r="809">
      <c r="A809" s="22"/>
      <c r="B809" s="22"/>
      <c r="C809" s="22"/>
      <c r="D809" s="22"/>
      <c r="E809" s="22"/>
      <c r="F809" s="22"/>
    </row>
    <row r="810">
      <c r="A810" s="22"/>
      <c r="B810" s="22"/>
      <c r="C810" s="22"/>
      <c r="D810" s="22"/>
      <c r="E810" s="22"/>
      <c r="F810" s="22"/>
    </row>
    <row r="811">
      <c r="A811" s="22"/>
      <c r="B811" s="22"/>
      <c r="C811" s="22"/>
      <c r="D811" s="22"/>
      <c r="E811" s="22"/>
      <c r="F811" s="22"/>
    </row>
    <row r="812">
      <c r="A812" s="22"/>
      <c r="B812" s="22"/>
      <c r="C812" s="22"/>
      <c r="D812" s="22"/>
      <c r="E812" s="22"/>
      <c r="F812" s="22"/>
    </row>
    <row r="813">
      <c r="A813" s="22"/>
      <c r="B813" s="22"/>
      <c r="C813" s="22"/>
      <c r="D813" s="22"/>
      <c r="E813" s="22"/>
      <c r="F813" s="22"/>
    </row>
    <row r="814">
      <c r="A814" s="22"/>
      <c r="B814" s="22"/>
      <c r="C814" s="22"/>
      <c r="D814" s="22"/>
      <c r="E814" s="22"/>
      <c r="F814" s="22"/>
    </row>
    <row r="815">
      <c r="A815" s="22"/>
      <c r="B815" s="22"/>
      <c r="C815" s="22"/>
      <c r="D815" s="22"/>
      <c r="E815" s="22"/>
      <c r="F815" s="22"/>
    </row>
    <row r="816">
      <c r="A816" s="22"/>
      <c r="B816" s="22"/>
      <c r="C816" s="22"/>
      <c r="D816" s="22"/>
      <c r="E816" s="22"/>
      <c r="F816" s="22"/>
    </row>
    <row r="817">
      <c r="A817" s="22"/>
      <c r="B817" s="22"/>
      <c r="C817" s="22"/>
      <c r="D817" s="22"/>
      <c r="E817" s="22"/>
      <c r="F817" s="22"/>
    </row>
    <row r="818">
      <c r="A818" s="22"/>
      <c r="B818" s="22"/>
      <c r="C818" s="22"/>
      <c r="D818" s="22"/>
      <c r="E818" s="22"/>
      <c r="F818" s="22"/>
    </row>
    <row r="819">
      <c r="A819" s="22"/>
      <c r="B819" s="22"/>
      <c r="C819" s="22"/>
      <c r="D819" s="22"/>
      <c r="E819" s="22"/>
      <c r="F819" s="22"/>
    </row>
    <row r="820">
      <c r="A820" s="22"/>
      <c r="B820" s="22"/>
      <c r="C820" s="22"/>
      <c r="D820" s="22"/>
      <c r="E820" s="22"/>
      <c r="F820" s="22"/>
    </row>
    <row r="821">
      <c r="A821" s="22"/>
      <c r="B821" s="22"/>
      <c r="C821" s="22"/>
      <c r="D821" s="22"/>
      <c r="E821" s="22"/>
      <c r="F821" s="22"/>
    </row>
    <row r="822">
      <c r="A822" s="22"/>
      <c r="B822" s="22"/>
      <c r="C822" s="22"/>
      <c r="D822" s="22"/>
      <c r="E822" s="22"/>
      <c r="F822" s="22"/>
    </row>
    <row r="823">
      <c r="A823" s="22"/>
      <c r="B823" s="22"/>
      <c r="C823" s="22"/>
      <c r="D823" s="22"/>
      <c r="E823" s="22"/>
      <c r="F823" s="22"/>
    </row>
    <row r="824">
      <c r="A824" s="22"/>
      <c r="B824" s="22"/>
      <c r="C824" s="22"/>
      <c r="D824" s="22"/>
      <c r="E824" s="22"/>
      <c r="F824" s="22"/>
    </row>
    <row r="825">
      <c r="A825" s="22"/>
      <c r="B825" s="22"/>
      <c r="C825" s="22"/>
      <c r="D825" s="22"/>
      <c r="E825" s="22"/>
      <c r="F825" s="22"/>
    </row>
    <row r="826">
      <c r="A826" s="22"/>
      <c r="B826" s="22"/>
      <c r="C826" s="22"/>
      <c r="D826" s="22"/>
      <c r="E826" s="22"/>
      <c r="F826" s="22"/>
    </row>
    <row r="827">
      <c r="A827" s="22"/>
      <c r="B827" s="22"/>
      <c r="C827" s="22"/>
      <c r="D827" s="22"/>
      <c r="E827" s="22"/>
      <c r="F827" s="22"/>
    </row>
    <row r="828">
      <c r="A828" s="22"/>
      <c r="B828" s="22"/>
      <c r="C828" s="22"/>
      <c r="D828" s="22"/>
      <c r="E828" s="22"/>
      <c r="F828" s="22"/>
    </row>
    <row r="829">
      <c r="A829" s="22"/>
      <c r="B829" s="22"/>
      <c r="C829" s="22"/>
      <c r="D829" s="22"/>
      <c r="E829" s="22"/>
      <c r="F829" s="22"/>
    </row>
    <row r="830">
      <c r="A830" s="22"/>
      <c r="B830" s="22"/>
      <c r="C830" s="22"/>
      <c r="D830" s="22"/>
      <c r="E830" s="22"/>
      <c r="F830" s="22"/>
    </row>
    <row r="831">
      <c r="A831" s="22"/>
      <c r="B831" s="22"/>
      <c r="C831" s="22"/>
      <c r="D831" s="22"/>
      <c r="E831" s="22"/>
      <c r="F831" s="22"/>
    </row>
    <row r="832">
      <c r="A832" s="22"/>
      <c r="B832" s="22"/>
      <c r="C832" s="22"/>
      <c r="D832" s="22"/>
      <c r="E832" s="22"/>
      <c r="F832" s="22"/>
    </row>
    <row r="833">
      <c r="A833" s="22"/>
      <c r="B833" s="22"/>
      <c r="C833" s="22"/>
      <c r="D833" s="22"/>
      <c r="E833" s="22"/>
      <c r="F833" s="22"/>
    </row>
    <row r="834">
      <c r="A834" s="22"/>
      <c r="B834" s="22"/>
      <c r="C834" s="22"/>
      <c r="D834" s="22"/>
      <c r="E834" s="22"/>
      <c r="F834" s="22"/>
    </row>
    <row r="835">
      <c r="A835" s="22"/>
      <c r="B835" s="22"/>
      <c r="C835" s="22"/>
      <c r="D835" s="22"/>
      <c r="E835" s="22"/>
      <c r="F835" s="22"/>
    </row>
    <row r="836">
      <c r="A836" s="22"/>
      <c r="B836" s="22"/>
      <c r="C836" s="22"/>
      <c r="D836" s="22"/>
      <c r="E836" s="22"/>
      <c r="F836" s="22"/>
    </row>
    <row r="837">
      <c r="A837" s="22"/>
      <c r="B837" s="22"/>
      <c r="C837" s="22"/>
      <c r="D837" s="22"/>
      <c r="E837" s="22"/>
      <c r="F837" s="22"/>
    </row>
    <row r="838">
      <c r="A838" s="22"/>
      <c r="B838" s="22"/>
      <c r="C838" s="22"/>
      <c r="D838" s="22"/>
      <c r="E838" s="22"/>
      <c r="F838" s="22"/>
    </row>
    <row r="839">
      <c r="A839" s="22"/>
      <c r="B839" s="22"/>
      <c r="C839" s="22"/>
      <c r="D839" s="22"/>
      <c r="E839" s="22"/>
      <c r="F839" s="22"/>
    </row>
    <row r="840">
      <c r="A840" s="22"/>
      <c r="B840" s="22"/>
      <c r="C840" s="22"/>
      <c r="D840" s="22"/>
      <c r="E840" s="22"/>
      <c r="F840" s="22"/>
    </row>
    <row r="841">
      <c r="A841" s="22"/>
      <c r="B841" s="22"/>
      <c r="C841" s="22"/>
      <c r="D841" s="22"/>
      <c r="E841" s="22"/>
      <c r="F841" s="22"/>
    </row>
    <row r="842">
      <c r="A842" s="22"/>
      <c r="B842" s="22"/>
      <c r="C842" s="22"/>
      <c r="D842" s="22"/>
      <c r="E842" s="22"/>
      <c r="F842" s="22"/>
    </row>
    <row r="843">
      <c r="A843" s="22"/>
      <c r="B843" s="22"/>
      <c r="C843" s="22"/>
      <c r="D843" s="22"/>
      <c r="E843" s="22"/>
      <c r="F843" s="22"/>
    </row>
    <row r="844">
      <c r="A844" s="22"/>
      <c r="B844" s="22"/>
      <c r="C844" s="22"/>
      <c r="D844" s="22"/>
      <c r="E844" s="22"/>
      <c r="F844" s="22"/>
    </row>
    <row r="845">
      <c r="A845" s="22"/>
      <c r="B845" s="22"/>
      <c r="C845" s="22"/>
      <c r="D845" s="22"/>
      <c r="E845" s="22"/>
      <c r="F845" s="22"/>
    </row>
    <row r="846">
      <c r="A846" s="22"/>
      <c r="B846" s="22"/>
      <c r="C846" s="22"/>
      <c r="D846" s="22"/>
      <c r="E846" s="22"/>
      <c r="F846" s="22"/>
    </row>
    <row r="847">
      <c r="A847" s="22"/>
      <c r="B847" s="22"/>
      <c r="C847" s="22"/>
      <c r="D847" s="22"/>
      <c r="E847" s="22"/>
      <c r="F847" s="22"/>
    </row>
    <row r="848">
      <c r="A848" s="22"/>
      <c r="B848" s="22"/>
      <c r="C848" s="22"/>
      <c r="D848" s="22"/>
      <c r="E848" s="22"/>
      <c r="F848" s="22"/>
    </row>
    <row r="849">
      <c r="A849" s="22"/>
      <c r="B849" s="22"/>
      <c r="C849" s="22"/>
      <c r="D849" s="22"/>
      <c r="E849" s="22"/>
      <c r="F849" s="22"/>
    </row>
    <row r="850">
      <c r="A850" s="22"/>
      <c r="B850" s="22"/>
      <c r="C850" s="22"/>
      <c r="D850" s="22"/>
      <c r="E850" s="22"/>
      <c r="F850" s="22"/>
    </row>
    <row r="851">
      <c r="A851" s="22"/>
      <c r="B851" s="22"/>
      <c r="C851" s="22"/>
      <c r="D851" s="22"/>
      <c r="E851" s="22"/>
      <c r="F851" s="22"/>
    </row>
    <row r="852">
      <c r="A852" s="22"/>
      <c r="B852" s="22"/>
      <c r="C852" s="22"/>
      <c r="D852" s="22"/>
      <c r="E852" s="22"/>
      <c r="F852" s="22"/>
    </row>
    <row r="853">
      <c r="A853" s="22"/>
      <c r="B853" s="22"/>
      <c r="C853" s="22"/>
      <c r="D853" s="22"/>
      <c r="E853" s="22"/>
      <c r="F853" s="22"/>
    </row>
    <row r="854">
      <c r="A854" s="22"/>
      <c r="B854" s="22"/>
      <c r="C854" s="22"/>
      <c r="D854" s="22"/>
      <c r="E854" s="22"/>
      <c r="F854" s="22"/>
    </row>
    <row r="855">
      <c r="A855" s="22"/>
      <c r="B855" s="22"/>
      <c r="C855" s="22"/>
      <c r="D855" s="22"/>
      <c r="E855" s="22"/>
      <c r="F855" s="22"/>
    </row>
    <row r="856">
      <c r="A856" s="22"/>
      <c r="B856" s="22"/>
      <c r="C856" s="22"/>
      <c r="D856" s="22"/>
      <c r="E856" s="22"/>
      <c r="F856" s="22"/>
    </row>
    <row r="857">
      <c r="A857" s="22"/>
      <c r="B857" s="22"/>
      <c r="C857" s="22"/>
      <c r="D857" s="22"/>
      <c r="E857" s="22"/>
      <c r="F857" s="22"/>
    </row>
    <row r="858">
      <c r="A858" s="22"/>
      <c r="B858" s="22"/>
      <c r="C858" s="22"/>
      <c r="D858" s="22"/>
      <c r="E858" s="22"/>
      <c r="F858" s="22"/>
    </row>
    <row r="859">
      <c r="A859" s="22"/>
      <c r="B859" s="22"/>
      <c r="C859" s="22"/>
      <c r="D859" s="22"/>
      <c r="E859" s="22"/>
      <c r="F859" s="22"/>
    </row>
    <row r="860">
      <c r="A860" s="22"/>
      <c r="B860" s="22"/>
      <c r="C860" s="22"/>
      <c r="D860" s="22"/>
      <c r="E860" s="22"/>
      <c r="F860" s="22"/>
    </row>
    <row r="861">
      <c r="A861" s="22"/>
      <c r="B861" s="22"/>
      <c r="C861" s="22"/>
      <c r="D861" s="22"/>
      <c r="E861" s="22"/>
      <c r="F861" s="22"/>
    </row>
    <row r="862">
      <c r="A862" s="22"/>
      <c r="B862" s="22"/>
      <c r="C862" s="22"/>
      <c r="D862" s="22"/>
      <c r="E862" s="22"/>
      <c r="F862" s="22"/>
    </row>
    <row r="863">
      <c r="A863" s="22"/>
      <c r="B863" s="22"/>
      <c r="C863" s="22"/>
      <c r="D863" s="22"/>
      <c r="E863" s="22"/>
      <c r="F863" s="22"/>
    </row>
    <row r="864">
      <c r="A864" s="22"/>
      <c r="B864" s="22"/>
      <c r="C864" s="22"/>
      <c r="D864" s="22"/>
      <c r="E864" s="22"/>
      <c r="F864" s="22"/>
    </row>
    <row r="865">
      <c r="A865" s="22"/>
      <c r="B865" s="22"/>
      <c r="C865" s="22"/>
      <c r="D865" s="22"/>
      <c r="E865" s="22"/>
      <c r="F865" s="22"/>
    </row>
    <row r="866">
      <c r="A866" s="22"/>
      <c r="B866" s="22"/>
      <c r="C866" s="22"/>
      <c r="D866" s="22"/>
      <c r="E866" s="22"/>
      <c r="F866" s="22"/>
    </row>
    <row r="867">
      <c r="A867" s="22"/>
      <c r="B867" s="22"/>
      <c r="C867" s="22"/>
      <c r="D867" s="22"/>
      <c r="E867" s="22"/>
      <c r="F867" s="22"/>
    </row>
    <row r="868">
      <c r="A868" s="22"/>
      <c r="B868" s="22"/>
      <c r="C868" s="22"/>
      <c r="D868" s="22"/>
      <c r="E868" s="22"/>
      <c r="F868" s="22"/>
    </row>
    <row r="869">
      <c r="A869" s="22"/>
      <c r="B869" s="22"/>
      <c r="C869" s="22"/>
      <c r="D869" s="22"/>
      <c r="E869" s="22"/>
      <c r="F869" s="22"/>
    </row>
    <row r="870">
      <c r="A870" s="22"/>
      <c r="B870" s="22"/>
      <c r="C870" s="22"/>
      <c r="D870" s="22"/>
      <c r="E870" s="22"/>
      <c r="F870" s="22"/>
    </row>
    <row r="871">
      <c r="A871" s="22"/>
      <c r="B871" s="22"/>
      <c r="C871" s="22"/>
      <c r="D871" s="22"/>
      <c r="E871" s="22"/>
      <c r="F871" s="22"/>
    </row>
    <row r="872">
      <c r="A872" s="22"/>
      <c r="B872" s="22"/>
      <c r="C872" s="22"/>
      <c r="D872" s="22"/>
      <c r="E872" s="22"/>
      <c r="F872" s="22"/>
    </row>
    <row r="873">
      <c r="A873" s="22"/>
      <c r="B873" s="22"/>
      <c r="C873" s="22"/>
      <c r="D873" s="22"/>
      <c r="E873" s="22"/>
      <c r="F873" s="22"/>
    </row>
    <row r="874">
      <c r="A874" s="22"/>
      <c r="B874" s="22"/>
      <c r="C874" s="22"/>
      <c r="D874" s="22"/>
      <c r="E874" s="22"/>
      <c r="F874" s="22"/>
    </row>
    <row r="875">
      <c r="A875" s="22"/>
      <c r="B875" s="22"/>
      <c r="C875" s="22"/>
      <c r="D875" s="22"/>
      <c r="E875" s="22"/>
      <c r="F875" s="22"/>
    </row>
    <row r="876">
      <c r="A876" s="22"/>
      <c r="B876" s="22"/>
      <c r="C876" s="22"/>
      <c r="D876" s="22"/>
      <c r="E876" s="22"/>
      <c r="F876" s="22"/>
    </row>
    <row r="877">
      <c r="A877" s="22"/>
      <c r="B877" s="22"/>
      <c r="C877" s="22"/>
      <c r="D877" s="22"/>
      <c r="E877" s="22"/>
      <c r="F877" s="22"/>
    </row>
    <row r="878">
      <c r="A878" s="22"/>
      <c r="B878" s="22"/>
      <c r="C878" s="22"/>
      <c r="D878" s="22"/>
      <c r="E878" s="22"/>
      <c r="F878" s="22"/>
    </row>
    <row r="879">
      <c r="A879" s="22"/>
      <c r="B879" s="22"/>
      <c r="C879" s="22"/>
      <c r="D879" s="22"/>
      <c r="E879" s="22"/>
      <c r="F879" s="22"/>
    </row>
    <row r="880">
      <c r="A880" s="22"/>
      <c r="B880" s="22"/>
      <c r="C880" s="22"/>
      <c r="D880" s="22"/>
      <c r="E880" s="22"/>
      <c r="F880" s="22"/>
    </row>
    <row r="881">
      <c r="A881" s="22"/>
      <c r="B881" s="22"/>
      <c r="C881" s="22"/>
      <c r="D881" s="22"/>
      <c r="E881" s="22"/>
      <c r="F881" s="22"/>
    </row>
    <row r="882">
      <c r="A882" s="22"/>
      <c r="B882" s="22"/>
      <c r="C882" s="22"/>
      <c r="D882" s="22"/>
      <c r="E882" s="22"/>
      <c r="F882" s="22"/>
    </row>
    <row r="883">
      <c r="A883" s="22"/>
      <c r="B883" s="22"/>
      <c r="C883" s="22"/>
      <c r="D883" s="22"/>
      <c r="E883" s="22"/>
      <c r="F883" s="22"/>
    </row>
    <row r="884">
      <c r="A884" s="22"/>
      <c r="B884" s="22"/>
      <c r="C884" s="22"/>
      <c r="D884" s="22"/>
      <c r="E884" s="22"/>
      <c r="F884" s="22"/>
    </row>
    <row r="885">
      <c r="A885" s="22"/>
      <c r="B885" s="22"/>
      <c r="C885" s="22"/>
      <c r="D885" s="22"/>
      <c r="E885" s="22"/>
      <c r="F885" s="22"/>
    </row>
    <row r="886">
      <c r="A886" s="22"/>
      <c r="B886" s="22"/>
      <c r="C886" s="22"/>
      <c r="D886" s="22"/>
      <c r="E886" s="22"/>
      <c r="F886" s="22"/>
    </row>
    <row r="887">
      <c r="A887" s="22"/>
      <c r="B887" s="22"/>
      <c r="C887" s="22"/>
      <c r="D887" s="22"/>
      <c r="E887" s="22"/>
      <c r="F887" s="22"/>
    </row>
    <row r="888">
      <c r="A888" s="22"/>
      <c r="B888" s="22"/>
      <c r="C888" s="22"/>
      <c r="D888" s="22"/>
      <c r="E888" s="22"/>
      <c r="F888" s="22"/>
    </row>
    <row r="889">
      <c r="A889" s="22"/>
      <c r="B889" s="22"/>
      <c r="C889" s="22"/>
      <c r="D889" s="22"/>
      <c r="E889" s="22"/>
      <c r="F889" s="22"/>
    </row>
    <row r="890">
      <c r="A890" s="22"/>
      <c r="B890" s="22"/>
      <c r="C890" s="22"/>
      <c r="D890" s="22"/>
      <c r="E890" s="22"/>
      <c r="F890" s="22"/>
    </row>
    <row r="891">
      <c r="A891" s="22"/>
      <c r="B891" s="22"/>
      <c r="C891" s="22"/>
      <c r="D891" s="22"/>
      <c r="E891" s="22"/>
      <c r="F891" s="22"/>
    </row>
    <row r="892">
      <c r="A892" s="22"/>
      <c r="B892" s="22"/>
      <c r="C892" s="22"/>
      <c r="D892" s="22"/>
      <c r="E892" s="22"/>
      <c r="F892" s="22"/>
    </row>
    <row r="893">
      <c r="A893" s="22"/>
      <c r="B893" s="22"/>
      <c r="C893" s="22"/>
      <c r="D893" s="22"/>
      <c r="E893" s="22"/>
      <c r="F893" s="22"/>
    </row>
    <row r="894">
      <c r="A894" s="22"/>
      <c r="B894" s="22"/>
      <c r="C894" s="22"/>
      <c r="D894" s="22"/>
      <c r="E894" s="22"/>
      <c r="F894" s="22"/>
    </row>
    <row r="895">
      <c r="A895" s="22"/>
      <c r="B895" s="22"/>
      <c r="C895" s="22"/>
      <c r="D895" s="22"/>
      <c r="E895" s="22"/>
      <c r="F895" s="22"/>
    </row>
    <row r="896">
      <c r="A896" s="22"/>
      <c r="B896" s="22"/>
      <c r="C896" s="22"/>
      <c r="D896" s="22"/>
      <c r="E896" s="22"/>
      <c r="F896" s="22"/>
    </row>
    <row r="897">
      <c r="A897" s="22"/>
      <c r="B897" s="22"/>
      <c r="C897" s="22"/>
      <c r="D897" s="22"/>
      <c r="E897" s="22"/>
      <c r="F897" s="22"/>
    </row>
    <row r="898">
      <c r="A898" s="22"/>
      <c r="B898" s="22"/>
      <c r="C898" s="22"/>
      <c r="D898" s="22"/>
      <c r="E898" s="22"/>
      <c r="F898" s="22"/>
    </row>
    <row r="899">
      <c r="A899" s="22"/>
      <c r="B899" s="22"/>
      <c r="C899" s="22"/>
      <c r="D899" s="22"/>
      <c r="E899" s="22"/>
      <c r="F899" s="22"/>
    </row>
    <row r="900">
      <c r="A900" s="22"/>
      <c r="B900" s="22"/>
      <c r="C900" s="22"/>
      <c r="D900" s="22"/>
      <c r="E900" s="22"/>
      <c r="F900" s="22"/>
    </row>
    <row r="901">
      <c r="A901" s="22"/>
      <c r="B901" s="22"/>
      <c r="C901" s="22"/>
      <c r="D901" s="22"/>
      <c r="E901" s="22"/>
      <c r="F901" s="22"/>
    </row>
    <row r="902">
      <c r="A902" s="22"/>
      <c r="B902" s="22"/>
      <c r="C902" s="22"/>
      <c r="D902" s="22"/>
      <c r="E902" s="22"/>
      <c r="F902" s="22"/>
    </row>
    <row r="903">
      <c r="A903" s="22"/>
      <c r="B903" s="22"/>
      <c r="C903" s="22"/>
      <c r="D903" s="22"/>
      <c r="E903" s="22"/>
      <c r="F903" s="22"/>
    </row>
    <row r="904">
      <c r="A904" s="22"/>
      <c r="B904" s="22"/>
      <c r="C904" s="22"/>
      <c r="D904" s="22"/>
      <c r="E904" s="22"/>
      <c r="F904" s="22"/>
    </row>
    <row r="905">
      <c r="A905" s="22"/>
      <c r="B905" s="22"/>
      <c r="C905" s="22"/>
      <c r="D905" s="22"/>
      <c r="E905" s="22"/>
      <c r="F905" s="22"/>
    </row>
    <row r="906">
      <c r="A906" s="22"/>
      <c r="B906" s="22"/>
      <c r="C906" s="22"/>
      <c r="D906" s="22"/>
      <c r="E906" s="22"/>
      <c r="F906" s="22"/>
    </row>
    <row r="907">
      <c r="A907" s="22"/>
      <c r="B907" s="22"/>
      <c r="C907" s="22"/>
      <c r="D907" s="22"/>
      <c r="E907" s="22"/>
      <c r="F907" s="22"/>
    </row>
    <row r="908">
      <c r="A908" s="22"/>
      <c r="B908" s="22"/>
      <c r="C908" s="22"/>
      <c r="D908" s="22"/>
      <c r="E908" s="22"/>
      <c r="F908" s="22"/>
    </row>
    <row r="909">
      <c r="A909" s="22"/>
      <c r="B909" s="22"/>
      <c r="C909" s="22"/>
      <c r="D909" s="22"/>
      <c r="E909" s="22"/>
      <c r="F909" s="22"/>
    </row>
    <row r="910">
      <c r="A910" s="22"/>
      <c r="B910" s="22"/>
      <c r="C910" s="22"/>
      <c r="D910" s="22"/>
      <c r="E910" s="22"/>
      <c r="F910" s="22"/>
    </row>
    <row r="911">
      <c r="A911" s="22"/>
      <c r="B911" s="22"/>
      <c r="C911" s="22"/>
      <c r="D911" s="22"/>
      <c r="E911" s="22"/>
      <c r="F911" s="22"/>
    </row>
    <row r="912">
      <c r="A912" s="22"/>
      <c r="B912" s="22"/>
      <c r="C912" s="22"/>
      <c r="D912" s="22"/>
      <c r="E912" s="22"/>
      <c r="F912" s="22"/>
    </row>
    <row r="913">
      <c r="A913" s="22"/>
      <c r="B913" s="22"/>
      <c r="C913" s="22"/>
      <c r="D913" s="22"/>
      <c r="E913" s="22"/>
      <c r="F913" s="22"/>
    </row>
    <row r="914">
      <c r="A914" s="22"/>
      <c r="B914" s="22"/>
      <c r="C914" s="22"/>
      <c r="D914" s="22"/>
      <c r="E914" s="22"/>
      <c r="F914" s="22"/>
    </row>
    <row r="915">
      <c r="A915" s="22"/>
      <c r="B915" s="22"/>
      <c r="C915" s="22"/>
      <c r="D915" s="22"/>
      <c r="E915" s="22"/>
      <c r="F915" s="22"/>
    </row>
    <row r="916">
      <c r="A916" s="22"/>
      <c r="B916" s="22"/>
      <c r="C916" s="22"/>
      <c r="D916" s="22"/>
      <c r="E916" s="22"/>
      <c r="F916" s="22"/>
    </row>
    <row r="917">
      <c r="A917" s="22"/>
      <c r="B917" s="22"/>
      <c r="C917" s="22"/>
      <c r="D917" s="22"/>
      <c r="E917" s="22"/>
      <c r="F917" s="22"/>
    </row>
    <row r="918">
      <c r="A918" s="22"/>
      <c r="B918" s="22"/>
      <c r="C918" s="22"/>
      <c r="D918" s="22"/>
      <c r="E918" s="22"/>
      <c r="F918" s="22"/>
    </row>
    <row r="919">
      <c r="A919" s="22"/>
      <c r="B919" s="22"/>
      <c r="C919" s="22"/>
      <c r="D919" s="22"/>
      <c r="E919" s="22"/>
      <c r="F919" s="22"/>
    </row>
    <row r="920">
      <c r="A920" s="22"/>
      <c r="B920" s="22"/>
      <c r="C920" s="22"/>
      <c r="D920" s="22"/>
      <c r="E920" s="22"/>
      <c r="F920" s="22"/>
    </row>
    <row r="921">
      <c r="A921" s="22"/>
      <c r="B921" s="22"/>
      <c r="C921" s="22"/>
      <c r="D921" s="22"/>
      <c r="E921" s="22"/>
      <c r="F921" s="22"/>
    </row>
    <row r="922">
      <c r="A922" s="22"/>
      <c r="B922" s="22"/>
      <c r="C922" s="22"/>
      <c r="D922" s="22"/>
      <c r="E922" s="22"/>
      <c r="F922" s="22"/>
    </row>
    <row r="923">
      <c r="A923" s="22"/>
      <c r="B923" s="22"/>
      <c r="C923" s="22"/>
      <c r="D923" s="22"/>
      <c r="E923" s="22"/>
      <c r="F923" s="22"/>
    </row>
    <row r="924">
      <c r="A924" s="22"/>
      <c r="B924" s="22"/>
      <c r="C924" s="22"/>
      <c r="D924" s="22"/>
      <c r="E924" s="22"/>
      <c r="F924" s="22"/>
    </row>
    <row r="925">
      <c r="A925" s="22"/>
      <c r="B925" s="22"/>
      <c r="C925" s="22"/>
      <c r="D925" s="22"/>
      <c r="E925" s="22"/>
      <c r="F925" s="22"/>
    </row>
    <row r="926">
      <c r="A926" s="22"/>
      <c r="B926" s="22"/>
      <c r="C926" s="22"/>
      <c r="D926" s="22"/>
      <c r="E926" s="22"/>
      <c r="F926" s="22"/>
    </row>
    <row r="927">
      <c r="A927" s="22"/>
      <c r="B927" s="22"/>
      <c r="C927" s="22"/>
      <c r="D927" s="22"/>
      <c r="E927" s="22"/>
      <c r="F927" s="22"/>
    </row>
    <row r="928">
      <c r="A928" s="22"/>
      <c r="B928" s="22"/>
      <c r="C928" s="22"/>
      <c r="D928" s="22"/>
      <c r="E928" s="22"/>
      <c r="F928" s="22"/>
    </row>
    <row r="929">
      <c r="A929" s="22"/>
      <c r="B929" s="22"/>
      <c r="C929" s="22"/>
      <c r="D929" s="22"/>
      <c r="E929" s="22"/>
      <c r="F929" s="22"/>
    </row>
    <row r="930">
      <c r="A930" s="22"/>
      <c r="B930" s="22"/>
      <c r="C930" s="22"/>
      <c r="D930" s="22"/>
      <c r="E930" s="22"/>
      <c r="F930" s="22"/>
    </row>
    <row r="931">
      <c r="A931" s="22"/>
      <c r="B931" s="22"/>
      <c r="C931" s="22"/>
      <c r="D931" s="22"/>
      <c r="E931" s="22"/>
      <c r="F931" s="22"/>
    </row>
    <row r="932">
      <c r="A932" s="22"/>
      <c r="B932" s="22"/>
      <c r="C932" s="22"/>
      <c r="D932" s="22"/>
      <c r="E932" s="22"/>
      <c r="F932" s="22"/>
    </row>
    <row r="933">
      <c r="A933" s="22"/>
      <c r="B933" s="22"/>
      <c r="C933" s="22"/>
      <c r="D933" s="22"/>
      <c r="E933" s="22"/>
      <c r="F933" s="22"/>
    </row>
    <row r="934">
      <c r="A934" s="22"/>
      <c r="B934" s="22"/>
      <c r="C934" s="22"/>
      <c r="D934" s="22"/>
      <c r="E934" s="22"/>
      <c r="F934" s="22"/>
    </row>
    <row r="935">
      <c r="A935" s="22"/>
      <c r="B935" s="22"/>
      <c r="C935" s="22"/>
      <c r="D935" s="22"/>
      <c r="E935" s="22"/>
      <c r="F935" s="22"/>
    </row>
    <row r="936">
      <c r="A936" s="22"/>
      <c r="B936" s="22"/>
      <c r="C936" s="22"/>
      <c r="D936" s="22"/>
      <c r="E936" s="22"/>
      <c r="F936" s="22"/>
    </row>
    <row r="937">
      <c r="A937" s="22"/>
      <c r="B937" s="22"/>
      <c r="C937" s="22"/>
      <c r="D937" s="22"/>
      <c r="E937" s="22"/>
      <c r="F937" s="22"/>
    </row>
    <row r="938">
      <c r="A938" s="22"/>
      <c r="B938" s="22"/>
      <c r="C938" s="22"/>
      <c r="D938" s="22"/>
      <c r="E938" s="22"/>
      <c r="F938" s="22"/>
    </row>
    <row r="939">
      <c r="A939" s="22"/>
      <c r="B939" s="22"/>
      <c r="C939" s="22"/>
      <c r="D939" s="22"/>
      <c r="E939" s="22"/>
      <c r="F939" s="22"/>
    </row>
    <row r="940">
      <c r="A940" s="22"/>
      <c r="B940" s="22"/>
      <c r="C940" s="22"/>
      <c r="D940" s="22"/>
      <c r="E940" s="22"/>
      <c r="F940" s="22"/>
    </row>
    <row r="941">
      <c r="A941" s="22"/>
      <c r="B941" s="22"/>
      <c r="C941" s="22"/>
      <c r="D941" s="22"/>
      <c r="E941" s="22"/>
      <c r="F941" s="22"/>
    </row>
    <row r="942">
      <c r="A942" s="22"/>
      <c r="B942" s="22"/>
      <c r="C942" s="22"/>
      <c r="D942" s="22"/>
      <c r="E942" s="22"/>
      <c r="F942" s="22"/>
    </row>
    <row r="943">
      <c r="A943" s="22"/>
      <c r="B943" s="22"/>
      <c r="C943" s="22"/>
      <c r="D943" s="22"/>
      <c r="E943" s="22"/>
      <c r="F943" s="22"/>
    </row>
    <row r="944">
      <c r="A944" s="22"/>
      <c r="B944" s="22"/>
      <c r="C944" s="22"/>
      <c r="D944" s="22"/>
      <c r="E944" s="22"/>
      <c r="F944" s="22"/>
    </row>
    <row r="945">
      <c r="A945" s="22"/>
      <c r="B945" s="22"/>
      <c r="C945" s="22"/>
      <c r="D945" s="22"/>
      <c r="E945" s="22"/>
      <c r="F945" s="22"/>
    </row>
    <row r="946">
      <c r="A946" s="22"/>
      <c r="B946" s="22"/>
      <c r="C946" s="22"/>
      <c r="D946" s="22"/>
      <c r="E946" s="22"/>
      <c r="F946" s="22"/>
    </row>
    <row r="947">
      <c r="A947" s="22"/>
      <c r="B947" s="22"/>
      <c r="C947" s="22"/>
      <c r="D947" s="22"/>
      <c r="E947" s="22"/>
      <c r="F947" s="22"/>
    </row>
    <row r="948">
      <c r="A948" s="22"/>
      <c r="B948" s="22"/>
      <c r="C948" s="22"/>
      <c r="D948" s="22"/>
      <c r="E948" s="22"/>
      <c r="F948" s="22"/>
    </row>
    <row r="949">
      <c r="A949" s="22"/>
      <c r="B949" s="22"/>
      <c r="C949" s="22"/>
      <c r="D949" s="22"/>
      <c r="E949" s="22"/>
      <c r="F949" s="22"/>
    </row>
    <row r="950">
      <c r="A950" s="22"/>
      <c r="B950" s="22"/>
      <c r="C950" s="22"/>
      <c r="D950" s="22"/>
      <c r="E950" s="22"/>
      <c r="F950" s="22"/>
    </row>
    <row r="951">
      <c r="A951" s="22"/>
      <c r="B951" s="22"/>
      <c r="C951" s="22"/>
      <c r="D951" s="22"/>
      <c r="E951" s="22"/>
      <c r="F951" s="22"/>
    </row>
    <row r="952">
      <c r="A952" s="22"/>
      <c r="B952" s="22"/>
      <c r="C952" s="22"/>
      <c r="D952" s="22"/>
      <c r="E952" s="22"/>
      <c r="F952" s="22"/>
    </row>
    <row r="953">
      <c r="A953" s="22"/>
      <c r="B953" s="22"/>
      <c r="C953" s="22"/>
      <c r="D953" s="22"/>
      <c r="E953" s="22"/>
      <c r="F953" s="22"/>
    </row>
    <row r="954">
      <c r="A954" s="22"/>
      <c r="B954" s="22"/>
      <c r="C954" s="22"/>
      <c r="D954" s="22"/>
      <c r="E954" s="22"/>
      <c r="F954" s="22"/>
    </row>
    <row r="955">
      <c r="A955" s="22"/>
      <c r="B955" s="22"/>
      <c r="C955" s="22"/>
      <c r="D955" s="22"/>
      <c r="E955" s="22"/>
      <c r="F955" s="22"/>
    </row>
    <row r="956">
      <c r="A956" s="22"/>
      <c r="B956" s="22"/>
      <c r="C956" s="22"/>
      <c r="D956" s="22"/>
      <c r="E956" s="22"/>
      <c r="F956" s="22"/>
    </row>
    <row r="957">
      <c r="A957" s="22"/>
      <c r="B957" s="22"/>
      <c r="C957" s="22"/>
      <c r="D957" s="22"/>
      <c r="E957" s="22"/>
      <c r="F957" s="22"/>
    </row>
    <row r="958">
      <c r="A958" s="22"/>
      <c r="B958" s="22"/>
      <c r="C958" s="22"/>
      <c r="D958" s="22"/>
      <c r="E958" s="22"/>
      <c r="F958" s="22"/>
    </row>
    <row r="959">
      <c r="A959" s="22"/>
      <c r="B959" s="22"/>
      <c r="C959" s="22"/>
      <c r="D959" s="22"/>
      <c r="E959" s="22"/>
      <c r="F959" s="22"/>
    </row>
    <row r="960">
      <c r="A960" s="22"/>
      <c r="B960" s="22"/>
      <c r="C960" s="22"/>
      <c r="D960" s="22"/>
      <c r="E960" s="22"/>
      <c r="F960" s="22"/>
    </row>
    <row r="961">
      <c r="A961" s="22"/>
      <c r="B961" s="22"/>
      <c r="C961" s="22"/>
      <c r="D961" s="22"/>
      <c r="E961" s="22"/>
      <c r="F961" s="22"/>
    </row>
    <row r="962">
      <c r="A962" s="22"/>
      <c r="B962" s="22"/>
      <c r="C962" s="22"/>
      <c r="D962" s="22"/>
      <c r="E962" s="22"/>
      <c r="F962" s="22"/>
    </row>
    <row r="963">
      <c r="A963" s="22"/>
      <c r="B963" s="22"/>
      <c r="C963" s="22"/>
      <c r="D963" s="22"/>
      <c r="E963" s="22"/>
      <c r="F963" s="22"/>
    </row>
    <row r="964">
      <c r="A964" s="22"/>
      <c r="B964" s="22"/>
      <c r="C964" s="22"/>
      <c r="D964" s="22"/>
      <c r="E964" s="22"/>
      <c r="F964" s="22"/>
    </row>
    <row r="965">
      <c r="A965" s="22"/>
      <c r="B965" s="22"/>
      <c r="C965" s="22"/>
      <c r="D965" s="22"/>
      <c r="E965" s="22"/>
      <c r="F965" s="22"/>
    </row>
    <row r="966">
      <c r="A966" s="22"/>
      <c r="B966" s="22"/>
      <c r="C966" s="22"/>
      <c r="D966" s="22"/>
      <c r="E966" s="22"/>
      <c r="F966" s="22"/>
    </row>
    <row r="967">
      <c r="A967" s="22"/>
      <c r="B967" s="22"/>
      <c r="C967" s="22"/>
      <c r="D967" s="22"/>
      <c r="E967" s="22"/>
      <c r="F967" s="22"/>
    </row>
    <row r="968">
      <c r="A968" s="22"/>
      <c r="B968" s="22"/>
      <c r="C968" s="22"/>
      <c r="D968" s="22"/>
      <c r="E968" s="22"/>
      <c r="F968" s="22"/>
    </row>
    <row r="969">
      <c r="A969" s="22"/>
      <c r="B969" s="22"/>
      <c r="C969" s="22"/>
      <c r="D969" s="22"/>
      <c r="E969" s="22"/>
      <c r="F969" s="22"/>
    </row>
    <row r="970">
      <c r="A970" s="22"/>
      <c r="B970" s="22"/>
      <c r="C970" s="22"/>
      <c r="D970" s="22"/>
      <c r="E970" s="22"/>
      <c r="F970" s="22"/>
    </row>
    <row r="971">
      <c r="A971" s="22"/>
      <c r="B971" s="22"/>
      <c r="C971" s="22"/>
      <c r="D971" s="22"/>
      <c r="E971" s="22"/>
      <c r="F971" s="22"/>
    </row>
    <row r="972">
      <c r="A972" s="22"/>
      <c r="B972" s="22"/>
      <c r="C972" s="22"/>
      <c r="D972" s="22"/>
      <c r="E972" s="22"/>
      <c r="F972" s="22"/>
    </row>
    <row r="973">
      <c r="A973" s="22"/>
      <c r="B973" s="22"/>
      <c r="C973" s="22"/>
      <c r="D973" s="22"/>
      <c r="E973" s="22"/>
      <c r="F973" s="22"/>
    </row>
    <row r="974">
      <c r="A974" s="22"/>
      <c r="B974" s="22"/>
      <c r="C974" s="22"/>
      <c r="D974" s="22"/>
      <c r="E974" s="22"/>
      <c r="F974" s="22"/>
    </row>
    <row r="975">
      <c r="A975" s="22"/>
      <c r="B975" s="22"/>
      <c r="C975" s="22"/>
      <c r="D975" s="22"/>
      <c r="E975" s="22"/>
      <c r="F975" s="22"/>
    </row>
    <row r="976">
      <c r="A976" s="22"/>
      <c r="B976" s="22"/>
      <c r="C976" s="22"/>
      <c r="D976" s="22"/>
      <c r="E976" s="22"/>
      <c r="F976" s="22"/>
    </row>
    <row r="977">
      <c r="A977" s="22"/>
      <c r="B977" s="22"/>
      <c r="C977" s="22"/>
      <c r="D977" s="22"/>
      <c r="E977" s="22"/>
      <c r="F977" s="22"/>
    </row>
    <row r="978">
      <c r="A978" s="22"/>
      <c r="B978" s="22"/>
      <c r="C978" s="22"/>
      <c r="D978" s="22"/>
      <c r="E978" s="22"/>
      <c r="F978" s="22"/>
    </row>
    <row r="979">
      <c r="A979" s="22"/>
      <c r="B979" s="22"/>
      <c r="C979" s="22"/>
      <c r="D979" s="22"/>
      <c r="E979" s="22"/>
      <c r="F979" s="22"/>
    </row>
    <row r="980">
      <c r="A980" s="22"/>
      <c r="B980" s="22"/>
      <c r="C980" s="22"/>
      <c r="D980" s="22"/>
      <c r="E980" s="22"/>
      <c r="F980" s="22"/>
    </row>
    <row r="981">
      <c r="A981" s="22"/>
      <c r="B981" s="22"/>
      <c r="C981" s="22"/>
      <c r="D981" s="22"/>
      <c r="E981" s="22"/>
      <c r="F981" s="22"/>
    </row>
    <row r="982">
      <c r="A982" s="22"/>
      <c r="B982" s="22"/>
      <c r="C982" s="22"/>
      <c r="D982" s="22"/>
      <c r="E982" s="22"/>
      <c r="F982" s="22"/>
    </row>
    <row r="983">
      <c r="A983" s="22"/>
      <c r="B983" s="22"/>
      <c r="C983" s="22"/>
      <c r="D983" s="22"/>
      <c r="E983" s="22"/>
      <c r="F983" s="22"/>
    </row>
    <row r="984">
      <c r="A984" s="22"/>
      <c r="B984" s="22"/>
      <c r="C984" s="22"/>
      <c r="D984" s="22"/>
      <c r="E984" s="22"/>
      <c r="F984" s="22"/>
    </row>
    <row r="985">
      <c r="A985" s="22"/>
      <c r="B985" s="22"/>
      <c r="C985" s="22"/>
      <c r="D985" s="22"/>
      <c r="E985" s="22"/>
      <c r="F985" s="22"/>
    </row>
    <row r="986">
      <c r="A986" s="22"/>
      <c r="B986" s="22"/>
      <c r="C986" s="22"/>
      <c r="D986" s="22"/>
      <c r="E986" s="22"/>
      <c r="F986" s="22"/>
    </row>
    <row r="987">
      <c r="A987" s="22"/>
      <c r="B987" s="22"/>
      <c r="C987" s="22"/>
      <c r="D987" s="22"/>
      <c r="E987" s="22"/>
      <c r="F987" s="22"/>
    </row>
    <row r="988">
      <c r="A988" s="22"/>
      <c r="B988" s="22"/>
      <c r="C988" s="22"/>
      <c r="D988" s="22"/>
      <c r="E988" s="22"/>
      <c r="F988" s="22"/>
    </row>
    <row r="989">
      <c r="A989" s="22"/>
      <c r="B989" s="22"/>
      <c r="C989" s="22"/>
      <c r="D989" s="22"/>
      <c r="E989" s="22"/>
      <c r="F989" s="22"/>
    </row>
    <row r="990">
      <c r="A990" s="22"/>
      <c r="B990" s="22"/>
      <c r="C990" s="22"/>
      <c r="D990" s="22"/>
      <c r="E990" s="22"/>
      <c r="F990" s="22"/>
    </row>
    <row r="991">
      <c r="A991" s="22"/>
      <c r="B991" s="22"/>
      <c r="C991" s="22"/>
      <c r="D991" s="22"/>
      <c r="E991" s="22"/>
      <c r="F991" s="22"/>
    </row>
    <row r="992">
      <c r="A992" s="22"/>
      <c r="B992" s="22"/>
      <c r="C992" s="22"/>
      <c r="D992" s="22"/>
      <c r="E992" s="22"/>
      <c r="F992" s="22"/>
    </row>
    <row r="993">
      <c r="A993" s="22"/>
      <c r="B993" s="22"/>
      <c r="C993" s="22"/>
      <c r="D993" s="22"/>
      <c r="E993" s="22"/>
      <c r="F993" s="22"/>
    </row>
    <row r="994">
      <c r="A994" s="22"/>
      <c r="B994" s="22"/>
      <c r="C994" s="22"/>
      <c r="D994" s="22"/>
      <c r="E994" s="22"/>
      <c r="F994" s="22"/>
    </row>
    <row r="995">
      <c r="A995" s="22"/>
      <c r="B995" s="22"/>
      <c r="C995" s="22"/>
      <c r="D995" s="22"/>
      <c r="E995" s="22"/>
      <c r="F995" s="22"/>
    </row>
    <row r="996">
      <c r="A996" s="22"/>
      <c r="B996" s="22"/>
      <c r="C996" s="22"/>
      <c r="D996" s="22"/>
      <c r="E996" s="22"/>
      <c r="F996" s="22"/>
    </row>
    <row r="997">
      <c r="A997" s="22"/>
      <c r="B997" s="22"/>
      <c r="C997" s="22"/>
      <c r="D997" s="22"/>
      <c r="E997" s="22"/>
      <c r="F997" s="22"/>
    </row>
    <row r="998">
      <c r="A998" s="22"/>
      <c r="B998" s="22"/>
      <c r="C998" s="22"/>
      <c r="D998" s="22"/>
      <c r="E998" s="22"/>
      <c r="F998" s="22"/>
    </row>
    <row r="999">
      <c r="A999" s="22"/>
      <c r="B999" s="22"/>
      <c r="C999" s="22"/>
      <c r="D999" s="22"/>
      <c r="E999" s="22"/>
      <c r="F999" s="22"/>
    </row>
    <row r="1000">
      <c r="A1000" s="22"/>
      <c r="B1000" s="22"/>
      <c r="C1000" s="22"/>
      <c r="D1000" s="22"/>
      <c r="E1000" s="22"/>
      <c r="F1000" s="22"/>
    </row>
    <row r="1001">
      <c r="A1001" s="22"/>
      <c r="B1001" s="22"/>
      <c r="C1001" s="22"/>
      <c r="D1001" s="22"/>
      <c r="E1001" s="22"/>
      <c r="F1001" s="22"/>
    </row>
    <row r="1002">
      <c r="A1002" s="22"/>
      <c r="B1002" s="22"/>
      <c r="C1002" s="22"/>
      <c r="D1002" s="22"/>
      <c r="E1002" s="22"/>
      <c r="F1002" s="22"/>
    </row>
    <row r="1003">
      <c r="A1003" s="22"/>
      <c r="B1003" s="22"/>
      <c r="C1003" s="22"/>
      <c r="D1003" s="22"/>
      <c r="E1003" s="22"/>
      <c r="F1003" s="22"/>
    </row>
    <row r="1004">
      <c r="A1004" s="22"/>
      <c r="B1004" s="22"/>
      <c r="C1004" s="22"/>
      <c r="D1004" s="22"/>
      <c r="E1004" s="22"/>
      <c r="F1004" s="22"/>
    </row>
    <row r="1005">
      <c r="A1005" s="22"/>
      <c r="B1005" s="22"/>
      <c r="C1005" s="22"/>
      <c r="D1005" s="22"/>
      <c r="E1005" s="22"/>
      <c r="F1005" s="22"/>
    </row>
    <row r="1006">
      <c r="A1006" s="22"/>
      <c r="B1006" s="22"/>
      <c r="C1006" s="22"/>
      <c r="D1006" s="22"/>
      <c r="E1006" s="22"/>
      <c r="F1006" s="22"/>
    </row>
    <row r="1007">
      <c r="A1007" s="22"/>
      <c r="B1007" s="22"/>
      <c r="C1007" s="22"/>
      <c r="D1007" s="22"/>
      <c r="E1007" s="22"/>
      <c r="F1007" s="22"/>
    </row>
    <row r="1008">
      <c r="A1008" s="22"/>
      <c r="B1008" s="22"/>
      <c r="C1008" s="22"/>
      <c r="D1008" s="22"/>
      <c r="E1008" s="22"/>
      <c r="F1008" s="22"/>
    </row>
    <row r="1009">
      <c r="A1009" s="22"/>
      <c r="B1009" s="22"/>
      <c r="C1009" s="22"/>
      <c r="D1009" s="22"/>
      <c r="E1009" s="22"/>
      <c r="F1009" s="22"/>
    </row>
    <row r="1010">
      <c r="A1010" s="22"/>
      <c r="B1010" s="22"/>
      <c r="C1010" s="22"/>
      <c r="D1010" s="22"/>
      <c r="E1010" s="22"/>
      <c r="F1010" s="22"/>
    </row>
    <row r="1011">
      <c r="A1011" s="22"/>
      <c r="B1011" s="22"/>
      <c r="C1011" s="22"/>
      <c r="D1011" s="22"/>
      <c r="E1011" s="22"/>
      <c r="F1011" s="22"/>
    </row>
    <row r="1012">
      <c r="A1012" s="22"/>
      <c r="B1012" s="22"/>
      <c r="C1012" s="22"/>
      <c r="D1012" s="22"/>
      <c r="E1012" s="22"/>
      <c r="F1012" s="22"/>
    </row>
    <row r="1013">
      <c r="A1013" s="22"/>
      <c r="B1013" s="22"/>
      <c r="C1013" s="22"/>
      <c r="D1013" s="22"/>
      <c r="E1013" s="22"/>
      <c r="F1013" s="22"/>
    </row>
    <row r="1014">
      <c r="A1014" s="22"/>
      <c r="B1014" s="22"/>
      <c r="C1014" s="22"/>
      <c r="D1014" s="22"/>
      <c r="E1014" s="22"/>
      <c r="F1014" s="22"/>
    </row>
    <row r="1015">
      <c r="A1015" s="22"/>
      <c r="B1015" s="22"/>
      <c r="C1015" s="22"/>
      <c r="D1015" s="22"/>
      <c r="E1015" s="22"/>
      <c r="F1015" s="22"/>
    </row>
    <row r="1016">
      <c r="A1016" s="22"/>
      <c r="B1016" s="22"/>
      <c r="C1016" s="22"/>
      <c r="D1016" s="22"/>
      <c r="E1016" s="22"/>
      <c r="F1016" s="22"/>
    </row>
    <row r="1017">
      <c r="A1017" s="22"/>
      <c r="B1017" s="22"/>
      <c r="C1017" s="22"/>
      <c r="D1017" s="22"/>
      <c r="E1017" s="22"/>
      <c r="F1017" s="22"/>
    </row>
    <row r="1018">
      <c r="A1018" s="22"/>
      <c r="B1018" s="22"/>
      <c r="C1018" s="22"/>
      <c r="D1018" s="22"/>
      <c r="E1018" s="22"/>
      <c r="F1018" s="22"/>
    </row>
    <row r="1019">
      <c r="A1019" s="22"/>
      <c r="B1019" s="22"/>
      <c r="C1019" s="22"/>
      <c r="D1019" s="22"/>
      <c r="E1019" s="22"/>
      <c r="F1019" s="22"/>
    </row>
    <row r="1020">
      <c r="A1020" s="22"/>
      <c r="B1020" s="22"/>
      <c r="C1020" s="22"/>
      <c r="D1020" s="22"/>
      <c r="E1020" s="22"/>
      <c r="F1020" s="22"/>
    </row>
    <row r="1021">
      <c r="A1021" s="22"/>
      <c r="B1021" s="22"/>
      <c r="C1021" s="22"/>
      <c r="D1021" s="22"/>
      <c r="E1021" s="22"/>
      <c r="F1021" s="22"/>
    </row>
    <row r="1022">
      <c r="A1022" s="22"/>
      <c r="B1022" s="22"/>
      <c r="C1022" s="22"/>
      <c r="D1022" s="22"/>
      <c r="E1022" s="22"/>
      <c r="F1022" s="22"/>
    </row>
    <row r="1023">
      <c r="A1023" s="22"/>
      <c r="B1023" s="22"/>
      <c r="C1023" s="22"/>
      <c r="D1023" s="22"/>
      <c r="E1023" s="22"/>
      <c r="F1023" s="22"/>
    </row>
    <row r="1024">
      <c r="A1024" s="22"/>
      <c r="B1024" s="22"/>
      <c r="C1024" s="22"/>
      <c r="D1024" s="22"/>
      <c r="E1024" s="22"/>
      <c r="F1024" s="22"/>
    </row>
    <row r="1025">
      <c r="A1025" s="22"/>
      <c r="B1025" s="22"/>
      <c r="C1025" s="22"/>
      <c r="D1025" s="22"/>
      <c r="E1025" s="22"/>
      <c r="F1025" s="22"/>
    </row>
    <row r="1026">
      <c r="A1026" s="22"/>
      <c r="B1026" s="22"/>
      <c r="C1026" s="22"/>
      <c r="D1026" s="22"/>
      <c r="E1026" s="22"/>
      <c r="F1026" s="22"/>
    </row>
    <row r="1027">
      <c r="A1027" s="22"/>
      <c r="B1027" s="22"/>
      <c r="C1027" s="22"/>
      <c r="D1027" s="22"/>
      <c r="E1027" s="22"/>
      <c r="F1027" s="22"/>
    </row>
    <row r="1028">
      <c r="A1028" s="22"/>
      <c r="B1028" s="22"/>
      <c r="C1028" s="22"/>
      <c r="D1028" s="22"/>
      <c r="E1028" s="22"/>
      <c r="F1028" s="22"/>
    </row>
    <row r="1029">
      <c r="A1029" s="22"/>
      <c r="B1029" s="22"/>
      <c r="C1029" s="22"/>
      <c r="D1029" s="22"/>
      <c r="E1029" s="22"/>
      <c r="F1029" s="22"/>
    </row>
    <row r="1030">
      <c r="A1030" s="22"/>
      <c r="B1030" s="22"/>
      <c r="C1030" s="22"/>
      <c r="D1030" s="22"/>
      <c r="E1030" s="22"/>
      <c r="F1030" s="22"/>
    </row>
    <row r="1031">
      <c r="A1031" s="22"/>
      <c r="B1031" s="22"/>
      <c r="C1031" s="22"/>
      <c r="D1031" s="22"/>
      <c r="E1031" s="22"/>
      <c r="F1031" s="22"/>
    </row>
    <row r="1032">
      <c r="A1032" s="22"/>
      <c r="B1032" s="22"/>
      <c r="C1032" s="22"/>
      <c r="D1032" s="22"/>
      <c r="E1032" s="22"/>
      <c r="F1032" s="22"/>
    </row>
    <row r="1033">
      <c r="A1033" s="22"/>
      <c r="B1033" s="22"/>
      <c r="C1033" s="22"/>
      <c r="D1033" s="22"/>
      <c r="E1033" s="22"/>
      <c r="F1033" s="22"/>
    </row>
    <row r="1034">
      <c r="A1034" s="22"/>
      <c r="B1034" s="22"/>
      <c r="C1034" s="22"/>
      <c r="D1034" s="22"/>
      <c r="E1034" s="22"/>
      <c r="F1034" s="22"/>
    </row>
    <row r="1035">
      <c r="A1035" s="22"/>
      <c r="B1035" s="22"/>
      <c r="C1035" s="22"/>
      <c r="D1035" s="22"/>
      <c r="E1035" s="22"/>
      <c r="F1035" s="22"/>
    </row>
    <row r="1036">
      <c r="A1036" s="22"/>
      <c r="B1036" s="22"/>
      <c r="C1036" s="22"/>
      <c r="D1036" s="22"/>
      <c r="E1036" s="22"/>
      <c r="F1036" s="22"/>
    </row>
    <row r="1037">
      <c r="A1037" s="22"/>
      <c r="B1037" s="22"/>
      <c r="C1037" s="22"/>
      <c r="D1037" s="22"/>
      <c r="E1037" s="22"/>
      <c r="F1037" s="22"/>
    </row>
    <row r="1038">
      <c r="A1038" s="22"/>
      <c r="B1038" s="22"/>
      <c r="C1038" s="22"/>
      <c r="D1038" s="22"/>
      <c r="E1038" s="22"/>
      <c r="F1038" s="22"/>
    </row>
    <row r="1039">
      <c r="A1039" s="22"/>
      <c r="B1039" s="22"/>
      <c r="C1039" s="22"/>
      <c r="D1039" s="22"/>
      <c r="E1039" s="22"/>
      <c r="F1039" s="22"/>
    </row>
    <row r="1040">
      <c r="A1040" s="22"/>
      <c r="B1040" s="22"/>
      <c r="C1040" s="22"/>
      <c r="D1040" s="22"/>
      <c r="E1040" s="22"/>
      <c r="F1040" s="22"/>
    </row>
    <row r="1041">
      <c r="A1041" s="22"/>
      <c r="B1041" s="22"/>
      <c r="C1041" s="22"/>
      <c r="D1041" s="22"/>
      <c r="E1041" s="22"/>
      <c r="F1041" s="22"/>
    </row>
    <row r="1042">
      <c r="A1042" s="22"/>
      <c r="B1042" s="22"/>
      <c r="C1042" s="22"/>
      <c r="D1042" s="22"/>
      <c r="E1042" s="22"/>
      <c r="F1042" s="22"/>
    </row>
    <row r="1043">
      <c r="A1043" s="22"/>
      <c r="B1043" s="22"/>
      <c r="C1043" s="22"/>
      <c r="D1043" s="22"/>
      <c r="E1043" s="22"/>
      <c r="F1043" s="22"/>
    </row>
    <row r="1044">
      <c r="A1044" s="22"/>
      <c r="B1044" s="22"/>
      <c r="C1044" s="22"/>
      <c r="D1044" s="22"/>
      <c r="E1044" s="22"/>
      <c r="F1044" s="22"/>
    </row>
    <row r="1045">
      <c r="A1045" s="22"/>
      <c r="B1045" s="22"/>
      <c r="C1045" s="22"/>
      <c r="D1045" s="22"/>
      <c r="E1045" s="22"/>
      <c r="F1045" s="22"/>
    </row>
    <row r="1046">
      <c r="A1046" s="22"/>
      <c r="B1046" s="22"/>
      <c r="C1046" s="22"/>
      <c r="D1046" s="22"/>
      <c r="E1046" s="22"/>
      <c r="F1046" s="22"/>
    </row>
    <row r="1047">
      <c r="A1047" s="22"/>
      <c r="B1047" s="22"/>
      <c r="C1047" s="22"/>
      <c r="D1047" s="22"/>
      <c r="E1047" s="22"/>
      <c r="F1047" s="22"/>
    </row>
    <row r="1048">
      <c r="A1048" s="22"/>
      <c r="B1048" s="22"/>
      <c r="C1048" s="22"/>
      <c r="D1048" s="22"/>
      <c r="E1048" s="22"/>
      <c r="F1048" s="22"/>
    </row>
    <row r="1049">
      <c r="A1049" s="22"/>
      <c r="B1049" s="22"/>
      <c r="C1049" s="22"/>
      <c r="D1049" s="22"/>
      <c r="E1049" s="22"/>
      <c r="F1049" s="22"/>
    </row>
    <row r="1050">
      <c r="A1050" s="22"/>
      <c r="B1050" s="22"/>
      <c r="C1050" s="22"/>
      <c r="D1050" s="22"/>
      <c r="E1050" s="22"/>
      <c r="F1050" s="22"/>
    </row>
    <row r="1051">
      <c r="A1051" s="22"/>
      <c r="B1051" s="22"/>
      <c r="C1051" s="22"/>
      <c r="D1051" s="22"/>
      <c r="E1051" s="22"/>
      <c r="F1051" s="22"/>
    </row>
    <row r="1052">
      <c r="A1052" s="22"/>
      <c r="B1052" s="22"/>
      <c r="C1052" s="22"/>
      <c r="D1052" s="22"/>
      <c r="E1052" s="22"/>
      <c r="F1052" s="22"/>
    </row>
    <row r="1053">
      <c r="A1053" s="22"/>
      <c r="B1053" s="22"/>
      <c r="C1053" s="22"/>
      <c r="D1053" s="22"/>
      <c r="E1053" s="22"/>
      <c r="F1053" s="22"/>
    </row>
    <row r="1054">
      <c r="A1054" s="22"/>
      <c r="B1054" s="22"/>
      <c r="C1054" s="22"/>
      <c r="D1054" s="22"/>
      <c r="E1054" s="22"/>
      <c r="F1054" s="22"/>
    </row>
    <row r="1055">
      <c r="A1055" s="22"/>
      <c r="B1055" s="22"/>
      <c r="C1055" s="22"/>
      <c r="D1055" s="22"/>
      <c r="E1055" s="22"/>
      <c r="F1055" s="22"/>
    </row>
    <row r="1056">
      <c r="A1056" s="22"/>
      <c r="B1056" s="22"/>
      <c r="C1056" s="22"/>
      <c r="D1056" s="22"/>
      <c r="E1056" s="22"/>
      <c r="F1056" s="22"/>
    </row>
    <row r="1057">
      <c r="A1057" s="22"/>
      <c r="B1057" s="22"/>
      <c r="C1057" s="22"/>
      <c r="D1057" s="22"/>
      <c r="E1057" s="22"/>
      <c r="F1057" s="22"/>
    </row>
    <row r="1058">
      <c r="A1058" s="22"/>
      <c r="B1058" s="22"/>
      <c r="C1058" s="22"/>
      <c r="D1058" s="22"/>
      <c r="E1058" s="22"/>
      <c r="F1058" s="22"/>
    </row>
    <row r="1059">
      <c r="A1059" s="22"/>
      <c r="B1059" s="22"/>
      <c r="C1059" s="22"/>
      <c r="D1059" s="22"/>
      <c r="E1059" s="22"/>
      <c r="F1059" s="22"/>
    </row>
    <row r="1060">
      <c r="A1060" s="22"/>
      <c r="B1060" s="22"/>
      <c r="C1060" s="22"/>
      <c r="D1060" s="22"/>
      <c r="E1060" s="22"/>
      <c r="F1060" s="22"/>
    </row>
    <row r="1061">
      <c r="A1061" s="22"/>
      <c r="B1061" s="22"/>
      <c r="C1061" s="22"/>
      <c r="D1061" s="22"/>
      <c r="E1061" s="22"/>
      <c r="F1061" s="22"/>
    </row>
    <row r="1062">
      <c r="A1062" s="22"/>
      <c r="B1062" s="22"/>
      <c r="C1062" s="22"/>
      <c r="D1062" s="22"/>
      <c r="E1062" s="22"/>
      <c r="F1062" s="22"/>
    </row>
    <row r="1063">
      <c r="A1063" s="22"/>
      <c r="B1063" s="22"/>
      <c r="C1063" s="22"/>
      <c r="D1063" s="22"/>
      <c r="E1063" s="22"/>
      <c r="F1063" s="22"/>
    </row>
    <row r="1064">
      <c r="A1064" s="22"/>
      <c r="B1064" s="22"/>
      <c r="C1064" s="22"/>
      <c r="D1064" s="22"/>
      <c r="E1064" s="22"/>
      <c r="F1064" s="22"/>
    </row>
    <row r="1065">
      <c r="A1065" s="22"/>
      <c r="B1065" s="22"/>
      <c r="C1065" s="22"/>
      <c r="D1065" s="22"/>
      <c r="E1065" s="22"/>
      <c r="F1065" s="22"/>
    </row>
    <row r="1066">
      <c r="A1066" s="22"/>
      <c r="B1066" s="22"/>
      <c r="C1066" s="22"/>
      <c r="D1066" s="22"/>
      <c r="E1066" s="22"/>
      <c r="F1066" s="22"/>
    </row>
    <row r="1067">
      <c r="A1067" s="22"/>
      <c r="B1067" s="22"/>
      <c r="C1067" s="22"/>
      <c r="D1067" s="22"/>
      <c r="E1067" s="22"/>
      <c r="F1067" s="22"/>
    </row>
    <row r="1068">
      <c r="A1068" s="22"/>
      <c r="B1068" s="22"/>
      <c r="C1068" s="22"/>
      <c r="D1068" s="22"/>
      <c r="E1068" s="22"/>
      <c r="F1068" s="22"/>
    </row>
    <row r="1069">
      <c r="A1069" s="22"/>
      <c r="B1069" s="22"/>
      <c r="C1069" s="22"/>
      <c r="D1069" s="22"/>
      <c r="E1069" s="22"/>
      <c r="F1069" s="22"/>
    </row>
    <row r="1070">
      <c r="A1070" s="22"/>
      <c r="B1070" s="22"/>
      <c r="C1070" s="22"/>
      <c r="D1070" s="22"/>
      <c r="E1070" s="22"/>
      <c r="F1070" s="22"/>
    </row>
    <row r="1071">
      <c r="A1071" s="22"/>
      <c r="B1071" s="22"/>
      <c r="C1071" s="22"/>
      <c r="D1071" s="22"/>
      <c r="E1071" s="22"/>
      <c r="F1071" s="22"/>
    </row>
    <row r="1072">
      <c r="A1072" s="22"/>
      <c r="B1072" s="22"/>
      <c r="C1072" s="22"/>
      <c r="D1072" s="22"/>
      <c r="E1072" s="22"/>
      <c r="F1072" s="22"/>
    </row>
    <row r="1073">
      <c r="A1073" s="22"/>
      <c r="B1073" s="22"/>
      <c r="C1073" s="22"/>
      <c r="D1073" s="22"/>
      <c r="E1073" s="22"/>
      <c r="F1073" s="22"/>
    </row>
    <row r="1074">
      <c r="A1074" s="22"/>
      <c r="B1074" s="22"/>
      <c r="C1074" s="22"/>
      <c r="D1074" s="22"/>
      <c r="E1074" s="22"/>
      <c r="F1074" s="22"/>
    </row>
    <row r="1075">
      <c r="A1075" s="22"/>
      <c r="B1075" s="22"/>
      <c r="C1075" s="22"/>
      <c r="D1075" s="22"/>
      <c r="E1075" s="22"/>
      <c r="F1075" s="22"/>
    </row>
    <row r="1076">
      <c r="A1076" s="22"/>
      <c r="B1076" s="22"/>
      <c r="C1076" s="22"/>
      <c r="D1076" s="22"/>
      <c r="E1076" s="22"/>
      <c r="F1076" s="22"/>
    </row>
    <row r="1077">
      <c r="A1077" s="22"/>
      <c r="B1077" s="22"/>
      <c r="C1077" s="22"/>
      <c r="D1077" s="22"/>
      <c r="E1077" s="22"/>
      <c r="F1077" s="22"/>
    </row>
    <row r="1078">
      <c r="A1078" s="22"/>
      <c r="B1078" s="22"/>
      <c r="C1078" s="22"/>
      <c r="D1078" s="22"/>
      <c r="E1078" s="22"/>
      <c r="F1078" s="22"/>
    </row>
    <row r="1079">
      <c r="A1079" s="22"/>
      <c r="B1079" s="22"/>
      <c r="C1079" s="22"/>
      <c r="D1079" s="22"/>
      <c r="E1079" s="22"/>
      <c r="F1079" s="22"/>
    </row>
    <row r="1080">
      <c r="A1080" s="22"/>
      <c r="B1080" s="22"/>
      <c r="C1080" s="22"/>
      <c r="D1080" s="22"/>
      <c r="E1080" s="22"/>
      <c r="F1080" s="22"/>
    </row>
    <row r="1081">
      <c r="A1081" s="22"/>
      <c r="B1081" s="22"/>
      <c r="C1081" s="22"/>
      <c r="D1081" s="22"/>
      <c r="E1081" s="22"/>
      <c r="F1081" s="22"/>
    </row>
    <row r="1082">
      <c r="A1082" s="22"/>
      <c r="B1082" s="22"/>
      <c r="C1082" s="22"/>
      <c r="D1082" s="22"/>
      <c r="E1082" s="22"/>
      <c r="F1082" s="22"/>
    </row>
    <row r="1083">
      <c r="A1083" s="22"/>
      <c r="B1083" s="22"/>
      <c r="C1083" s="22"/>
      <c r="D1083" s="22"/>
      <c r="E1083" s="22"/>
      <c r="F1083" s="22"/>
    </row>
    <row r="1084">
      <c r="A1084" s="22"/>
      <c r="B1084" s="22"/>
      <c r="C1084" s="22"/>
      <c r="D1084" s="22"/>
      <c r="E1084" s="22"/>
      <c r="F1084" s="22"/>
    </row>
    <row r="1085">
      <c r="A1085" s="22"/>
      <c r="B1085" s="22"/>
      <c r="C1085" s="22"/>
      <c r="D1085" s="22"/>
      <c r="E1085" s="22"/>
      <c r="F1085" s="22"/>
    </row>
    <row r="1086">
      <c r="A1086" s="22"/>
      <c r="B1086" s="22"/>
      <c r="C1086" s="22"/>
      <c r="D1086" s="22"/>
      <c r="E1086" s="22"/>
      <c r="F1086" s="22"/>
    </row>
    <row r="1087">
      <c r="A1087" s="22"/>
      <c r="B1087" s="22"/>
      <c r="C1087" s="22"/>
      <c r="D1087" s="22"/>
      <c r="E1087" s="22"/>
      <c r="F1087" s="22"/>
    </row>
    <row r="1088">
      <c r="A1088" s="22"/>
      <c r="B1088" s="22"/>
      <c r="C1088" s="22"/>
      <c r="D1088" s="22"/>
      <c r="E1088" s="22"/>
      <c r="F1088" s="22"/>
    </row>
    <row r="1089">
      <c r="A1089" s="22"/>
      <c r="B1089" s="22"/>
      <c r="C1089" s="22"/>
      <c r="D1089" s="22"/>
      <c r="E1089" s="22"/>
      <c r="F1089" s="22"/>
    </row>
    <row r="1090">
      <c r="A1090" s="22"/>
      <c r="B1090" s="22"/>
      <c r="C1090" s="22"/>
      <c r="D1090" s="22"/>
      <c r="E1090" s="22"/>
      <c r="F1090" s="22"/>
    </row>
    <row r="1091">
      <c r="A1091" s="22"/>
      <c r="B1091" s="22"/>
      <c r="C1091" s="22"/>
      <c r="D1091" s="22"/>
      <c r="E1091" s="22"/>
      <c r="F1091" s="22"/>
    </row>
    <row r="1092">
      <c r="A1092" s="22"/>
      <c r="B1092" s="22"/>
      <c r="C1092" s="22"/>
      <c r="D1092" s="22"/>
      <c r="E1092" s="22"/>
      <c r="F1092" s="22"/>
    </row>
    <row r="1093">
      <c r="A1093" s="22"/>
      <c r="B1093" s="22"/>
      <c r="C1093" s="22"/>
      <c r="D1093" s="22"/>
      <c r="E1093" s="22"/>
      <c r="F1093" s="22"/>
    </row>
    <row r="1094">
      <c r="A1094" s="22"/>
      <c r="B1094" s="22"/>
      <c r="C1094" s="22"/>
      <c r="D1094" s="22"/>
      <c r="E1094" s="22"/>
      <c r="F1094" s="22"/>
    </row>
    <row r="1095">
      <c r="A1095" s="22"/>
      <c r="B1095" s="22"/>
      <c r="C1095" s="22"/>
      <c r="D1095" s="22"/>
      <c r="E1095" s="22"/>
      <c r="F1095" s="22"/>
    </row>
    <row r="1096">
      <c r="A1096" s="22"/>
      <c r="B1096" s="22"/>
      <c r="C1096" s="22"/>
      <c r="D1096" s="22"/>
      <c r="E1096" s="22"/>
      <c r="F1096" s="22"/>
    </row>
    <row r="1097">
      <c r="A1097" s="22"/>
      <c r="B1097" s="22"/>
      <c r="C1097" s="22"/>
      <c r="D1097" s="22"/>
      <c r="E1097" s="22"/>
      <c r="F1097" s="22"/>
    </row>
    <row r="1098">
      <c r="A1098" s="22"/>
      <c r="B1098" s="22"/>
      <c r="C1098" s="22"/>
      <c r="D1098" s="22"/>
      <c r="E1098" s="22"/>
      <c r="F1098" s="22"/>
    </row>
    <row r="1099">
      <c r="A1099" s="22"/>
      <c r="B1099" s="22"/>
      <c r="C1099" s="22"/>
      <c r="D1099" s="22"/>
      <c r="E1099" s="22"/>
      <c r="F1099" s="22"/>
    </row>
    <row r="1100">
      <c r="A1100" s="22"/>
      <c r="B1100" s="22"/>
      <c r="C1100" s="22"/>
      <c r="D1100" s="22"/>
      <c r="E1100" s="22"/>
      <c r="F1100" s="22"/>
    </row>
    <row r="1101">
      <c r="A1101" s="22"/>
      <c r="B1101" s="22"/>
      <c r="C1101" s="22"/>
      <c r="D1101" s="22"/>
      <c r="E1101" s="22"/>
      <c r="F1101" s="22"/>
    </row>
    <row r="1102">
      <c r="A1102" s="22"/>
      <c r="B1102" s="22"/>
      <c r="C1102" s="22"/>
      <c r="D1102" s="22"/>
      <c r="E1102" s="22"/>
      <c r="F1102" s="22"/>
    </row>
    <row r="1103">
      <c r="A1103" s="22"/>
      <c r="B1103" s="22"/>
      <c r="C1103" s="22"/>
      <c r="D1103" s="22"/>
      <c r="E1103" s="22"/>
      <c r="F1103" s="22"/>
    </row>
    <row r="1104">
      <c r="A1104" s="22"/>
      <c r="B1104" s="22"/>
      <c r="C1104" s="22"/>
      <c r="D1104" s="22"/>
      <c r="E1104" s="22"/>
      <c r="F1104" s="22"/>
    </row>
    <row r="1105">
      <c r="A1105" s="22"/>
      <c r="B1105" s="22"/>
      <c r="C1105" s="22"/>
      <c r="D1105" s="22"/>
      <c r="E1105" s="22"/>
      <c r="F1105" s="22"/>
    </row>
    <row r="1106">
      <c r="A1106" s="22"/>
      <c r="B1106" s="22"/>
      <c r="C1106" s="22"/>
      <c r="D1106" s="22"/>
      <c r="E1106" s="22"/>
      <c r="F1106" s="22"/>
    </row>
    <row r="1107">
      <c r="A1107" s="22"/>
      <c r="B1107" s="22"/>
      <c r="C1107" s="22"/>
      <c r="D1107" s="22"/>
      <c r="E1107" s="22"/>
      <c r="F1107" s="22"/>
    </row>
    <row r="1108">
      <c r="A1108" s="22"/>
      <c r="B1108" s="22"/>
      <c r="C1108" s="22"/>
      <c r="D1108" s="22"/>
      <c r="E1108" s="22"/>
      <c r="F1108" s="22"/>
    </row>
    <row r="1109">
      <c r="A1109" s="22"/>
      <c r="B1109" s="22"/>
      <c r="C1109" s="22"/>
      <c r="D1109" s="22"/>
      <c r="E1109" s="22"/>
      <c r="F1109" s="22"/>
    </row>
    <row r="1110">
      <c r="A1110" s="22"/>
      <c r="B1110" s="22"/>
      <c r="C1110" s="22"/>
      <c r="D1110" s="22"/>
      <c r="E1110" s="22"/>
      <c r="F1110" s="22"/>
    </row>
    <row r="1111">
      <c r="A1111" s="22"/>
      <c r="B1111" s="22"/>
      <c r="C1111" s="22"/>
      <c r="D1111" s="22"/>
      <c r="E1111" s="22"/>
      <c r="F1111" s="22"/>
    </row>
    <row r="1112">
      <c r="A1112" s="22"/>
      <c r="B1112" s="22"/>
      <c r="C1112" s="22"/>
      <c r="D1112" s="22"/>
      <c r="E1112" s="22"/>
      <c r="F1112" s="22"/>
    </row>
    <row r="1113">
      <c r="A1113" s="22"/>
      <c r="B1113" s="22"/>
      <c r="C1113" s="22"/>
      <c r="D1113" s="22"/>
      <c r="E1113" s="22"/>
      <c r="F1113" s="22"/>
    </row>
    <row r="1114">
      <c r="A1114" s="22"/>
      <c r="B1114" s="22"/>
      <c r="C1114" s="22"/>
      <c r="D1114" s="22"/>
      <c r="E1114" s="22"/>
      <c r="F1114" s="22"/>
    </row>
    <row r="1115">
      <c r="A1115" s="22"/>
      <c r="B1115" s="22"/>
      <c r="C1115" s="22"/>
      <c r="D1115" s="22"/>
      <c r="E1115" s="22"/>
      <c r="F1115" s="22"/>
    </row>
    <row r="1116">
      <c r="A1116" s="22"/>
      <c r="B1116" s="22"/>
      <c r="C1116" s="22"/>
      <c r="D1116" s="22"/>
      <c r="E1116" s="22"/>
      <c r="F1116" s="22"/>
    </row>
    <row r="1117">
      <c r="A1117" s="22"/>
      <c r="B1117" s="22"/>
      <c r="C1117" s="22"/>
      <c r="D1117" s="22"/>
      <c r="E1117" s="22"/>
      <c r="F1117" s="22"/>
    </row>
    <row r="1118">
      <c r="A1118" s="22"/>
      <c r="B1118" s="22"/>
      <c r="C1118" s="22"/>
      <c r="D1118" s="22"/>
      <c r="E1118" s="22"/>
      <c r="F1118" s="22"/>
    </row>
    <row r="1119">
      <c r="A1119" s="22"/>
      <c r="B1119" s="22"/>
      <c r="C1119" s="22"/>
      <c r="D1119" s="22"/>
      <c r="E1119" s="22"/>
      <c r="F1119" s="22"/>
    </row>
    <row r="1120">
      <c r="A1120" s="22"/>
      <c r="B1120" s="22"/>
      <c r="C1120" s="22"/>
      <c r="D1120" s="22"/>
      <c r="E1120" s="22"/>
      <c r="F1120" s="22"/>
    </row>
    <row r="1121">
      <c r="A1121" s="22"/>
      <c r="B1121" s="22"/>
      <c r="C1121" s="22"/>
      <c r="D1121" s="22"/>
      <c r="E1121" s="22"/>
      <c r="F1121" s="22"/>
    </row>
    <row r="1122">
      <c r="A1122" s="22"/>
      <c r="B1122" s="22"/>
      <c r="C1122" s="22"/>
      <c r="D1122" s="22"/>
      <c r="E1122" s="22"/>
      <c r="F1122" s="22"/>
    </row>
    <row r="1123">
      <c r="A1123" s="22"/>
      <c r="B1123" s="22"/>
      <c r="C1123" s="22"/>
      <c r="D1123" s="22"/>
      <c r="E1123" s="22"/>
      <c r="F1123" s="22"/>
    </row>
    <row r="1124">
      <c r="A1124" s="22"/>
      <c r="B1124" s="22"/>
      <c r="C1124" s="22"/>
      <c r="D1124" s="22"/>
      <c r="E1124" s="22"/>
      <c r="F1124" s="22"/>
    </row>
    <row r="1125">
      <c r="A1125" s="22"/>
      <c r="B1125" s="22"/>
      <c r="C1125" s="22"/>
      <c r="D1125" s="22"/>
      <c r="E1125" s="22"/>
      <c r="F1125" s="22"/>
    </row>
    <row r="1126">
      <c r="A1126" s="22"/>
      <c r="B1126" s="22"/>
      <c r="C1126" s="22"/>
      <c r="D1126" s="22"/>
      <c r="E1126" s="22"/>
      <c r="F1126" s="22"/>
    </row>
    <row r="1127">
      <c r="A1127" s="22"/>
      <c r="B1127" s="22"/>
      <c r="C1127" s="22"/>
      <c r="D1127" s="22"/>
      <c r="E1127" s="22"/>
      <c r="F1127" s="22"/>
    </row>
    <row r="1128">
      <c r="A1128" s="22"/>
      <c r="B1128" s="22"/>
      <c r="C1128" s="22"/>
      <c r="D1128" s="22"/>
      <c r="E1128" s="22"/>
      <c r="F1128" s="22"/>
    </row>
    <row r="1129">
      <c r="A1129" s="22"/>
      <c r="B1129" s="22"/>
      <c r="C1129" s="22"/>
      <c r="D1129" s="22"/>
      <c r="E1129" s="22"/>
      <c r="F1129" s="22"/>
    </row>
    <row r="1130">
      <c r="A1130" s="22"/>
      <c r="B1130" s="22"/>
      <c r="C1130" s="22"/>
      <c r="D1130" s="22"/>
      <c r="E1130" s="22"/>
      <c r="F1130" s="22"/>
    </row>
    <row r="1131">
      <c r="A1131" s="22"/>
      <c r="B1131" s="22"/>
      <c r="C1131" s="22"/>
      <c r="D1131" s="22"/>
      <c r="E1131" s="22"/>
      <c r="F1131" s="22"/>
    </row>
    <row r="1132">
      <c r="A1132" s="22"/>
      <c r="B1132" s="22"/>
      <c r="C1132" s="22"/>
      <c r="D1132" s="22"/>
      <c r="E1132" s="22"/>
      <c r="F1132" s="22"/>
    </row>
    <row r="1133">
      <c r="A1133" s="22"/>
      <c r="B1133" s="22"/>
      <c r="C1133" s="22"/>
      <c r="D1133" s="22"/>
      <c r="E1133" s="22"/>
      <c r="F1133" s="22"/>
    </row>
    <row r="1134">
      <c r="A1134" s="22"/>
      <c r="B1134" s="22"/>
      <c r="C1134" s="22"/>
      <c r="D1134" s="22"/>
      <c r="E1134" s="22"/>
      <c r="F1134" s="22"/>
    </row>
    <row r="1135">
      <c r="A1135" s="22"/>
      <c r="B1135" s="22"/>
      <c r="C1135" s="22"/>
      <c r="D1135" s="22"/>
      <c r="E1135" s="22"/>
      <c r="F1135" s="22"/>
    </row>
    <row r="1136">
      <c r="A1136" s="22"/>
      <c r="B1136" s="22"/>
      <c r="C1136" s="22"/>
      <c r="D1136" s="22"/>
      <c r="E1136" s="22"/>
      <c r="F1136" s="22"/>
    </row>
    <row r="1137">
      <c r="A1137" s="22"/>
      <c r="B1137" s="22"/>
      <c r="C1137" s="22"/>
      <c r="D1137" s="22"/>
      <c r="E1137" s="22"/>
      <c r="F1137" s="22"/>
    </row>
    <row r="1138">
      <c r="A1138" s="22"/>
      <c r="B1138" s="22"/>
      <c r="C1138" s="22"/>
      <c r="D1138" s="22"/>
      <c r="E1138" s="22"/>
      <c r="F1138" s="22"/>
    </row>
    <row r="1139">
      <c r="A1139" s="22"/>
      <c r="B1139" s="22"/>
      <c r="C1139" s="22"/>
      <c r="D1139" s="22"/>
      <c r="E1139" s="22"/>
      <c r="F1139" s="22"/>
    </row>
    <row r="1140">
      <c r="A1140" s="22"/>
      <c r="B1140" s="22"/>
      <c r="C1140" s="22"/>
      <c r="D1140" s="22"/>
      <c r="E1140" s="22"/>
      <c r="F1140" s="22"/>
    </row>
    <row r="1141">
      <c r="A1141" s="22"/>
      <c r="B1141" s="22"/>
      <c r="C1141" s="22"/>
      <c r="D1141" s="22"/>
      <c r="E1141" s="22"/>
      <c r="F1141" s="22"/>
    </row>
    <row r="1142">
      <c r="A1142" s="22"/>
      <c r="B1142" s="22"/>
      <c r="C1142" s="22"/>
      <c r="D1142" s="22"/>
      <c r="E1142" s="22"/>
      <c r="F1142" s="22"/>
    </row>
    <row r="1143">
      <c r="A1143" s="22"/>
      <c r="B1143" s="22"/>
      <c r="C1143" s="22"/>
      <c r="D1143" s="22"/>
      <c r="E1143" s="22"/>
      <c r="F1143" s="22"/>
    </row>
    <row r="1144">
      <c r="A1144" s="22"/>
      <c r="B1144" s="22"/>
      <c r="C1144" s="22"/>
      <c r="D1144" s="22"/>
      <c r="E1144" s="22"/>
      <c r="F1144" s="22"/>
    </row>
    <row r="1145">
      <c r="A1145" s="22"/>
      <c r="B1145" s="22"/>
      <c r="C1145" s="22"/>
      <c r="D1145" s="22"/>
      <c r="E1145" s="22"/>
      <c r="F1145" s="22"/>
    </row>
    <row r="1146">
      <c r="A1146" s="22"/>
      <c r="B1146" s="22"/>
      <c r="C1146" s="22"/>
      <c r="D1146" s="22"/>
      <c r="E1146" s="22"/>
      <c r="F1146" s="22"/>
    </row>
    <row r="1147">
      <c r="A1147" s="22"/>
      <c r="B1147" s="22"/>
      <c r="C1147" s="22"/>
      <c r="D1147" s="22"/>
      <c r="E1147" s="22"/>
      <c r="F1147" s="22"/>
    </row>
    <row r="1148">
      <c r="A1148" s="22"/>
      <c r="B1148" s="22"/>
      <c r="C1148" s="22"/>
      <c r="D1148" s="22"/>
      <c r="E1148" s="22"/>
      <c r="F1148" s="22"/>
    </row>
    <row r="1149">
      <c r="A1149" s="22"/>
      <c r="B1149" s="22"/>
      <c r="C1149" s="22"/>
      <c r="D1149" s="22"/>
      <c r="E1149" s="22"/>
      <c r="F1149" s="22"/>
    </row>
    <row r="1150">
      <c r="A1150" s="22"/>
      <c r="B1150" s="22"/>
      <c r="C1150" s="22"/>
      <c r="D1150" s="22"/>
      <c r="E1150" s="22"/>
      <c r="F1150" s="22"/>
    </row>
    <row r="1151">
      <c r="A1151" s="22"/>
      <c r="B1151" s="22"/>
      <c r="C1151" s="22"/>
      <c r="D1151" s="22"/>
      <c r="E1151" s="22"/>
      <c r="F1151" s="22"/>
    </row>
    <row r="1152">
      <c r="A1152" s="22"/>
      <c r="B1152" s="22"/>
      <c r="C1152" s="22"/>
      <c r="D1152" s="22"/>
      <c r="E1152" s="22"/>
      <c r="F1152" s="22"/>
    </row>
    <row r="1153">
      <c r="A1153" s="22"/>
      <c r="B1153" s="22"/>
      <c r="C1153" s="22"/>
      <c r="D1153" s="22"/>
      <c r="E1153" s="22"/>
      <c r="F1153" s="22"/>
    </row>
    <row r="1154">
      <c r="A1154" s="22"/>
      <c r="B1154" s="22"/>
      <c r="C1154" s="22"/>
      <c r="D1154" s="22"/>
      <c r="E1154" s="22"/>
      <c r="F1154" s="22"/>
    </row>
    <row r="1155">
      <c r="A1155" s="22"/>
      <c r="B1155" s="22"/>
      <c r="C1155" s="22"/>
      <c r="D1155" s="22"/>
      <c r="E1155" s="22"/>
      <c r="F1155" s="22"/>
    </row>
    <row r="1156">
      <c r="A1156" s="22"/>
      <c r="B1156" s="22"/>
      <c r="C1156" s="22"/>
      <c r="D1156" s="22"/>
      <c r="E1156" s="22"/>
      <c r="F1156" s="22"/>
    </row>
    <row r="1157">
      <c r="A1157" s="22"/>
      <c r="B1157" s="22"/>
      <c r="C1157" s="22"/>
      <c r="D1157" s="22"/>
      <c r="E1157" s="22"/>
      <c r="F1157" s="22"/>
    </row>
    <row r="1158">
      <c r="A1158" s="22"/>
      <c r="B1158" s="22"/>
      <c r="C1158" s="22"/>
      <c r="D1158" s="22"/>
      <c r="E1158" s="22"/>
      <c r="F1158" s="22"/>
    </row>
    <row r="1159">
      <c r="A1159" s="22"/>
      <c r="B1159" s="22"/>
      <c r="C1159" s="22"/>
      <c r="D1159" s="22"/>
      <c r="E1159" s="22"/>
      <c r="F1159" s="22"/>
    </row>
    <row r="1160">
      <c r="A1160" s="22"/>
      <c r="B1160" s="22"/>
      <c r="C1160" s="22"/>
      <c r="D1160" s="22"/>
      <c r="E1160" s="22"/>
      <c r="F1160" s="22"/>
    </row>
    <row r="1161">
      <c r="A1161" s="22"/>
      <c r="B1161" s="22"/>
      <c r="C1161" s="22"/>
      <c r="D1161" s="22"/>
      <c r="E1161" s="22"/>
      <c r="F1161" s="22"/>
    </row>
    <row r="1162">
      <c r="A1162" s="22"/>
      <c r="B1162" s="22"/>
      <c r="C1162" s="22"/>
      <c r="D1162" s="22"/>
      <c r="E1162" s="22"/>
      <c r="F1162" s="22"/>
    </row>
    <row r="1163">
      <c r="A1163" s="22"/>
      <c r="B1163" s="22"/>
      <c r="C1163" s="22"/>
      <c r="D1163" s="22"/>
      <c r="E1163" s="22"/>
      <c r="F1163" s="22"/>
    </row>
    <row r="1164">
      <c r="A1164" s="22"/>
      <c r="B1164" s="22"/>
      <c r="C1164" s="22"/>
      <c r="D1164" s="22"/>
      <c r="E1164" s="22"/>
      <c r="F1164" s="22"/>
    </row>
    <row r="1165">
      <c r="A1165" s="22"/>
      <c r="B1165" s="22"/>
      <c r="C1165" s="22"/>
      <c r="D1165" s="22"/>
      <c r="E1165" s="22"/>
      <c r="F1165" s="22"/>
    </row>
    <row r="1166">
      <c r="A1166" s="22"/>
      <c r="B1166" s="22"/>
      <c r="C1166" s="22"/>
      <c r="D1166" s="22"/>
      <c r="E1166" s="22"/>
      <c r="F1166" s="22"/>
    </row>
    <row r="1167">
      <c r="A1167" s="22"/>
      <c r="B1167" s="22"/>
      <c r="C1167" s="22"/>
      <c r="D1167" s="22"/>
      <c r="E1167" s="22"/>
      <c r="F1167" s="22"/>
    </row>
    <row r="1168">
      <c r="A1168" s="22"/>
      <c r="B1168" s="22"/>
      <c r="C1168" s="22"/>
      <c r="D1168" s="22"/>
      <c r="E1168" s="22"/>
      <c r="F1168" s="22"/>
    </row>
    <row r="1169">
      <c r="A1169" s="22"/>
      <c r="B1169" s="22"/>
      <c r="C1169" s="22"/>
      <c r="D1169" s="22"/>
      <c r="E1169" s="22"/>
      <c r="F1169" s="22"/>
    </row>
    <row r="1170">
      <c r="A1170" s="22"/>
      <c r="B1170" s="22"/>
      <c r="C1170" s="22"/>
      <c r="D1170" s="22"/>
      <c r="E1170" s="22"/>
      <c r="F1170" s="22"/>
    </row>
    <row r="1171">
      <c r="A1171" s="22"/>
      <c r="B1171" s="22"/>
      <c r="C1171" s="22"/>
      <c r="D1171" s="22"/>
      <c r="E1171" s="22"/>
      <c r="F1171" s="22"/>
    </row>
    <row r="1172">
      <c r="A1172" s="22"/>
      <c r="B1172" s="22"/>
      <c r="C1172" s="22"/>
      <c r="D1172" s="22"/>
      <c r="E1172" s="22"/>
      <c r="F1172" s="22"/>
    </row>
    <row r="1173">
      <c r="A1173" s="22"/>
      <c r="B1173" s="22"/>
      <c r="C1173" s="22"/>
      <c r="D1173" s="22"/>
      <c r="E1173" s="22"/>
      <c r="F1173" s="22"/>
    </row>
    <row r="1174">
      <c r="A1174" s="22"/>
      <c r="B1174" s="22"/>
      <c r="C1174" s="22"/>
      <c r="D1174" s="22"/>
      <c r="E1174" s="22"/>
      <c r="F1174" s="22"/>
    </row>
    <row r="1175">
      <c r="A1175" s="22"/>
      <c r="B1175" s="22"/>
      <c r="C1175" s="22"/>
      <c r="D1175" s="22"/>
      <c r="E1175" s="22"/>
      <c r="F1175" s="22"/>
    </row>
    <row r="1176">
      <c r="A1176" s="22"/>
      <c r="B1176" s="22"/>
      <c r="C1176" s="22"/>
      <c r="D1176" s="22"/>
      <c r="E1176" s="22"/>
      <c r="F1176" s="22"/>
    </row>
    <row r="1177">
      <c r="A1177" s="22"/>
      <c r="B1177" s="22"/>
      <c r="C1177" s="22"/>
      <c r="D1177" s="22"/>
      <c r="E1177" s="22"/>
      <c r="F1177" s="22"/>
    </row>
    <row r="1178">
      <c r="A1178" s="22"/>
      <c r="B1178" s="22"/>
      <c r="C1178" s="22"/>
      <c r="D1178" s="22"/>
      <c r="E1178" s="22"/>
      <c r="F1178" s="22"/>
    </row>
    <row r="1179">
      <c r="A1179" s="22"/>
      <c r="B1179" s="22"/>
      <c r="C1179" s="22"/>
      <c r="D1179" s="22"/>
      <c r="E1179" s="22"/>
      <c r="F1179" s="22"/>
    </row>
    <row r="1180">
      <c r="A1180" s="22"/>
      <c r="B1180" s="22"/>
      <c r="C1180" s="22"/>
      <c r="D1180" s="22"/>
      <c r="E1180" s="22"/>
      <c r="F1180" s="22"/>
    </row>
    <row r="1181">
      <c r="A1181" s="22"/>
      <c r="B1181" s="22"/>
      <c r="C1181" s="22"/>
      <c r="D1181" s="22"/>
      <c r="E1181" s="22"/>
      <c r="F1181" s="22"/>
    </row>
    <row r="1182">
      <c r="A1182" s="22"/>
      <c r="B1182" s="22"/>
      <c r="C1182" s="22"/>
      <c r="D1182" s="22"/>
      <c r="E1182" s="22"/>
      <c r="F1182" s="22"/>
    </row>
    <row r="1183">
      <c r="A1183" s="22"/>
      <c r="B1183" s="22"/>
      <c r="C1183" s="22"/>
      <c r="D1183" s="22"/>
      <c r="E1183" s="22"/>
      <c r="F1183" s="22"/>
    </row>
    <row r="1184">
      <c r="A1184" s="22"/>
      <c r="B1184" s="22"/>
      <c r="C1184" s="22"/>
      <c r="D1184" s="22"/>
      <c r="E1184" s="22"/>
      <c r="F1184" s="22"/>
    </row>
    <row r="1185">
      <c r="A1185" s="22"/>
      <c r="B1185" s="22"/>
      <c r="C1185" s="22"/>
      <c r="D1185" s="22"/>
      <c r="E1185" s="22"/>
      <c r="F1185" s="22"/>
    </row>
    <row r="1186">
      <c r="A1186" s="22"/>
      <c r="B1186" s="22"/>
      <c r="C1186" s="22"/>
      <c r="D1186" s="22"/>
      <c r="E1186" s="22"/>
      <c r="F1186" s="22"/>
    </row>
    <row r="1187">
      <c r="A1187" s="22"/>
      <c r="B1187" s="22"/>
      <c r="C1187" s="22"/>
      <c r="D1187" s="22"/>
      <c r="E1187" s="22"/>
      <c r="F1187" s="22"/>
    </row>
    <row r="1188">
      <c r="A1188" s="22"/>
      <c r="B1188" s="22"/>
      <c r="C1188" s="22"/>
      <c r="D1188" s="22"/>
      <c r="E1188" s="22"/>
      <c r="F1188" s="22"/>
    </row>
    <row r="1189">
      <c r="A1189" s="22"/>
      <c r="B1189" s="22"/>
      <c r="C1189" s="22"/>
      <c r="D1189" s="22"/>
      <c r="E1189" s="22"/>
      <c r="F1189" s="22"/>
    </row>
    <row r="1190">
      <c r="A1190" s="22"/>
      <c r="B1190" s="22"/>
      <c r="C1190" s="22"/>
      <c r="D1190" s="22"/>
      <c r="E1190" s="22"/>
      <c r="F1190" s="22"/>
    </row>
    <row r="1191">
      <c r="A1191" s="22"/>
      <c r="B1191" s="22"/>
      <c r="C1191" s="22"/>
      <c r="D1191" s="22"/>
      <c r="E1191" s="22"/>
      <c r="F1191" s="22"/>
    </row>
    <row r="1192">
      <c r="A1192" s="22"/>
      <c r="B1192" s="22"/>
      <c r="C1192" s="22"/>
      <c r="D1192" s="22"/>
      <c r="E1192" s="22"/>
      <c r="F1192" s="22"/>
    </row>
    <row r="1193">
      <c r="A1193" s="22"/>
      <c r="B1193" s="22"/>
      <c r="C1193" s="22"/>
      <c r="D1193" s="22"/>
      <c r="E1193" s="22"/>
      <c r="F1193" s="22"/>
    </row>
    <row r="1194">
      <c r="A1194" s="22"/>
      <c r="B1194" s="22"/>
      <c r="C1194" s="22"/>
      <c r="D1194" s="22"/>
      <c r="E1194" s="22"/>
      <c r="F1194" s="22"/>
    </row>
    <row r="1195">
      <c r="A1195" s="22"/>
      <c r="B1195" s="22"/>
      <c r="C1195" s="22"/>
      <c r="D1195" s="22"/>
      <c r="E1195" s="22"/>
      <c r="F1195" s="22"/>
    </row>
    <row r="1196">
      <c r="A1196" s="22"/>
      <c r="B1196" s="22"/>
      <c r="C1196" s="22"/>
      <c r="D1196" s="22"/>
      <c r="E1196" s="22"/>
      <c r="F1196" s="22"/>
    </row>
    <row r="1197">
      <c r="A1197" s="22"/>
      <c r="B1197" s="22"/>
      <c r="C1197" s="22"/>
      <c r="D1197" s="22"/>
      <c r="E1197" s="22"/>
      <c r="F1197" s="22"/>
    </row>
    <row r="1198">
      <c r="A1198" s="22"/>
      <c r="B1198" s="22"/>
      <c r="C1198" s="22"/>
      <c r="D1198" s="22"/>
      <c r="E1198" s="22"/>
      <c r="F1198" s="22"/>
    </row>
    <row r="1199">
      <c r="A1199" s="22"/>
      <c r="B1199" s="22"/>
      <c r="C1199" s="22"/>
      <c r="D1199" s="22"/>
      <c r="E1199" s="22"/>
      <c r="F1199" s="22"/>
    </row>
    <row r="1200">
      <c r="A1200" s="22"/>
      <c r="B1200" s="22"/>
      <c r="C1200" s="22"/>
      <c r="D1200" s="22"/>
      <c r="E1200" s="22"/>
      <c r="F1200" s="22"/>
    </row>
    <row r="1201">
      <c r="A1201" s="22"/>
      <c r="B1201" s="22"/>
      <c r="C1201" s="22"/>
      <c r="D1201" s="22"/>
      <c r="E1201" s="22"/>
      <c r="F1201" s="22"/>
    </row>
    <row r="1202">
      <c r="A1202" s="22"/>
      <c r="B1202" s="22"/>
      <c r="C1202" s="22"/>
      <c r="D1202" s="22"/>
      <c r="E1202" s="22"/>
      <c r="F1202" s="22"/>
    </row>
    <row r="1203">
      <c r="A1203" s="22"/>
      <c r="B1203" s="22"/>
      <c r="C1203" s="22"/>
      <c r="D1203" s="22"/>
      <c r="E1203" s="22"/>
      <c r="F1203" s="22"/>
    </row>
    <row r="1204">
      <c r="A1204" s="22"/>
      <c r="B1204" s="22"/>
      <c r="C1204" s="22"/>
      <c r="D1204" s="22"/>
      <c r="E1204" s="22"/>
      <c r="F1204" s="22"/>
    </row>
    <row r="1205">
      <c r="A1205" s="22"/>
      <c r="B1205" s="22"/>
      <c r="C1205" s="22"/>
      <c r="D1205" s="22"/>
      <c r="E1205" s="22"/>
      <c r="F1205" s="22"/>
    </row>
    <row r="1206">
      <c r="A1206" s="22"/>
      <c r="B1206" s="22"/>
      <c r="C1206" s="22"/>
      <c r="D1206" s="22"/>
      <c r="E1206" s="22"/>
      <c r="F1206" s="22"/>
    </row>
    <row r="1207">
      <c r="A1207" s="22"/>
      <c r="B1207" s="22"/>
      <c r="C1207" s="22"/>
      <c r="D1207" s="22"/>
      <c r="E1207" s="22"/>
      <c r="F1207" s="22"/>
    </row>
    <row r="1208">
      <c r="A1208" s="22"/>
      <c r="B1208" s="22"/>
      <c r="C1208" s="22"/>
      <c r="D1208" s="22"/>
      <c r="E1208" s="22"/>
      <c r="F1208" s="22"/>
    </row>
    <row r="1209">
      <c r="A1209" s="22"/>
      <c r="B1209" s="22"/>
      <c r="C1209" s="22"/>
      <c r="D1209" s="22"/>
      <c r="E1209" s="22"/>
      <c r="F1209" s="22"/>
    </row>
    <row r="1210">
      <c r="A1210" s="22"/>
      <c r="B1210" s="22"/>
      <c r="C1210" s="22"/>
      <c r="D1210" s="22"/>
      <c r="E1210" s="22"/>
      <c r="F1210" s="22"/>
    </row>
    <row r="1211">
      <c r="A1211" s="22"/>
      <c r="B1211" s="22"/>
      <c r="C1211" s="22"/>
      <c r="D1211" s="22"/>
      <c r="E1211" s="22"/>
      <c r="F1211" s="22"/>
    </row>
    <row r="1212">
      <c r="A1212" s="22"/>
      <c r="B1212" s="22"/>
      <c r="C1212" s="22"/>
      <c r="D1212" s="22"/>
      <c r="E1212" s="22"/>
      <c r="F1212" s="22"/>
    </row>
    <row r="1213">
      <c r="A1213" s="22"/>
      <c r="B1213" s="22"/>
      <c r="C1213" s="22"/>
      <c r="D1213" s="22"/>
      <c r="E1213" s="22"/>
      <c r="F1213" s="22"/>
    </row>
    <row r="1214">
      <c r="A1214" s="22"/>
      <c r="B1214" s="22"/>
      <c r="C1214" s="22"/>
      <c r="D1214" s="22"/>
      <c r="E1214" s="22"/>
      <c r="F1214" s="22"/>
    </row>
    <row r="1215">
      <c r="A1215" s="22"/>
      <c r="B1215" s="22"/>
      <c r="C1215" s="22"/>
      <c r="D1215" s="22"/>
      <c r="E1215" s="22"/>
      <c r="F1215" s="22"/>
    </row>
    <row r="1216">
      <c r="A1216" s="22"/>
      <c r="B1216" s="22"/>
      <c r="C1216" s="22"/>
      <c r="D1216" s="22"/>
      <c r="E1216" s="22"/>
      <c r="F1216" s="22"/>
    </row>
    <row r="1217">
      <c r="A1217" s="22"/>
      <c r="B1217" s="22"/>
      <c r="C1217" s="22"/>
      <c r="D1217" s="22"/>
      <c r="E1217" s="22"/>
      <c r="F1217" s="22"/>
    </row>
    <row r="1218">
      <c r="A1218" s="22"/>
      <c r="B1218" s="22"/>
      <c r="C1218" s="22"/>
      <c r="D1218" s="22"/>
      <c r="E1218" s="22"/>
      <c r="F1218" s="22"/>
    </row>
    <row r="1219">
      <c r="A1219" s="22"/>
      <c r="B1219" s="22"/>
      <c r="C1219" s="22"/>
      <c r="D1219" s="22"/>
      <c r="E1219" s="22"/>
      <c r="F1219" s="22"/>
    </row>
    <row r="1220">
      <c r="A1220" s="22"/>
      <c r="B1220" s="22"/>
      <c r="C1220" s="22"/>
      <c r="D1220" s="22"/>
      <c r="E1220" s="22"/>
      <c r="F1220" s="22"/>
    </row>
    <row r="1221">
      <c r="A1221" s="22"/>
      <c r="B1221" s="22"/>
      <c r="C1221" s="22"/>
      <c r="D1221" s="22"/>
      <c r="E1221" s="22"/>
      <c r="F1221" s="22"/>
    </row>
    <row r="1222">
      <c r="A1222" s="22"/>
      <c r="B1222" s="22"/>
      <c r="C1222" s="22"/>
      <c r="D1222" s="22"/>
      <c r="E1222" s="22"/>
      <c r="F1222" s="22"/>
    </row>
    <row r="1223">
      <c r="A1223" s="22"/>
      <c r="B1223" s="22"/>
      <c r="C1223" s="22"/>
      <c r="D1223" s="22"/>
      <c r="E1223" s="22"/>
      <c r="F1223" s="22"/>
    </row>
    <row r="1224">
      <c r="A1224" s="22"/>
      <c r="B1224" s="22"/>
      <c r="C1224" s="22"/>
      <c r="D1224" s="22"/>
      <c r="E1224" s="22"/>
      <c r="F1224" s="22"/>
    </row>
    <row r="1225">
      <c r="A1225" s="22"/>
      <c r="B1225" s="22"/>
      <c r="C1225" s="22"/>
      <c r="D1225" s="22"/>
      <c r="E1225" s="22"/>
      <c r="F1225" s="22"/>
    </row>
    <row r="1226">
      <c r="A1226" s="22"/>
      <c r="B1226" s="22"/>
      <c r="C1226" s="22"/>
      <c r="D1226" s="22"/>
      <c r="E1226" s="22"/>
      <c r="F1226" s="22"/>
    </row>
    <row r="1227">
      <c r="A1227" s="22"/>
      <c r="B1227" s="22"/>
      <c r="C1227" s="22"/>
      <c r="D1227" s="22"/>
      <c r="E1227" s="22"/>
      <c r="F1227" s="22"/>
    </row>
    <row r="1228">
      <c r="A1228" s="22"/>
      <c r="B1228" s="22"/>
      <c r="C1228" s="22"/>
      <c r="D1228" s="22"/>
      <c r="E1228" s="22"/>
      <c r="F1228" s="22"/>
    </row>
    <row r="1229">
      <c r="A1229" s="22"/>
      <c r="B1229" s="22"/>
      <c r="C1229" s="22"/>
      <c r="D1229" s="22"/>
      <c r="E1229" s="22"/>
      <c r="F1229" s="22"/>
    </row>
    <row r="1230">
      <c r="A1230" s="22"/>
      <c r="B1230" s="22"/>
      <c r="C1230" s="22"/>
      <c r="D1230" s="22"/>
      <c r="E1230" s="22"/>
      <c r="F1230" s="22"/>
    </row>
    <row r="1231">
      <c r="A1231" s="22"/>
      <c r="B1231" s="22"/>
      <c r="C1231" s="22"/>
      <c r="D1231" s="22"/>
      <c r="E1231" s="22"/>
      <c r="F1231" s="22"/>
    </row>
    <row r="1232">
      <c r="A1232" s="22"/>
      <c r="B1232" s="22"/>
      <c r="C1232" s="22"/>
      <c r="D1232" s="22"/>
      <c r="E1232" s="22"/>
      <c r="F1232" s="22"/>
    </row>
    <row r="1233">
      <c r="A1233" s="22"/>
      <c r="B1233" s="22"/>
      <c r="C1233" s="22"/>
      <c r="D1233" s="22"/>
      <c r="E1233" s="22"/>
      <c r="F1233" s="22"/>
    </row>
    <row r="1234">
      <c r="A1234" s="22"/>
      <c r="B1234" s="22"/>
      <c r="C1234" s="22"/>
      <c r="D1234" s="22"/>
      <c r="E1234" s="22"/>
      <c r="F1234" s="22"/>
    </row>
    <row r="1235">
      <c r="A1235" s="22"/>
      <c r="B1235" s="22"/>
      <c r="C1235" s="22"/>
      <c r="D1235" s="22"/>
      <c r="E1235" s="22"/>
      <c r="F1235" s="22"/>
    </row>
    <row r="1236">
      <c r="A1236" s="22"/>
      <c r="B1236" s="22"/>
      <c r="C1236" s="22"/>
      <c r="D1236" s="22"/>
      <c r="E1236" s="22"/>
      <c r="F1236" s="22"/>
    </row>
    <row r="1237">
      <c r="A1237" s="22"/>
      <c r="B1237" s="22"/>
      <c r="C1237" s="22"/>
      <c r="D1237" s="22"/>
      <c r="E1237" s="22"/>
      <c r="F1237" s="22"/>
    </row>
    <row r="1238">
      <c r="A1238" s="22"/>
      <c r="B1238" s="22"/>
      <c r="C1238" s="22"/>
      <c r="D1238" s="22"/>
      <c r="E1238" s="22"/>
      <c r="F1238" s="22"/>
    </row>
    <row r="1239">
      <c r="A1239" s="22"/>
      <c r="B1239" s="22"/>
      <c r="C1239" s="22"/>
      <c r="D1239" s="22"/>
      <c r="E1239" s="22"/>
      <c r="F1239" s="22"/>
    </row>
    <row r="1240">
      <c r="A1240" s="22"/>
      <c r="B1240" s="22"/>
      <c r="C1240" s="22"/>
      <c r="D1240" s="22"/>
      <c r="E1240" s="22"/>
      <c r="F1240" s="22"/>
    </row>
    <row r="1241">
      <c r="A1241" s="22"/>
      <c r="B1241" s="22"/>
      <c r="C1241" s="22"/>
      <c r="D1241" s="22"/>
      <c r="E1241" s="22"/>
      <c r="F1241" s="22"/>
    </row>
    <row r="1242">
      <c r="A1242" s="22"/>
      <c r="B1242" s="22"/>
      <c r="C1242" s="22"/>
      <c r="D1242" s="22"/>
      <c r="E1242" s="22"/>
      <c r="F1242" s="22"/>
    </row>
    <row r="1243">
      <c r="A1243" s="22"/>
      <c r="B1243" s="22"/>
      <c r="C1243" s="22"/>
      <c r="D1243" s="22"/>
      <c r="E1243" s="22"/>
      <c r="F1243" s="22"/>
    </row>
    <row r="1244">
      <c r="A1244" s="22"/>
      <c r="B1244" s="22"/>
      <c r="C1244" s="22"/>
      <c r="D1244" s="22"/>
      <c r="E1244" s="22"/>
      <c r="F1244" s="22"/>
    </row>
    <row r="1245">
      <c r="A1245" s="22"/>
      <c r="B1245" s="22"/>
      <c r="C1245" s="22"/>
      <c r="D1245" s="22"/>
      <c r="E1245" s="22"/>
      <c r="F1245" s="22"/>
    </row>
    <row r="1246">
      <c r="A1246" s="22"/>
      <c r="B1246" s="22"/>
      <c r="C1246" s="22"/>
      <c r="D1246" s="22"/>
      <c r="E1246" s="22"/>
      <c r="F1246" s="22"/>
    </row>
    <row r="1247">
      <c r="A1247" s="22"/>
      <c r="B1247" s="22"/>
      <c r="C1247" s="22"/>
      <c r="D1247" s="22"/>
      <c r="E1247" s="22"/>
      <c r="F1247" s="22"/>
    </row>
    <row r="1248">
      <c r="A1248" s="22"/>
      <c r="B1248" s="22"/>
      <c r="C1248" s="22"/>
      <c r="D1248" s="22"/>
      <c r="E1248" s="22"/>
      <c r="F1248" s="22"/>
    </row>
    <row r="1249">
      <c r="A1249" s="22"/>
      <c r="B1249" s="22"/>
      <c r="C1249" s="22"/>
      <c r="D1249" s="22"/>
      <c r="E1249" s="22"/>
      <c r="F1249" s="22"/>
    </row>
    <row r="1250">
      <c r="A1250" s="22"/>
      <c r="B1250" s="22"/>
      <c r="C1250" s="22"/>
      <c r="D1250" s="22"/>
      <c r="E1250" s="22"/>
      <c r="F1250" s="22"/>
    </row>
    <row r="1251">
      <c r="A1251" s="22"/>
      <c r="B1251" s="22"/>
      <c r="C1251" s="22"/>
      <c r="D1251" s="22"/>
      <c r="E1251" s="22"/>
      <c r="F1251" s="22"/>
    </row>
    <row r="1252">
      <c r="A1252" s="22"/>
      <c r="B1252" s="22"/>
      <c r="C1252" s="22"/>
      <c r="D1252" s="22"/>
      <c r="E1252" s="22"/>
      <c r="F1252" s="22"/>
    </row>
    <row r="1253">
      <c r="A1253" s="22"/>
      <c r="B1253" s="22"/>
      <c r="C1253" s="22"/>
      <c r="D1253" s="22"/>
      <c r="E1253" s="22"/>
      <c r="F1253" s="22"/>
    </row>
    <row r="1254">
      <c r="A1254" s="22"/>
      <c r="B1254" s="22"/>
      <c r="C1254" s="22"/>
      <c r="D1254" s="22"/>
      <c r="E1254" s="22"/>
      <c r="F1254" s="22"/>
    </row>
    <row r="1255">
      <c r="A1255" s="22"/>
      <c r="B1255" s="22"/>
      <c r="C1255" s="22"/>
      <c r="D1255" s="22"/>
      <c r="E1255" s="22"/>
      <c r="F1255" s="22"/>
    </row>
    <row r="1256">
      <c r="A1256" s="22"/>
      <c r="B1256" s="22"/>
      <c r="C1256" s="22"/>
      <c r="D1256" s="22"/>
      <c r="E1256" s="22"/>
      <c r="F1256" s="22"/>
    </row>
    <row r="1257">
      <c r="A1257" s="22"/>
      <c r="B1257" s="22"/>
      <c r="C1257" s="22"/>
      <c r="D1257" s="22"/>
      <c r="E1257" s="22"/>
      <c r="F1257" s="22"/>
    </row>
    <row r="1258">
      <c r="A1258" s="22"/>
      <c r="B1258" s="22"/>
      <c r="C1258" s="22"/>
      <c r="D1258" s="22"/>
      <c r="E1258" s="22"/>
      <c r="F1258" s="22"/>
    </row>
    <row r="1259">
      <c r="A1259" s="22"/>
      <c r="B1259" s="22"/>
      <c r="C1259" s="22"/>
      <c r="D1259" s="22"/>
      <c r="E1259" s="22"/>
      <c r="F1259" s="22"/>
    </row>
    <row r="1260">
      <c r="A1260" s="22"/>
      <c r="B1260" s="22"/>
      <c r="C1260" s="22"/>
      <c r="D1260" s="22"/>
      <c r="E1260" s="22"/>
      <c r="F1260" s="22"/>
    </row>
    <row r="1261">
      <c r="A1261" s="22"/>
      <c r="B1261" s="22"/>
      <c r="C1261" s="22"/>
      <c r="D1261" s="22"/>
      <c r="E1261" s="22"/>
      <c r="F1261" s="22"/>
    </row>
    <row r="1262">
      <c r="A1262" s="22"/>
      <c r="B1262" s="22"/>
      <c r="C1262" s="22"/>
      <c r="D1262" s="22"/>
      <c r="E1262" s="22"/>
      <c r="F1262" s="22"/>
    </row>
    <row r="1263">
      <c r="A1263" s="22"/>
      <c r="B1263" s="22"/>
      <c r="C1263" s="22"/>
      <c r="D1263" s="22"/>
      <c r="E1263" s="22"/>
      <c r="F1263" s="22"/>
    </row>
    <row r="1264">
      <c r="A1264" s="22"/>
      <c r="B1264" s="22"/>
      <c r="C1264" s="22"/>
      <c r="D1264" s="22"/>
      <c r="E1264" s="22"/>
      <c r="F1264" s="22"/>
    </row>
    <row r="1265">
      <c r="A1265" s="22"/>
      <c r="B1265" s="22"/>
      <c r="C1265" s="22"/>
      <c r="D1265" s="22"/>
      <c r="E1265" s="22"/>
      <c r="F1265" s="22"/>
    </row>
    <row r="1266">
      <c r="A1266" s="22"/>
      <c r="B1266" s="22"/>
      <c r="C1266" s="22"/>
      <c r="D1266" s="22"/>
      <c r="E1266" s="22"/>
      <c r="F1266" s="22"/>
    </row>
    <row r="1267">
      <c r="A1267" s="22"/>
      <c r="B1267" s="22"/>
      <c r="C1267" s="22"/>
      <c r="D1267" s="22"/>
      <c r="E1267" s="22"/>
      <c r="F1267" s="22"/>
    </row>
    <row r="1268">
      <c r="A1268" s="22"/>
      <c r="B1268" s="22"/>
      <c r="C1268" s="22"/>
      <c r="D1268" s="22"/>
      <c r="E1268" s="22"/>
      <c r="F1268" s="22"/>
    </row>
    <row r="1269">
      <c r="A1269" s="22"/>
      <c r="B1269" s="22"/>
      <c r="C1269" s="22"/>
      <c r="D1269" s="22"/>
      <c r="E1269" s="22"/>
      <c r="F1269" s="22"/>
    </row>
    <row r="1270">
      <c r="A1270" s="22"/>
      <c r="B1270" s="22"/>
      <c r="C1270" s="22"/>
      <c r="D1270" s="22"/>
      <c r="E1270" s="22"/>
      <c r="F1270" s="22"/>
    </row>
    <row r="1271">
      <c r="A1271" s="22"/>
      <c r="B1271" s="22"/>
      <c r="C1271" s="22"/>
      <c r="D1271" s="22"/>
      <c r="E1271" s="22"/>
      <c r="F1271" s="22"/>
    </row>
    <row r="1272">
      <c r="A1272" s="22"/>
      <c r="B1272" s="22"/>
      <c r="C1272" s="22"/>
      <c r="D1272" s="22"/>
      <c r="E1272" s="22"/>
      <c r="F1272" s="22"/>
    </row>
    <row r="1273">
      <c r="A1273" s="22"/>
      <c r="B1273" s="22"/>
      <c r="C1273" s="22"/>
      <c r="D1273" s="22"/>
      <c r="E1273" s="22"/>
      <c r="F1273" s="22"/>
    </row>
    <row r="1274">
      <c r="A1274" s="22"/>
      <c r="B1274" s="22"/>
      <c r="C1274" s="22"/>
      <c r="D1274" s="22"/>
      <c r="E1274" s="22"/>
      <c r="F1274" s="22"/>
    </row>
    <row r="1275">
      <c r="A1275" s="22"/>
      <c r="B1275" s="22"/>
      <c r="C1275" s="22"/>
      <c r="D1275" s="22"/>
      <c r="E1275" s="22"/>
      <c r="F1275" s="22"/>
    </row>
    <row r="1276">
      <c r="A1276" s="22"/>
      <c r="B1276" s="22"/>
      <c r="C1276" s="22"/>
      <c r="D1276" s="22"/>
      <c r="E1276" s="22"/>
      <c r="F1276" s="22"/>
    </row>
    <row r="1277">
      <c r="A1277" s="22"/>
      <c r="B1277" s="22"/>
      <c r="C1277" s="22"/>
      <c r="D1277" s="22"/>
      <c r="E1277" s="22"/>
      <c r="F1277" s="22"/>
    </row>
    <row r="1278">
      <c r="A1278" s="22"/>
      <c r="B1278" s="22"/>
      <c r="C1278" s="22"/>
      <c r="D1278" s="22"/>
      <c r="E1278" s="22"/>
      <c r="F1278" s="22"/>
    </row>
    <row r="1279">
      <c r="A1279" s="22"/>
      <c r="B1279" s="22"/>
      <c r="C1279" s="22"/>
      <c r="D1279" s="22"/>
      <c r="E1279" s="22"/>
      <c r="F1279" s="22"/>
    </row>
    <row r="1280">
      <c r="A1280" s="22"/>
      <c r="B1280" s="22"/>
      <c r="C1280" s="22"/>
      <c r="D1280" s="22"/>
      <c r="E1280" s="22"/>
      <c r="F1280" s="22"/>
    </row>
    <row r="1281">
      <c r="A1281" s="22"/>
      <c r="B1281" s="22"/>
      <c r="C1281" s="22"/>
      <c r="D1281" s="22"/>
      <c r="E1281" s="22"/>
      <c r="F1281" s="22"/>
    </row>
    <row r="1282">
      <c r="A1282" s="22"/>
      <c r="B1282" s="22"/>
      <c r="C1282" s="22"/>
      <c r="D1282" s="22"/>
      <c r="E1282" s="22"/>
      <c r="F1282" s="22"/>
    </row>
    <row r="1283">
      <c r="A1283" s="22"/>
      <c r="B1283" s="22"/>
      <c r="C1283" s="22"/>
      <c r="D1283" s="22"/>
      <c r="E1283" s="22"/>
      <c r="F1283" s="22"/>
    </row>
    <row r="1284">
      <c r="A1284" s="22"/>
      <c r="B1284" s="22"/>
      <c r="C1284" s="22"/>
      <c r="D1284" s="22"/>
      <c r="E1284" s="22"/>
      <c r="F1284" s="22"/>
    </row>
    <row r="1285">
      <c r="A1285" s="22"/>
      <c r="B1285" s="22"/>
      <c r="C1285" s="22"/>
      <c r="D1285" s="22"/>
      <c r="E1285" s="22"/>
      <c r="F1285" s="22"/>
    </row>
    <row r="1286">
      <c r="A1286" s="22"/>
      <c r="B1286" s="22"/>
      <c r="C1286" s="22"/>
      <c r="D1286" s="22"/>
      <c r="E1286" s="22"/>
      <c r="F1286" s="22"/>
    </row>
    <row r="1287">
      <c r="A1287" s="22"/>
      <c r="B1287" s="22"/>
      <c r="C1287" s="22"/>
      <c r="D1287" s="22"/>
      <c r="E1287" s="22"/>
      <c r="F1287" s="22"/>
    </row>
    <row r="1288">
      <c r="A1288" s="22"/>
      <c r="B1288" s="22"/>
      <c r="C1288" s="22"/>
      <c r="D1288" s="22"/>
      <c r="E1288" s="22"/>
      <c r="F1288" s="22"/>
    </row>
    <row r="1289">
      <c r="A1289" s="22"/>
      <c r="B1289" s="22"/>
      <c r="C1289" s="22"/>
      <c r="D1289" s="22"/>
      <c r="E1289" s="22"/>
      <c r="F1289" s="22"/>
    </row>
    <row r="1290">
      <c r="A1290" s="22"/>
      <c r="B1290" s="22"/>
      <c r="C1290" s="22"/>
      <c r="D1290" s="22"/>
      <c r="E1290" s="22"/>
      <c r="F1290" s="22"/>
    </row>
    <row r="1291">
      <c r="A1291" s="22"/>
      <c r="B1291" s="22"/>
      <c r="C1291" s="22"/>
      <c r="D1291" s="22"/>
      <c r="E1291" s="22"/>
      <c r="F1291" s="22"/>
    </row>
    <row r="1292">
      <c r="A1292" s="22"/>
      <c r="B1292" s="22"/>
      <c r="C1292" s="22"/>
      <c r="D1292" s="22"/>
      <c r="E1292" s="22"/>
      <c r="F1292" s="22"/>
    </row>
    <row r="1293">
      <c r="A1293" s="22"/>
      <c r="B1293" s="22"/>
      <c r="C1293" s="22"/>
      <c r="D1293" s="22"/>
      <c r="E1293" s="22"/>
      <c r="F1293" s="22"/>
    </row>
    <row r="1294">
      <c r="A1294" s="22"/>
      <c r="B1294" s="22"/>
      <c r="C1294" s="22"/>
      <c r="D1294" s="22"/>
      <c r="E1294" s="22"/>
      <c r="F1294" s="22"/>
    </row>
    <row r="1295">
      <c r="A1295" s="22"/>
      <c r="B1295" s="22"/>
      <c r="C1295" s="22"/>
      <c r="D1295" s="22"/>
      <c r="E1295" s="22"/>
      <c r="F1295" s="22"/>
    </row>
    <row r="1296">
      <c r="A1296" s="22"/>
      <c r="B1296" s="22"/>
      <c r="C1296" s="22"/>
      <c r="D1296" s="22"/>
      <c r="E1296" s="22"/>
      <c r="F1296" s="22"/>
    </row>
    <row r="1297">
      <c r="A1297" s="22"/>
      <c r="B1297" s="22"/>
      <c r="C1297" s="22"/>
      <c r="D1297" s="22"/>
      <c r="E1297" s="22"/>
      <c r="F1297" s="22"/>
    </row>
    <row r="1298">
      <c r="A1298" s="22"/>
      <c r="B1298" s="22"/>
      <c r="C1298" s="22"/>
      <c r="D1298" s="22"/>
      <c r="E1298" s="22"/>
      <c r="F1298" s="22"/>
    </row>
    <row r="1299">
      <c r="A1299" s="22"/>
      <c r="B1299" s="22"/>
      <c r="C1299" s="22"/>
      <c r="D1299" s="22"/>
      <c r="E1299" s="22"/>
      <c r="F1299" s="22"/>
    </row>
    <row r="1300">
      <c r="A1300" s="22"/>
      <c r="B1300" s="22"/>
      <c r="C1300" s="22"/>
      <c r="D1300" s="22"/>
      <c r="E1300" s="22"/>
      <c r="F1300" s="22"/>
    </row>
    <row r="1301">
      <c r="A1301" s="22"/>
      <c r="B1301" s="22"/>
      <c r="C1301" s="22"/>
      <c r="D1301" s="22"/>
      <c r="E1301" s="22"/>
      <c r="F1301" s="22"/>
    </row>
    <row r="1302">
      <c r="A1302" s="22"/>
      <c r="B1302" s="22"/>
      <c r="C1302" s="22"/>
      <c r="D1302" s="22"/>
      <c r="E1302" s="22"/>
      <c r="F1302" s="22"/>
    </row>
    <row r="1303">
      <c r="A1303" s="22"/>
      <c r="B1303" s="22"/>
      <c r="C1303" s="22"/>
      <c r="D1303" s="22"/>
      <c r="E1303" s="22"/>
      <c r="F1303" s="22"/>
    </row>
    <row r="1304">
      <c r="A1304" s="22"/>
      <c r="B1304" s="22"/>
      <c r="C1304" s="22"/>
      <c r="D1304" s="22"/>
      <c r="E1304" s="22"/>
      <c r="F1304" s="22"/>
    </row>
    <row r="1305">
      <c r="A1305" s="22"/>
      <c r="B1305" s="22"/>
      <c r="C1305" s="22"/>
      <c r="D1305" s="22"/>
      <c r="E1305" s="22"/>
      <c r="F1305" s="22"/>
    </row>
    <row r="1306">
      <c r="A1306" s="22"/>
      <c r="B1306" s="22"/>
      <c r="C1306" s="22"/>
      <c r="D1306" s="22"/>
      <c r="E1306" s="22"/>
      <c r="F1306" s="22"/>
    </row>
    <row r="1307">
      <c r="A1307" s="22"/>
      <c r="B1307" s="22"/>
      <c r="C1307" s="22"/>
      <c r="D1307" s="22"/>
      <c r="E1307" s="22"/>
      <c r="F1307" s="22"/>
    </row>
    <row r="1308">
      <c r="A1308" s="22"/>
      <c r="B1308" s="22"/>
      <c r="C1308" s="22"/>
      <c r="D1308" s="22"/>
      <c r="E1308" s="22"/>
      <c r="F1308" s="22"/>
    </row>
    <row r="1309">
      <c r="A1309" s="22"/>
      <c r="B1309" s="22"/>
      <c r="C1309" s="22"/>
      <c r="D1309" s="22"/>
      <c r="E1309" s="22"/>
      <c r="F1309" s="22"/>
    </row>
    <row r="1310">
      <c r="A1310" s="22"/>
      <c r="B1310" s="22"/>
      <c r="C1310" s="22"/>
      <c r="D1310" s="22"/>
      <c r="E1310" s="22"/>
      <c r="F1310" s="22"/>
    </row>
    <row r="1311">
      <c r="A1311" s="22"/>
      <c r="B1311" s="22"/>
      <c r="C1311" s="22"/>
      <c r="D1311" s="22"/>
      <c r="E1311" s="22"/>
      <c r="F1311" s="22"/>
    </row>
    <row r="1312">
      <c r="A1312" s="22"/>
      <c r="B1312" s="22"/>
      <c r="C1312" s="22"/>
      <c r="D1312" s="22"/>
      <c r="E1312" s="22"/>
      <c r="F1312" s="22"/>
    </row>
    <row r="1313">
      <c r="A1313" s="22"/>
      <c r="B1313" s="22"/>
      <c r="C1313" s="22"/>
      <c r="D1313" s="22"/>
      <c r="E1313" s="22"/>
      <c r="F1313" s="22"/>
    </row>
    <row r="1314">
      <c r="A1314" s="22"/>
      <c r="B1314" s="22"/>
      <c r="C1314" s="22"/>
      <c r="D1314" s="22"/>
      <c r="E1314" s="22"/>
      <c r="F1314" s="22"/>
    </row>
    <row r="1315">
      <c r="A1315" s="22"/>
      <c r="B1315" s="22"/>
      <c r="C1315" s="22"/>
      <c r="D1315" s="22"/>
      <c r="E1315" s="22"/>
      <c r="F1315" s="22"/>
    </row>
    <row r="1316">
      <c r="A1316" s="22"/>
      <c r="B1316" s="22"/>
      <c r="C1316" s="22"/>
      <c r="D1316" s="22"/>
      <c r="E1316" s="22"/>
      <c r="F1316" s="22"/>
    </row>
  </sheetData>
  <autoFilter ref="$A$2:$AB$1001"/>
  <hyperlinks>
    <hyperlink r:id="rId4" ref="C6"/>
    <hyperlink r:id="rId5" ref="C115"/>
    <hyperlink r:id="rId6" ref="C252"/>
    <hyperlink r:id="rId7" ref="C288"/>
    <hyperlink r:id="rId8" ref="C290"/>
    <hyperlink r:id="rId9" ref="C302"/>
  </hyperlinks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7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7" t="s">
        <v>64</v>
      </c>
      <c r="B2" s="7" t="s">
        <v>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54"/>
    </row>
    <row r="3">
      <c r="A3" s="55" t="s">
        <v>138</v>
      </c>
    </row>
    <row r="4">
      <c r="A4" s="55" t="s">
        <v>141</v>
      </c>
    </row>
    <row r="5">
      <c r="A5" s="55" t="s">
        <v>142</v>
      </c>
    </row>
    <row r="6">
      <c r="A6" s="56" t="s">
        <v>143</v>
      </c>
    </row>
    <row r="7">
      <c r="A7" s="55" t="s">
        <v>144</v>
      </c>
    </row>
    <row r="8">
      <c r="A8" s="55" t="s">
        <v>145</v>
      </c>
    </row>
    <row r="9">
      <c r="A9" s="54"/>
    </row>
    <row r="10">
      <c r="A10" s="56" t="s">
        <v>146</v>
      </c>
    </row>
    <row r="11">
      <c r="A11" s="57"/>
    </row>
    <row r="12">
      <c r="A12" s="55" t="s">
        <v>147</v>
      </c>
    </row>
    <row r="13">
      <c r="A13" s="55" t="s">
        <v>149</v>
      </c>
    </row>
    <row r="14">
      <c r="A14" s="56" t="s">
        <v>150</v>
      </c>
    </row>
    <row r="15">
      <c r="A15" s="55" t="s">
        <v>152</v>
      </c>
    </row>
    <row r="16">
      <c r="A16" s="55" t="s">
        <v>156</v>
      </c>
    </row>
    <row r="17">
      <c r="A17" s="55" t="s">
        <v>158</v>
      </c>
    </row>
    <row r="18">
      <c r="A18" s="55" t="s">
        <v>159</v>
      </c>
    </row>
    <row r="19">
      <c r="A19" s="55" t="s">
        <v>162</v>
      </c>
    </row>
    <row r="20">
      <c r="A20" s="55" t="s">
        <v>165</v>
      </c>
    </row>
    <row r="21">
      <c r="A21" s="54"/>
    </row>
    <row r="22">
      <c r="A22" s="56" t="s">
        <v>167</v>
      </c>
    </row>
    <row r="23">
      <c r="A23" s="55" t="s">
        <v>169</v>
      </c>
    </row>
    <row r="24">
      <c r="A24" s="55" t="s">
        <v>170</v>
      </c>
    </row>
    <row r="25">
      <c r="A25" s="55" t="s">
        <v>152</v>
      </c>
    </row>
    <row r="26">
      <c r="A26" s="54"/>
    </row>
    <row r="27">
      <c r="A27" s="56" t="s">
        <v>171</v>
      </c>
    </row>
    <row r="28">
      <c r="A28" s="56" t="s">
        <v>172</v>
      </c>
    </row>
    <row r="29">
      <c r="A29" s="57"/>
    </row>
    <row r="30">
      <c r="A30" s="56" t="s">
        <v>174</v>
      </c>
    </row>
    <row r="31">
      <c r="A31" s="56" t="s">
        <v>175</v>
      </c>
    </row>
    <row r="32">
      <c r="A32" s="57"/>
    </row>
    <row r="33">
      <c r="A33" s="55" t="s">
        <v>178</v>
      </c>
    </row>
    <row r="34">
      <c r="A34" s="61" t="s">
        <v>180</v>
      </c>
    </row>
    <row r="35">
      <c r="A35" s="61" t="s">
        <v>182</v>
      </c>
    </row>
    <row r="36">
      <c r="A36" s="61" t="s">
        <v>183</v>
      </c>
    </row>
    <row r="37">
      <c r="A37" s="63"/>
    </row>
    <row r="38">
      <c r="A38" s="61" t="s">
        <v>185</v>
      </c>
    </row>
    <row r="39">
      <c r="A39" s="61" t="s">
        <v>186</v>
      </c>
    </row>
    <row r="40">
      <c r="A40" s="61" t="s">
        <v>187</v>
      </c>
    </row>
    <row r="41">
      <c r="A41" s="61" t="s">
        <v>189</v>
      </c>
    </row>
    <row r="42">
      <c r="A42" s="61" t="s">
        <v>191</v>
      </c>
    </row>
    <row r="43">
      <c r="A43" s="61" t="s">
        <v>192</v>
      </c>
    </row>
    <row r="44">
      <c r="A44" s="61" t="s">
        <v>195</v>
      </c>
    </row>
    <row r="45">
      <c r="A45" s="61" t="s">
        <v>197</v>
      </c>
    </row>
    <row r="46">
      <c r="A46" s="61" t="s">
        <v>199</v>
      </c>
    </row>
    <row r="47">
      <c r="A47" s="61" t="s">
        <v>200</v>
      </c>
    </row>
    <row r="48">
      <c r="A48" s="61" t="s">
        <v>202</v>
      </c>
    </row>
    <row r="49">
      <c r="A49" s="61" t="s">
        <v>205</v>
      </c>
    </row>
    <row r="50">
      <c r="A50" s="61" t="s">
        <v>206</v>
      </c>
    </row>
    <row r="51">
      <c r="A51" s="61" t="s">
        <v>207</v>
      </c>
    </row>
    <row r="52">
      <c r="A52" s="61" t="s">
        <v>208</v>
      </c>
    </row>
    <row r="53">
      <c r="A53" s="61" t="s">
        <v>210</v>
      </c>
    </row>
    <row r="54">
      <c r="A54" s="61" t="s">
        <v>211</v>
      </c>
    </row>
    <row r="55">
      <c r="A55" s="61" t="s">
        <v>212</v>
      </c>
    </row>
    <row r="56">
      <c r="A56" s="61" t="s">
        <v>214</v>
      </c>
    </row>
    <row r="57">
      <c r="A57" s="61" t="s">
        <v>215</v>
      </c>
    </row>
    <row r="58">
      <c r="A58" s="61" t="s">
        <v>216</v>
      </c>
    </row>
    <row r="59">
      <c r="A59" s="61" t="s">
        <v>199</v>
      </c>
    </row>
    <row r="60">
      <c r="A60" s="61" t="s">
        <v>207</v>
      </c>
    </row>
    <row r="61">
      <c r="A61" s="61" t="s">
        <v>199</v>
      </c>
    </row>
    <row r="62">
      <c r="A62" s="61" t="s">
        <v>217</v>
      </c>
    </row>
    <row r="63">
      <c r="A63" s="63"/>
    </row>
    <row r="64">
      <c r="A64" s="61" t="s">
        <v>218</v>
      </c>
    </row>
    <row r="65">
      <c r="A65" s="61" t="s">
        <v>219</v>
      </c>
    </row>
    <row r="66">
      <c r="A66" s="61" t="s">
        <v>222</v>
      </c>
    </row>
    <row r="67">
      <c r="A67" s="61" t="s">
        <v>224</v>
      </c>
    </row>
    <row r="68">
      <c r="A68" s="61" t="s">
        <v>226</v>
      </c>
    </row>
    <row r="69">
      <c r="A69" s="61" t="s">
        <v>227</v>
      </c>
    </row>
    <row r="70">
      <c r="A70" s="61" t="s">
        <v>228</v>
      </c>
    </row>
    <row r="71">
      <c r="A71" s="63"/>
    </row>
    <row r="72">
      <c r="A72" s="61" t="s">
        <v>229</v>
      </c>
    </row>
    <row r="73">
      <c r="A73" s="61" t="s">
        <v>230</v>
      </c>
    </row>
    <row r="74">
      <c r="A74" s="61" t="s">
        <v>231</v>
      </c>
    </row>
    <row r="75">
      <c r="A75" s="63"/>
    </row>
    <row r="76">
      <c r="A76" s="61" t="s">
        <v>232</v>
      </c>
    </row>
    <row r="77">
      <c r="A77" s="61" t="s">
        <v>234</v>
      </c>
    </row>
    <row r="78">
      <c r="A78" s="61" t="s">
        <v>237</v>
      </c>
    </row>
    <row r="79">
      <c r="A79" s="61" t="s">
        <v>239</v>
      </c>
    </row>
    <row r="80">
      <c r="A80" s="63"/>
    </row>
    <row r="81">
      <c r="A81" s="61" t="s">
        <v>241</v>
      </c>
    </row>
    <row r="82">
      <c r="A82" s="61" t="s">
        <v>242</v>
      </c>
    </row>
    <row r="83">
      <c r="A83" s="55" t="s">
        <v>244</v>
      </c>
    </row>
    <row r="84">
      <c r="A84" s="56" t="s">
        <v>245</v>
      </c>
    </row>
    <row r="85">
      <c r="A85" s="55" t="s">
        <v>246</v>
      </c>
    </row>
    <row r="86">
      <c r="A86" s="55" t="s">
        <v>247</v>
      </c>
    </row>
    <row r="87">
      <c r="A87" s="55" t="s">
        <v>248</v>
      </c>
    </row>
    <row r="88">
      <c r="A88" s="55" t="s">
        <v>250</v>
      </c>
    </row>
    <row r="89">
      <c r="A89" s="56" t="s">
        <v>252</v>
      </c>
    </row>
    <row r="90">
      <c r="A90" s="61" t="s">
        <v>253</v>
      </c>
    </row>
    <row r="91">
      <c r="A91" s="55" t="s">
        <v>254</v>
      </c>
    </row>
    <row r="92">
      <c r="A92" s="54"/>
    </row>
    <row r="93">
      <c r="A93" s="54"/>
    </row>
    <row r="94">
      <c r="A94" s="56" t="s">
        <v>255</v>
      </c>
    </row>
    <row r="95">
      <c r="A95" s="55" t="s">
        <v>256</v>
      </c>
    </row>
    <row r="96">
      <c r="A96" s="55" t="s">
        <v>257</v>
      </c>
    </row>
    <row r="97">
      <c r="A97" s="55" t="s">
        <v>258</v>
      </c>
    </row>
    <row r="98">
      <c r="A98" s="55" t="s">
        <v>259</v>
      </c>
    </row>
    <row r="99">
      <c r="A99" s="55" t="s">
        <v>152</v>
      </c>
    </row>
    <row r="100">
      <c r="A100" s="54"/>
    </row>
    <row r="101">
      <c r="A101" s="56" t="s">
        <v>260</v>
      </c>
    </row>
    <row r="102">
      <c r="A102" s="55" t="s">
        <v>262</v>
      </c>
    </row>
    <row r="103">
      <c r="A103" s="55" t="s">
        <v>152</v>
      </c>
    </row>
    <row r="104">
      <c r="A104" s="55" t="s">
        <v>152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55" t="s">
        <v>138</v>
      </c>
    </row>
    <row r="4">
      <c r="A4" s="55" t="s">
        <v>141</v>
      </c>
    </row>
    <row r="5">
      <c r="A5" s="54"/>
    </row>
    <row r="6">
      <c r="A6" s="55" t="s">
        <v>331</v>
      </c>
    </row>
    <row r="7">
      <c r="A7" s="55" t="s">
        <v>334</v>
      </c>
    </row>
    <row r="8">
      <c r="A8" s="56" t="s">
        <v>337</v>
      </c>
    </row>
    <row r="9">
      <c r="A9" s="55" t="s">
        <v>339</v>
      </c>
    </row>
    <row r="10">
      <c r="A10" s="54"/>
    </row>
    <row r="11">
      <c r="A11" s="55" t="s">
        <v>340</v>
      </c>
    </row>
    <row r="12">
      <c r="A12" s="55" t="s">
        <v>341</v>
      </c>
    </row>
    <row r="13">
      <c r="A13" s="55" t="s">
        <v>147</v>
      </c>
    </row>
    <row r="14">
      <c r="A14" s="55" t="s">
        <v>149</v>
      </c>
    </row>
    <row r="15">
      <c r="A15" s="55" t="s">
        <v>342</v>
      </c>
    </row>
    <row r="16">
      <c r="A16" s="55" t="s">
        <v>152</v>
      </c>
    </row>
    <row r="17">
      <c r="A17" s="54"/>
    </row>
    <row r="18">
      <c r="A18" s="55" t="s">
        <v>343</v>
      </c>
    </row>
    <row r="19">
      <c r="A19" s="55" t="s">
        <v>344</v>
      </c>
    </row>
    <row r="20">
      <c r="A20" s="54"/>
    </row>
    <row r="21">
      <c r="A21" s="55" t="s">
        <v>345</v>
      </c>
    </row>
    <row r="22">
      <c r="A22" s="55" t="s">
        <v>346</v>
      </c>
    </row>
    <row r="23">
      <c r="A23" s="55" t="s">
        <v>347</v>
      </c>
    </row>
    <row r="24">
      <c r="A24" s="54"/>
    </row>
    <row r="25">
      <c r="A25" s="56" t="s">
        <v>348</v>
      </c>
    </row>
    <row r="26">
      <c r="A26" s="55" t="s">
        <v>349</v>
      </c>
    </row>
    <row r="27">
      <c r="A27" s="54"/>
    </row>
    <row r="28">
      <c r="A28" s="55" t="s">
        <v>350</v>
      </c>
    </row>
    <row r="29">
      <c r="A29" s="55" t="s">
        <v>351</v>
      </c>
    </row>
    <row r="30">
      <c r="A30" s="55" t="s">
        <v>352</v>
      </c>
    </row>
    <row r="31">
      <c r="A31" s="55" t="s">
        <v>353</v>
      </c>
    </row>
    <row r="32">
      <c r="A32" s="54"/>
    </row>
    <row r="33">
      <c r="A33" s="55" t="s">
        <v>354</v>
      </c>
    </row>
    <row r="34">
      <c r="A34" s="54"/>
    </row>
    <row r="35">
      <c r="A35" s="56" t="s">
        <v>359</v>
      </c>
    </row>
    <row r="36">
      <c r="A36" s="55" t="s">
        <v>362</v>
      </c>
    </row>
    <row r="37">
      <c r="A37" s="61" t="s">
        <v>365</v>
      </c>
    </row>
    <row r="38">
      <c r="A38" s="63"/>
    </row>
    <row r="39">
      <c r="A39" s="61" t="s">
        <v>369</v>
      </c>
    </row>
    <row r="40">
      <c r="A40" s="63"/>
    </row>
    <row r="41">
      <c r="A41" s="61" t="s">
        <v>370</v>
      </c>
    </row>
    <row r="42">
      <c r="A42" s="61" t="s">
        <v>371</v>
      </c>
    </row>
    <row r="43">
      <c r="A43" s="61" t="s">
        <v>372</v>
      </c>
    </row>
    <row r="44">
      <c r="A44" s="61" t="s">
        <v>373</v>
      </c>
    </row>
    <row r="45">
      <c r="A45" s="63"/>
    </row>
    <row r="46">
      <c r="A46" s="61" t="s">
        <v>374</v>
      </c>
    </row>
    <row r="47">
      <c r="A47" s="63"/>
    </row>
    <row r="48">
      <c r="A48" s="61" t="s">
        <v>375</v>
      </c>
    </row>
    <row r="49">
      <c r="A49" s="61" t="s">
        <v>376</v>
      </c>
    </row>
    <row r="50">
      <c r="A50" s="61" t="s">
        <v>377</v>
      </c>
    </row>
    <row r="51">
      <c r="A51" s="55" t="s">
        <v>378</v>
      </c>
    </row>
    <row r="52">
      <c r="A52" s="54"/>
    </row>
    <row r="53">
      <c r="A53" s="56" t="s">
        <v>381</v>
      </c>
    </row>
    <row r="54">
      <c r="A54" s="61" t="s">
        <v>383</v>
      </c>
    </row>
    <row r="55">
      <c r="A55" s="61" t="s">
        <v>385</v>
      </c>
    </row>
    <row r="56">
      <c r="A56" s="61" t="s">
        <v>386</v>
      </c>
    </row>
    <row r="57">
      <c r="A57" s="61" t="s">
        <v>388</v>
      </c>
    </row>
    <row r="58">
      <c r="A58" s="61" t="s">
        <v>390</v>
      </c>
    </row>
    <row r="59">
      <c r="A59" s="61" t="s">
        <v>391</v>
      </c>
    </row>
    <row r="60">
      <c r="A60" s="61" t="s">
        <v>222</v>
      </c>
    </row>
    <row r="61">
      <c r="A61" s="63"/>
    </row>
    <row r="62">
      <c r="A62" s="61" t="s">
        <v>393</v>
      </c>
    </row>
    <row r="63">
      <c r="A63" s="61" t="s">
        <v>394</v>
      </c>
    </row>
    <row r="64">
      <c r="A64" s="61" t="s">
        <v>396</v>
      </c>
    </row>
    <row r="65">
      <c r="A65" s="63"/>
    </row>
    <row r="66">
      <c r="A66" s="61" t="s">
        <v>398</v>
      </c>
    </row>
    <row r="67">
      <c r="A67" s="61" t="s">
        <v>399</v>
      </c>
    </row>
    <row r="68">
      <c r="A68" s="61" t="s">
        <v>400</v>
      </c>
    </row>
    <row r="69">
      <c r="A69" s="61" t="s">
        <v>403</v>
      </c>
    </row>
    <row r="70">
      <c r="A70" s="61" t="s">
        <v>405</v>
      </c>
    </row>
    <row r="71">
      <c r="A71" s="61" t="s">
        <v>199</v>
      </c>
    </row>
    <row r="72">
      <c r="A72" s="63"/>
    </row>
    <row r="73">
      <c r="A73" s="61" t="s">
        <v>408</v>
      </c>
    </row>
    <row r="74">
      <c r="A74" s="61" t="s">
        <v>409</v>
      </c>
    </row>
    <row r="75">
      <c r="A75" s="63"/>
    </row>
    <row r="76">
      <c r="A76" s="61" t="s">
        <v>410</v>
      </c>
    </row>
    <row r="77">
      <c r="A77" s="61" t="s">
        <v>411</v>
      </c>
    </row>
    <row r="78">
      <c r="A78" s="61" t="s">
        <v>412</v>
      </c>
    </row>
    <row r="79">
      <c r="A79" s="61" t="s">
        <v>413</v>
      </c>
    </row>
    <row r="80">
      <c r="A80" s="61" t="s">
        <v>222</v>
      </c>
    </row>
    <row r="81">
      <c r="A81" s="61" t="s">
        <v>414</v>
      </c>
    </row>
    <row r="82">
      <c r="A82" s="61" t="s">
        <v>241</v>
      </c>
    </row>
    <row r="83">
      <c r="A83" s="55" t="s">
        <v>415</v>
      </c>
    </row>
    <row r="84">
      <c r="A84" s="54"/>
    </row>
    <row r="85">
      <c r="A85" s="56" t="s">
        <v>416</v>
      </c>
    </row>
    <row r="86">
      <c r="A86" s="55" t="s">
        <v>418</v>
      </c>
    </row>
    <row r="87">
      <c r="A87" s="54"/>
    </row>
    <row r="88">
      <c r="A88" s="56" t="s">
        <v>420</v>
      </c>
    </row>
    <row r="89">
      <c r="A89" s="55" t="s">
        <v>422</v>
      </c>
    </row>
    <row r="90">
      <c r="A90" s="55" t="s">
        <v>424</v>
      </c>
    </row>
    <row r="91">
      <c r="A91" s="55" t="s">
        <v>425</v>
      </c>
    </row>
    <row r="92">
      <c r="A92" s="55" t="s">
        <v>250</v>
      </c>
    </row>
    <row r="93">
      <c r="A93" s="56" t="s">
        <v>426</v>
      </c>
    </row>
    <row r="94">
      <c r="A94" s="55" t="s">
        <v>254</v>
      </c>
    </row>
    <row r="95">
      <c r="A95" s="54"/>
    </row>
    <row r="96">
      <c r="A96" s="56" t="s">
        <v>429</v>
      </c>
    </row>
    <row r="97">
      <c r="A97" s="55" t="s">
        <v>431</v>
      </c>
    </row>
    <row r="98">
      <c r="A98" s="55" t="s">
        <v>433</v>
      </c>
    </row>
    <row r="99">
      <c r="A99" s="55" t="s">
        <v>258</v>
      </c>
    </row>
    <row r="100">
      <c r="A100" s="55" t="s">
        <v>438</v>
      </c>
    </row>
    <row r="101">
      <c r="A101" s="55" t="s">
        <v>152</v>
      </c>
    </row>
    <row r="102">
      <c r="A102" s="54"/>
    </row>
    <row r="103">
      <c r="A103" s="56" t="s">
        <v>440</v>
      </c>
    </row>
    <row r="104">
      <c r="A104" s="55" t="s">
        <v>441</v>
      </c>
    </row>
    <row r="105">
      <c r="A105" s="55" t="s">
        <v>443</v>
      </c>
    </row>
    <row r="106">
      <c r="A106" s="55" t="s">
        <v>444</v>
      </c>
    </row>
    <row r="107">
      <c r="A107" s="55" t="s">
        <v>445</v>
      </c>
    </row>
    <row r="108">
      <c r="A108" s="55" t="s">
        <v>152</v>
      </c>
    </row>
    <row r="109">
      <c r="A109" s="55" t="s">
        <v>152</v>
      </c>
    </row>
    <row r="110">
      <c r="A110" s="55" t="s">
        <v>152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54"/>
    </row>
    <row r="3">
      <c r="A3" s="55" t="s">
        <v>138</v>
      </c>
    </row>
    <row r="4">
      <c r="A4" s="55" t="s">
        <v>141</v>
      </c>
    </row>
    <row r="5">
      <c r="A5" s="55" t="s">
        <v>142</v>
      </c>
    </row>
    <row r="6">
      <c r="A6" s="56" t="s">
        <v>143</v>
      </c>
    </row>
    <row r="7">
      <c r="A7" s="61" t="s">
        <v>485</v>
      </c>
    </row>
    <row r="8">
      <c r="A8" s="55" t="s">
        <v>144</v>
      </c>
    </row>
    <row r="9">
      <c r="A9" s="55" t="s">
        <v>145</v>
      </c>
    </row>
    <row r="10">
      <c r="A10" s="56" t="s">
        <v>489</v>
      </c>
    </row>
    <row r="11">
      <c r="A11" s="55" t="s">
        <v>339</v>
      </c>
    </row>
    <row r="12">
      <c r="A12" s="54"/>
    </row>
    <row r="13">
      <c r="A13" s="55" t="s">
        <v>147</v>
      </c>
    </row>
    <row r="14">
      <c r="A14" s="55" t="s">
        <v>149</v>
      </c>
    </row>
    <row r="15">
      <c r="A15" s="56" t="s">
        <v>150</v>
      </c>
    </row>
    <row r="16">
      <c r="A16" s="55" t="s">
        <v>152</v>
      </c>
    </row>
    <row r="17">
      <c r="A17" s="55" t="s">
        <v>156</v>
      </c>
    </row>
    <row r="18">
      <c r="A18" s="55" t="s">
        <v>158</v>
      </c>
    </row>
    <row r="19">
      <c r="A19" s="55" t="s">
        <v>159</v>
      </c>
    </row>
    <row r="20">
      <c r="A20" s="55" t="s">
        <v>162</v>
      </c>
    </row>
    <row r="21">
      <c r="A21" s="55" t="s">
        <v>165</v>
      </c>
    </row>
    <row r="22">
      <c r="A22" s="54"/>
    </row>
    <row r="23">
      <c r="A23" s="56" t="s">
        <v>167</v>
      </c>
    </row>
    <row r="24">
      <c r="A24" s="55" t="s">
        <v>169</v>
      </c>
    </row>
    <row r="25">
      <c r="A25" s="55" t="s">
        <v>170</v>
      </c>
    </row>
    <row r="26">
      <c r="A26" s="55" t="s">
        <v>152</v>
      </c>
    </row>
    <row r="27">
      <c r="A27" s="54"/>
    </row>
    <row r="28">
      <c r="A28" s="56" t="s">
        <v>497</v>
      </c>
    </row>
    <row r="29">
      <c r="A29" s="56" t="s">
        <v>172</v>
      </c>
    </row>
    <row r="30">
      <c r="A30" s="57"/>
    </row>
    <row r="31">
      <c r="A31" s="57"/>
    </row>
    <row r="32">
      <c r="A32" s="56" t="s">
        <v>174</v>
      </c>
    </row>
    <row r="33">
      <c r="A33" s="56" t="s">
        <v>175</v>
      </c>
    </row>
    <row r="34">
      <c r="A34" s="57"/>
    </row>
    <row r="35">
      <c r="A35" s="55" t="s">
        <v>499</v>
      </c>
    </row>
    <row r="36">
      <c r="A36" s="61" t="s">
        <v>180</v>
      </c>
    </row>
    <row r="37">
      <c r="A37" s="61" t="s">
        <v>182</v>
      </c>
    </row>
    <row r="38">
      <c r="A38" s="61" t="s">
        <v>183</v>
      </c>
    </row>
    <row r="39">
      <c r="A39" s="63"/>
    </row>
    <row r="40">
      <c r="A40" s="61" t="s">
        <v>185</v>
      </c>
    </row>
    <row r="41">
      <c r="A41" s="61" t="s">
        <v>186</v>
      </c>
    </row>
    <row r="42">
      <c r="A42" s="61" t="s">
        <v>187</v>
      </c>
    </row>
    <row r="43">
      <c r="A43" s="61" t="s">
        <v>506</v>
      </c>
    </row>
    <row r="44">
      <c r="A44" s="61" t="s">
        <v>508</v>
      </c>
    </row>
    <row r="45">
      <c r="A45" s="61" t="s">
        <v>510</v>
      </c>
    </row>
    <row r="46">
      <c r="A46" s="61" t="s">
        <v>511</v>
      </c>
    </row>
    <row r="47">
      <c r="A47" s="61" t="s">
        <v>197</v>
      </c>
    </row>
    <row r="48">
      <c r="A48" s="61" t="s">
        <v>199</v>
      </c>
    </row>
    <row r="49">
      <c r="A49" s="61" t="s">
        <v>512</v>
      </c>
    </row>
    <row r="50">
      <c r="A50" s="61" t="s">
        <v>513</v>
      </c>
    </row>
    <row r="51">
      <c r="A51" s="61" t="s">
        <v>514</v>
      </c>
    </row>
    <row r="52">
      <c r="A52" s="61" t="s">
        <v>200</v>
      </c>
    </row>
    <row r="53">
      <c r="A53" s="61" t="s">
        <v>187</v>
      </c>
    </row>
    <row r="54">
      <c r="A54" s="61" t="s">
        <v>516</v>
      </c>
    </row>
    <row r="55">
      <c r="A55" s="61" t="s">
        <v>187</v>
      </c>
    </row>
    <row r="56">
      <c r="A56" s="61" t="s">
        <v>517</v>
      </c>
    </row>
    <row r="57">
      <c r="A57" s="61" t="s">
        <v>211</v>
      </c>
    </row>
    <row r="58">
      <c r="A58" s="61" t="s">
        <v>212</v>
      </c>
    </row>
    <row r="59">
      <c r="A59" s="61" t="s">
        <v>214</v>
      </c>
    </row>
    <row r="60">
      <c r="A60" s="61" t="s">
        <v>215</v>
      </c>
    </row>
    <row r="61">
      <c r="A61" s="61" t="s">
        <v>216</v>
      </c>
    </row>
    <row r="62">
      <c r="A62" s="61" t="s">
        <v>199</v>
      </c>
    </row>
    <row r="63">
      <c r="A63" s="61" t="s">
        <v>207</v>
      </c>
    </row>
    <row r="64">
      <c r="A64" s="61" t="s">
        <v>199</v>
      </c>
    </row>
    <row r="65">
      <c r="A65" s="61" t="s">
        <v>217</v>
      </c>
    </row>
    <row r="66">
      <c r="A66" s="61" t="s">
        <v>390</v>
      </c>
    </row>
    <row r="67">
      <c r="A67" s="61" t="s">
        <v>391</v>
      </c>
    </row>
    <row r="68">
      <c r="A68" s="61" t="s">
        <v>222</v>
      </c>
    </row>
    <row r="69">
      <c r="A69" s="63"/>
    </row>
    <row r="70">
      <c r="A70" s="61" t="s">
        <v>222</v>
      </c>
    </row>
    <row r="71">
      <c r="A71" s="63"/>
    </row>
    <row r="72">
      <c r="A72" s="61" t="s">
        <v>229</v>
      </c>
    </row>
    <row r="73">
      <c r="A73" s="61" t="s">
        <v>230</v>
      </c>
    </row>
    <row r="74">
      <c r="A74" s="61" t="s">
        <v>231</v>
      </c>
    </row>
    <row r="75">
      <c r="A75" s="63"/>
    </row>
    <row r="76">
      <c r="A76" s="61" t="s">
        <v>241</v>
      </c>
    </row>
    <row r="77">
      <c r="A77" s="61" t="s">
        <v>242</v>
      </c>
    </row>
    <row r="78">
      <c r="A78" s="55" t="s">
        <v>244</v>
      </c>
    </row>
    <row r="79">
      <c r="A79" s="56" t="s">
        <v>245</v>
      </c>
    </row>
    <row r="80">
      <c r="A80" s="55" t="s">
        <v>246</v>
      </c>
    </row>
    <row r="81">
      <c r="A81" s="55" t="s">
        <v>247</v>
      </c>
    </row>
    <row r="82">
      <c r="A82" s="55" t="s">
        <v>248</v>
      </c>
    </row>
    <row r="83">
      <c r="A83" s="55" t="s">
        <v>250</v>
      </c>
    </row>
    <row r="84">
      <c r="A84" s="56" t="s">
        <v>252</v>
      </c>
    </row>
    <row r="85">
      <c r="A85" s="55" t="s">
        <v>533</v>
      </c>
    </row>
    <row r="86">
      <c r="A86" s="56" t="s">
        <v>535</v>
      </c>
    </row>
    <row r="87">
      <c r="A87" s="55" t="s">
        <v>254</v>
      </c>
    </row>
    <row r="88">
      <c r="A88" s="54"/>
    </row>
    <row r="89">
      <c r="A89" s="54"/>
    </row>
    <row r="90">
      <c r="A90" s="56" t="s">
        <v>255</v>
      </c>
    </row>
    <row r="91">
      <c r="A91" s="55" t="s">
        <v>256</v>
      </c>
    </row>
    <row r="92">
      <c r="A92" s="55" t="s">
        <v>257</v>
      </c>
    </row>
    <row r="93">
      <c r="A93" s="55" t="s">
        <v>258</v>
      </c>
    </row>
    <row r="94">
      <c r="A94" s="55" t="s">
        <v>259</v>
      </c>
    </row>
    <row r="95">
      <c r="A95" s="55" t="s">
        <v>152</v>
      </c>
    </row>
    <row r="96">
      <c r="A96" s="54"/>
    </row>
    <row r="97">
      <c r="A97" s="55" t="s">
        <v>441</v>
      </c>
    </row>
    <row r="98">
      <c r="A98" s="56" t="s">
        <v>536</v>
      </c>
    </row>
    <row r="99">
      <c r="A99" s="55" t="s">
        <v>444</v>
      </c>
    </row>
    <row r="100">
      <c r="A100" s="56" t="s">
        <v>538</v>
      </c>
    </row>
    <row r="101">
      <c r="A101" s="55" t="s">
        <v>539</v>
      </c>
    </row>
    <row r="102">
      <c r="A102" s="55" t="s">
        <v>152</v>
      </c>
    </row>
    <row r="103">
      <c r="A103" s="54"/>
    </row>
  </sheetData>
  <drawing r:id="rId1"/>
</worksheet>
</file>